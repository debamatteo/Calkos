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590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Foglio1" sheetId="20" state="hidden" r:id="rId12"/>
    <sheet name="Settimana" sheetId="19" r:id="rId13"/>
    <sheet name="Consegna" sheetId="18" r:id="rId14"/>
    <sheet name="Luke SkyWalker" sheetId="3" state="hidden" r:id="rId15"/>
    <sheet name="Luca" sheetId="11" state="hidden" r:id="rId16"/>
    <sheet name="Ivan" sheetId="4" state="hidden" r:id="rId17"/>
    <sheet name="Riepilogo consegne" sheetId="17" state="hidden" r:id="rId18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Calkos!$A$5:$AH$2854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Calkos!$A$1:$U$2854</definedName>
    <definedName name="_xlnm.Print_Area" localSheetId="4">'Rimessa diretta'!$A$1:$V$52</definedName>
    <definedName name="Br">Tabelle!$K$5:$K$10</definedName>
    <definedName name="Cu">Tabelle!$J$5:$J$10</definedName>
    <definedName name="Delta">Foglio1!$F$4:$F$6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Provvigioni">Foglio1!$D$4:$D$6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U2853" i="2" l="1"/>
  <c r="U2852" i="2"/>
  <c r="U2851" i="2"/>
  <c r="U2850" i="2"/>
  <c r="U2849" i="2"/>
  <c r="U2848" i="2"/>
  <c r="U2847" i="2"/>
  <c r="U2846" i="2"/>
  <c r="U2845" i="2"/>
  <c r="U2844" i="2"/>
  <c r="U2843" i="2"/>
  <c r="U2842" i="2"/>
  <c r="U2841" i="2"/>
  <c r="U2840" i="2"/>
  <c r="U2839" i="2"/>
  <c r="U2838" i="2"/>
  <c r="U2837" i="2"/>
  <c r="U2836" i="2"/>
  <c r="U2835" i="2"/>
  <c r="U2834" i="2"/>
  <c r="U2833" i="2"/>
  <c r="U2832" i="2"/>
  <c r="U2831" i="2"/>
  <c r="U2830" i="2"/>
  <c r="U2829" i="2"/>
  <c r="U2828" i="2"/>
  <c r="U2827" i="2"/>
  <c r="U2826" i="2"/>
  <c r="U2825" i="2"/>
  <c r="U2824" i="2"/>
  <c r="U2823" i="2"/>
  <c r="U2822" i="2"/>
  <c r="U2821" i="2"/>
  <c r="U2820" i="2"/>
  <c r="U2819" i="2"/>
  <c r="U2818" i="2"/>
  <c r="U2817" i="2"/>
  <c r="U2816" i="2"/>
  <c r="U2815" i="2"/>
  <c r="U2814" i="2"/>
  <c r="U2813" i="2"/>
  <c r="U2812" i="2"/>
  <c r="U2811" i="2"/>
  <c r="U2810" i="2"/>
  <c r="U2809" i="2"/>
  <c r="U2808" i="2"/>
  <c r="U2807" i="2"/>
  <c r="U2806" i="2"/>
  <c r="U2805" i="2"/>
  <c r="U2804" i="2"/>
  <c r="U2803" i="2"/>
  <c r="U2802" i="2"/>
  <c r="U2801" i="2"/>
  <c r="U2800" i="2"/>
  <c r="U2799" i="2"/>
  <c r="U2798" i="2"/>
  <c r="U2797" i="2"/>
  <c r="U2796" i="2"/>
  <c r="U2795" i="2"/>
  <c r="U2794" i="2"/>
  <c r="U2793" i="2"/>
  <c r="U2792" i="2"/>
  <c r="U2791" i="2"/>
  <c r="U2790" i="2"/>
  <c r="U2789" i="2"/>
  <c r="U2788" i="2"/>
  <c r="U2787" i="2"/>
  <c r="U2786" i="2"/>
  <c r="U2785" i="2"/>
  <c r="U2784" i="2"/>
  <c r="U2783" i="2"/>
  <c r="U2782" i="2"/>
  <c r="U2781" i="2"/>
  <c r="U2780" i="2"/>
  <c r="U2779" i="2"/>
  <c r="U2778" i="2"/>
  <c r="U2777" i="2"/>
  <c r="U2776" i="2"/>
  <c r="U2775" i="2"/>
  <c r="U2774" i="2"/>
  <c r="U2773" i="2"/>
  <c r="U2772" i="2"/>
  <c r="U2771" i="2"/>
  <c r="U2770" i="2"/>
  <c r="U2769" i="2"/>
  <c r="U2768" i="2"/>
  <c r="U2767" i="2"/>
  <c r="U2766" i="2"/>
  <c r="U2765" i="2"/>
  <c r="U2764" i="2"/>
  <c r="U2763" i="2"/>
  <c r="U2762" i="2"/>
  <c r="U2761" i="2"/>
  <c r="U2760" i="2"/>
  <c r="U2759" i="2"/>
  <c r="U2758" i="2"/>
  <c r="U2757" i="2"/>
  <c r="U2756" i="2"/>
  <c r="U2755" i="2"/>
  <c r="U2754" i="2"/>
  <c r="U2753" i="2"/>
  <c r="U2752" i="2"/>
  <c r="U2751" i="2"/>
  <c r="U2750" i="2"/>
  <c r="U2749" i="2"/>
  <c r="U2748" i="2"/>
  <c r="U2747" i="2"/>
  <c r="U2746" i="2"/>
  <c r="U2745" i="2"/>
  <c r="U2744" i="2"/>
  <c r="U2743" i="2"/>
  <c r="U2742" i="2"/>
  <c r="U2741" i="2"/>
  <c r="U2740" i="2"/>
  <c r="U2739" i="2"/>
  <c r="U2738" i="2"/>
  <c r="U2737" i="2"/>
  <c r="U2736" i="2"/>
  <c r="U2735" i="2"/>
  <c r="U2734" i="2"/>
  <c r="U2733" i="2"/>
  <c r="U2732" i="2"/>
  <c r="U2731" i="2"/>
  <c r="U2730" i="2"/>
  <c r="U2729" i="2"/>
  <c r="U2728" i="2"/>
  <c r="U2727" i="2"/>
  <c r="U2726" i="2"/>
  <c r="U2725" i="2"/>
  <c r="U2724" i="2"/>
  <c r="U2723" i="2"/>
  <c r="U2722" i="2"/>
  <c r="U2721" i="2"/>
  <c r="U2720" i="2"/>
  <c r="U2719" i="2"/>
  <c r="U2718" i="2"/>
  <c r="U2717" i="2"/>
  <c r="U2716" i="2"/>
  <c r="U2715" i="2"/>
  <c r="U2714" i="2"/>
  <c r="U2713" i="2"/>
  <c r="U2712" i="2"/>
  <c r="U2711" i="2"/>
  <c r="U2710" i="2"/>
  <c r="U2709" i="2"/>
  <c r="U2708" i="2"/>
  <c r="U2707" i="2"/>
  <c r="U2706" i="2"/>
  <c r="U2705" i="2"/>
  <c r="U2704" i="2"/>
  <c r="U2703" i="2"/>
  <c r="U2702" i="2"/>
  <c r="U2701" i="2"/>
  <c r="U2700" i="2"/>
  <c r="U2699" i="2"/>
  <c r="U2698" i="2"/>
  <c r="U2697" i="2"/>
  <c r="U2696" i="2"/>
  <c r="U2695" i="2"/>
  <c r="U2694" i="2"/>
  <c r="U2693" i="2"/>
  <c r="U2692" i="2"/>
  <c r="U2691" i="2"/>
  <c r="U2690" i="2"/>
  <c r="U2689" i="2"/>
  <c r="U2688" i="2"/>
  <c r="U2687" i="2"/>
  <c r="U2686" i="2"/>
  <c r="U2685" i="2"/>
  <c r="U2684" i="2"/>
  <c r="U2683" i="2"/>
  <c r="U2682" i="2"/>
  <c r="U2681" i="2"/>
  <c r="U2680" i="2"/>
  <c r="U2679" i="2"/>
  <c r="U2678" i="2"/>
  <c r="U2677" i="2"/>
  <c r="U2676" i="2"/>
  <c r="U2675" i="2"/>
  <c r="U2674" i="2"/>
  <c r="U2673" i="2"/>
  <c r="U2672" i="2"/>
  <c r="U2671" i="2"/>
  <c r="U2670" i="2"/>
  <c r="U2669" i="2"/>
  <c r="U2668" i="2"/>
  <c r="U2667" i="2"/>
  <c r="U2666" i="2"/>
  <c r="U2665" i="2"/>
  <c r="U2664" i="2"/>
  <c r="U2663" i="2"/>
  <c r="U2662" i="2"/>
  <c r="U2661" i="2"/>
  <c r="U2660" i="2"/>
  <c r="U2659" i="2"/>
  <c r="U2658" i="2"/>
  <c r="U2657" i="2"/>
  <c r="U2656" i="2"/>
  <c r="U2655" i="2"/>
  <c r="U2654" i="2"/>
  <c r="U2653" i="2"/>
  <c r="U2652" i="2"/>
  <c r="U2651" i="2"/>
  <c r="U2650" i="2"/>
  <c r="U2649" i="2"/>
  <c r="U2648" i="2"/>
  <c r="U2647" i="2"/>
  <c r="U2646" i="2"/>
  <c r="U2645" i="2"/>
  <c r="U2644" i="2"/>
  <c r="U2643" i="2"/>
  <c r="U2642" i="2"/>
  <c r="U2641" i="2"/>
  <c r="U2640" i="2"/>
  <c r="U2639" i="2"/>
  <c r="U2638" i="2"/>
  <c r="U2637" i="2"/>
  <c r="U2636" i="2"/>
  <c r="U2635" i="2"/>
  <c r="U2634" i="2"/>
  <c r="U2633" i="2"/>
  <c r="U2632" i="2"/>
  <c r="U2631" i="2"/>
  <c r="U2630" i="2"/>
  <c r="U2629" i="2"/>
  <c r="U2628" i="2"/>
  <c r="U2627" i="2"/>
  <c r="U2626" i="2"/>
  <c r="U2625" i="2"/>
  <c r="U2624" i="2"/>
  <c r="U2623" i="2"/>
  <c r="U2622" i="2"/>
  <c r="U2621" i="2"/>
  <c r="U2620" i="2"/>
  <c r="U2619" i="2"/>
  <c r="U2618" i="2"/>
  <c r="U2617" i="2"/>
  <c r="U2616" i="2"/>
  <c r="U2615" i="2"/>
  <c r="U2614" i="2"/>
  <c r="U2613" i="2"/>
  <c r="U2612" i="2"/>
  <c r="U2611" i="2"/>
  <c r="U2610" i="2"/>
  <c r="U2609" i="2"/>
  <c r="U2608" i="2"/>
  <c r="U2607" i="2"/>
  <c r="U2606" i="2"/>
  <c r="U2605" i="2"/>
  <c r="U2604" i="2"/>
  <c r="U2603" i="2"/>
  <c r="U2602" i="2"/>
  <c r="U2601" i="2"/>
  <c r="U2600" i="2"/>
  <c r="U2599" i="2"/>
  <c r="U2598" i="2"/>
  <c r="U2597" i="2"/>
  <c r="U2596" i="2"/>
  <c r="U2595" i="2"/>
  <c r="U2594" i="2"/>
  <c r="U2593" i="2"/>
  <c r="U2592" i="2"/>
  <c r="U2591" i="2"/>
  <c r="U2590" i="2"/>
  <c r="U2589" i="2"/>
  <c r="U2588" i="2"/>
  <c r="U2587" i="2"/>
  <c r="U2586" i="2"/>
  <c r="U2585" i="2"/>
  <c r="U2584" i="2"/>
  <c r="U2583" i="2"/>
  <c r="U2582" i="2"/>
  <c r="U2581" i="2"/>
  <c r="U2580" i="2"/>
  <c r="U2579" i="2"/>
  <c r="U2578" i="2"/>
  <c r="U2577" i="2"/>
  <c r="U2576" i="2"/>
  <c r="U2575" i="2"/>
  <c r="U2574" i="2"/>
  <c r="U2573" i="2"/>
  <c r="U2572" i="2"/>
  <c r="U2571" i="2"/>
  <c r="U2570" i="2"/>
  <c r="U2569" i="2"/>
  <c r="U2568" i="2"/>
  <c r="U2567" i="2"/>
  <c r="U2566" i="2"/>
  <c r="U2565" i="2"/>
  <c r="U2564" i="2"/>
  <c r="U2563" i="2"/>
  <c r="U2562" i="2"/>
  <c r="U2561" i="2"/>
  <c r="U2560" i="2"/>
  <c r="U2559" i="2"/>
  <c r="U2558" i="2"/>
  <c r="U2557" i="2"/>
  <c r="U2556" i="2"/>
  <c r="U2555" i="2"/>
  <c r="U2554" i="2"/>
  <c r="U2553" i="2"/>
  <c r="U2552" i="2"/>
  <c r="U2551" i="2"/>
  <c r="U2550" i="2"/>
  <c r="U2549" i="2"/>
  <c r="U2548" i="2"/>
  <c r="U2547" i="2"/>
  <c r="U2546" i="2"/>
  <c r="U2545" i="2"/>
  <c r="U2544" i="2"/>
  <c r="U2543" i="2"/>
  <c r="U2542" i="2"/>
  <c r="U2541" i="2"/>
  <c r="U2540" i="2"/>
  <c r="U2539" i="2"/>
  <c r="U2538" i="2"/>
  <c r="U2537" i="2"/>
  <c r="U2536" i="2"/>
  <c r="U2535" i="2"/>
  <c r="U2534" i="2"/>
  <c r="U2533" i="2"/>
  <c r="U2532" i="2"/>
  <c r="U2531" i="2"/>
  <c r="U2530" i="2"/>
  <c r="U2529" i="2"/>
  <c r="U2528" i="2"/>
  <c r="U2527" i="2"/>
  <c r="U2526" i="2"/>
  <c r="U2525" i="2"/>
  <c r="U2524" i="2"/>
  <c r="U2523" i="2"/>
  <c r="U2522" i="2"/>
  <c r="U2521" i="2"/>
  <c r="U2520" i="2"/>
  <c r="U2519" i="2"/>
  <c r="U2518" i="2"/>
  <c r="U2517" i="2"/>
  <c r="U2516" i="2"/>
  <c r="U2515" i="2"/>
  <c r="U2514" i="2"/>
  <c r="U2513" i="2"/>
  <c r="U2512" i="2"/>
  <c r="U2511" i="2"/>
  <c r="U2510" i="2"/>
  <c r="U2509" i="2"/>
  <c r="U2508" i="2"/>
  <c r="U2507" i="2"/>
  <c r="U2506" i="2"/>
  <c r="U2505" i="2"/>
  <c r="U2504" i="2"/>
  <c r="U2503" i="2"/>
  <c r="U2502" i="2"/>
  <c r="U2501" i="2"/>
  <c r="U2500" i="2"/>
  <c r="U2499" i="2"/>
  <c r="U2498" i="2"/>
  <c r="U2497" i="2"/>
  <c r="U2496" i="2"/>
  <c r="U2495" i="2"/>
  <c r="U2494" i="2"/>
  <c r="U2493" i="2"/>
  <c r="U2492" i="2"/>
  <c r="U2491" i="2"/>
  <c r="U2490" i="2"/>
  <c r="U2489" i="2"/>
  <c r="U2488" i="2"/>
  <c r="U2487" i="2"/>
  <c r="U2486" i="2"/>
  <c r="U2485" i="2"/>
  <c r="U2484" i="2"/>
  <c r="U2483" i="2"/>
  <c r="U2482" i="2"/>
  <c r="U2481" i="2"/>
  <c r="U2480" i="2"/>
  <c r="U2479" i="2"/>
  <c r="U2478" i="2"/>
  <c r="U2477" i="2"/>
  <c r="U2476" i="2"/>
  <c r="U2475" i="2"/>
  <c r="U2474" i="2"/>
  <c r="U2473" i="2"/>
  <c r="U2472" i="2"/>
  <c r="U2471" i="2"/>
  <c r="U2470" i="2"/>
  <c r="U2469" i="2"/>
  <c r="U2468" i="2"/>
  <c r="U2467" i="2"/>
  <c r="U2466" i="2"/>
  <c r="U2465" i="2"/>
  <c r="U2464" i="2"/>
  <c r="U2463" i="2"/>
  <c r="U2462" i="2"/>
  <c r="U2461" i="2"/>
  <c r="U2460" i="2"/>
  <c r="U2459" i="2"/>
  <c r="U2458" i="2"/>
  <c r="U2457" i="2"/>
  <c r="U2456" i="2"/>
  <c r="U2455" i="2"/>
  <c r="U2454" i="2"/>
  <c r="U2453" i="2"/>
  <c r="U2452" i="2"/>
  <c r="U2451" i="2"/>
  <c r="U2450" i="2"/>
  <c r="U2449" i="2"/>
  <c r="U2448" i="2"/>
  <c r="U2447" i="2"/>
  <c r="U2446" i="2"/>
  <c r="U2445" i="2"/>
  <c r="U2444" i="2"/>
  <c r="U2443" i="2"/>
  <c r="U2442" i="2"/>
  <c r="U2441" i="2"/>
  <c r="U2440" i="2"/>
  <c r="U2439" i="2"/>
  <c r="U2438" i="2"/>
  <c r="U2437" i="2"/>
  <c r="U2436" i="2"/>
  <c r="U2435" i="2"/>
  <c r="U2434" i="2"/>
  <c r="U2433" i="2"/>
  <c r="U2432" i="2"/>
  <c r="U2431" i="2"/>
  <c r="U2430" i="2"/>
  <c r="U2429" i="2"/>
  <c r="U2428" i="2"/>
  <c r="U2427" i="2"/>
  <c r="U2426" i="2"/>
  <c r="U2425" i="2"/>
  <c r="U2424" i="2"/>
  <c r="U2423" i="2"/>
  <c r="U2422" i="2"/>
  <c r="U2421" i="2"/>
  <c r="U2420" i="2"/>
  <c r="U2419" i="2"/>
  <c r="U2418" i="2"/>
  <c r="U2417" i="2"/>
  <c r="U2416" i="2"/>
  <c r="U2415" i="2"/>
  <c r="U2414" i="2"/>
  <c r="U2413" i="2"/>
  <c r="U2412" i="2"/>
  <c r="U2411" i="2"/>
  <c r="U2410" i="2"/>
  <c r="U2409" i="2"/>
  <c r="U2408" i="2"/>
  <c r="U2407" i="2"/>
  <c r="U2406" i="2"/>
  <c r="U2405" i="2"/>
  <c r="U2404" i="2"/>
  <c r="U2403" i="2"/>
  <c r="U2402" i="2"/>
  <c r="U2401" i="2"/>
  <c r="U2400" i="2"/>
  <c r="U2399" i="2"/>
  <c r="U2398" i="2"/>
  <c r="U2397" i="2"/>
  <c r="U2396" i="2"/>
  <c r="U2395" i="2"/>
  <c r="U2394" i="2"/>
  <c r="U2393" i="2"/>
  <c r="U2392" i="2"/>
  <c r="U2391" i="2"/>
  <c r="U2390" i="2"/>
  <c r="U2389" i="2"/>
  <c r="U2388" i="2"/>
  <c r="U2387" i="2"/>
  <c r="U2386" i="2"/>
  <c r="U2385" i="2"/>
  <c r="U2384" i="2"/>
  <c r="U2383" i="2"/>
  <c r="U2382" i="2"/>
  <c r="U2381" i="2"/>
  <c r="U2380" i="2"/>
  <c r="U2379" i="2"/>
  <c r="U2378" i="2"/>
  <c r="U2377" i="2"/>
  <c r="U2376" i="2"/>
  <c r="U2375" i="2"/>
  <c r="U2374" i="2"/>
  <c r="U2373" i="2"/>
  <c r="U2372" i="2"/>
  <c r="U2371" i="2"/>
  <c r="U2370" i="2"/>
  <c r="U2369" i="2"/>
  <c r="U2368" i="2"/>
  <c r="U2367" i="2"/>
  <c r="U2366" i="2"/>
  <c r="U2365" i="2"/>
  <c r="U2364" i="2"/>
  <c r="U2363" i="2"/>
  <c r="U2362" i="2"/>
  <c r="U2361" i="2"/>
  <c r="U2360" i="2"/>
  <c r="U2359" i="2"/>
  <c r="U2358" i="2"/>
  <c r="U2357" i="2"/>
  <c r="U2356" i="2"/>
  <c r="U2355" i="2"/>
  <c r="U2354" i="2"/>
  <c r="U2353" i="2"/>
  <c r="U2352" i="2"/>
  <c r="U2351" i="2"/>
  <c r="U2350" i="2"/>
  <c r="U2349" i="2"/>
  <c r="U2348" i="2"/>
  <c r="U2347" i="2"/>
  <c r="U2346" i="2"/>
  <c r="U2345" i="2"/>
  <c r="U2344" i="2"/>
  <c r="U2343" i="2"/>
  <c r="U2342" i="2"/>
  <c r="U2341" i="2"/>
  <c r="U2340" i="2"/>
  <c r="U2339" i="2"/>
  <c r="U2338" i="2"/>
  <c r="U2337" i="2"/>
  <c r="U2336" i="2"/>
  <c r="U2335" i="2"/>
  <c r="U2334" i="2"/>
  <c r="U2333" i="2"/>
  <c r="U2332" i="2"/>
  <c r="U2331" i="2"/>
  <c r="U2330" i="2"/>
  <c r="U2329" i="2"/>
  <c r="U2328" i="2"/>
  <c r="U2327" i="2"/>
  <c r="U2326" i="2"/>
  <c r="U2325" i="2"/>
  <c r="U2324" i="2"/>
  <c r="U2323" i="2"/>
  <c r="U2322" i="2"/>
  <c r="U2321" i="2"/>
  <c r="U2320" i="2"/>
  <c r="U2319" i="2"/>
  <c r="U2318" i="2"/>
  <c r="U2317" i="2"/>
  <c r="U2316" i="2"/>
  <c r="U2315" i="2"/>
  <c r="U2314" i="2"/>
  <c r="U2313" i="2"/>
  <c r="U2312" i="2"/>
  <c r="U2311" i="2"/>
  <c r="U2310" i="2"/>
  <c r="U2309" i="2"/>
  <c r="U2308" i="2"/>
  <c r="U2307" i="2"/>
  <c r="U2306" i="2"/>
  <c r="U2305" i="2"/>
  <c r="U2304" i="2"/>
  <c r="U2303" i="2"/>
  <c r="U2302" i="2"/>
  <c r="U2301" i="2"/>
  <c r="U2300" i="2"/>
  <c r="U2299" i="2"/>
  <c r="U2298" i="2"/>
  <c r="U2297" i="2"/>
  <c r="U2296" i="2"/>
  <c r="U2295" i="2"/>
  <c r="U2294" i="2"/>
  <c r="U2293" i="2"/>
  <c r="U2292" i="2"/>
  <c r="U2291" i="2"/>
  <c r="U2290" i="2"/>
  <c r="U2289" i="2"/>
  <c r="U2288" i="2"/>
  <c r="U2287" i="2"/>
  <c r="U2286" i="2"/>
  <c r="U2285" i="2"/>
  <c r="U2284" i="2"/>
  <c r="U2283" i="2"/>
  <c r="U2282" i="2"/>
  <c r="U2281" i="2"/>
  <c r="U2280" i="2"/>
  <c r="U2279" i="2"/>
  <c r="U2278" i="2"/>
  <c r="U2277" i="2"/>
  <c r="U2276" i="2"/>
  <c r="U2275" i="2"/>
  <c r="U2274" i="2"/>
  <c r="U2273" i="2"/>
  <c r="U2272" i="2"/>
  <c r="U2271" i="2"/>
  <c r="U2270" i="2"/>
  <c r="U2269" i="2"/>
  <c r="U2268" i="2"/>
  <c r="U2267" i="2"/>
  <c r="U2266" i="2"/>
  <c r="U2265" i="2"/>
  <c r="U2264" i="2"/>
  <c r="U2263" i="2"/>
  <c r="U2262" i="2"/>
  <c r="U2261" i="2"/>
  <c r="U2260" i="2"/>
  <c r="U2259" i="2"/>
  <c r="U2258" i="2"/>
  <c r="U2257" i="2"/>
  <c r="U2256" i="2"/>
  <c r="U2255" i="2"/>
  <c r="U2254" i="2"/>
  <c r="U2253" i="2"/>
  <c r="U2252" i="2"/>
  <c r="U2251" i="2"/>
  <c r="U2250" i="2"/>
  <c r="U2249" i="2"/>
  <c r="U2248" i="2"/>
  <c r="U2247" i="2"/>
  <c r="U2246" i="2"/>
  <c r="U2245" i="2"/>
  <c r="U2244" i="2"/>
  <c r="U2243" i="2"/>
  <c r="U2242" i="2"/>
  <c r="U2241" i="2"/>
  <c r="U2240" i="2"/>
  <c r="U2239" i="2"/>
  <c r="U2238" i="2"/>
  <c r="U2237" i="2"/>
  <c r="U2236" i="2"/>
  <c r="U2235" i="2"/>
  <c r="U2234" i="2"/>
  <c r="U2233" i="2"/>
  <c r="U2232" i="2"/>
  <c r="U2231" i="2"/>
  <c r="U2230" i="2"/>
  <c r="U2229" i="2"/>
  <c r="U2228" i="2"/>
  <c r="U2227" i="2"/>
  <c r="U2226" i="2"/>
  <c r="U2225" i="2"/>
  <c r="U2224" i="2"/>
  <c r="U2223" i="2"/>
  <c r="U2222" i="2"/>
  <c r="U2221" i="2"/>
  <c r="U2220" i="2"/>
  <c r="U2219" i="2"/>
  <c r="U2218" i="2"/>
  <c r="U2217" i="2"/>
  <c r="U2216" i="2"/>
  <c r="U2215" i="2"/>
  <c r="U2214" i="2"/>
  <c r="U2213" i="2"/>
  <c r="U2212" i="2"/>
  <c r="U2211" i="2"/>
  <c r="U2210" i="2"/>
  <c r="U2209" i="2"/>
  <c r="U2208" i="2"/>
  <c r="U2207" i="2"/>
  <c r="U2206" i="2"/>
  <c r="U2205" i="2"/>
  <c r="U2204" i="2"/>
  <c r="U2203" i="2"/>
  <c r="U2202" i="2"/>
  <c r="U2201" i="2"/>
  <c r="U2200" i="2"/>
  <c r="U2199" i="2"/>
  <c r="U2198" i="2"/>
  <c r="U2197" i="2"/>
  <c r="U2196" i="2"/>
  <c r="U2195" i="2"/>
  <c r="U2194" i="2"/>
  <c r="U2193" i="2"/>
  <c r="U2192" i="2"/>
  <c r="U2191" i="2"/>
  <c r="U2190" i="2"/>
  <c r="U2189" i="2"/>
  <c r="U2188" i="2"/>
  <c r="U2187" i="2"/>
  <c r="U2186" i="2"/>
  <c r="U2185" i="2"/>
  <c r="U2184" i="2"/>
  <c r="U2183" i="2"/>
  <c r="U2182" i="2"/>
  <c r="U2181" i="2"/>
  <c r="U2180" i="2"/>
  <c r="U2179" i="2"/>
  <c r="U2178" i="2"/>
  <c r="U2177" i="2"/>
  <c r="U2176" i="2"/>
  <c r="U2175" i="2"/>
  <c r="U2174" i="2"/>
  <c r="U2173" i="2"/>
  <c r="U2172" i="2"/>
  <c r="U2171" i="2"/>
  <c r="U2170" i="2"/>
  <c r="U2169" i="2"/>
  <c r="U2168" i="2"/>
  <c r="U2167" i="2"/>
  <c r="U2166" i="2"/>
  <c r="U2165" i="2"/>
  <c r="U2164" i="2"/>
  <c r="U2163" i="2"/>
  <c r="U2162" i="2"/>
  <c r="U2161" i="2"/>
  <c r="U2160" i="2"/>
  <c r="U2159" i="2"/>
  <c r="U2158" i="2"/>
  <c r="U2157" i="2"/>
  <c r="U2156" i="2"/>
  <c r="U2155" i="2"/>
  <c r="U2154" i="2"/>
  <c r="U2153" i="2"/>
  <c r="U2152" i="2"/>
  <c r="U2151" i="2"/>
  <c r="U2150" i="2"/>
  <c r="U2149" i="2"/>
  <c r="U2148" i="2"/>
  <c r="U2147" i="2"/>
  <c r="U2146" i="2"/>
  <c r="U2145" i="2"/>
  <c r="U2144" i="2"/>
  <c r="U2143" i="2"/>
  <c r="U2142" i="2"/>
  <c r="U2141" i="2"/>
  <c r="U2140" i="2"/>
  <c r="U2139" i="2"/>
  <c r="U2138" i="2"/>
  <c r="U2137" i="2"/>
  <c r="U2136" i="2"/>
  <c r="U2135" i="2"/>
  <c r="U2134" i="2"/>
  <c r="U2133" i="2"/>
  <c r="U2132" i="2"/>
  <c r="U2131" i="2"/>
  <c r="U2130" i="2"/>
  <c r="U2129" i="2"/>
  <c r="U2128" i="2"/>
  <c r="U2127" i="2"/>
  <c r="U2126" i="2"/>
  <c r="U2125" i="2"/>
  <c r="U2124" i="2"/>
  <c r="U2123" i="2"/>
  <c r="U2122" i="2"/>
  <c r="U2121" i="2"/>
  <c r="U2120" i="2"/>
  <c r="U2119" i="2"/>
  <c r="U2118" i="2"/>
  <c r="U2117" i="2"/>
  <c r="U2116" i="2"/>
  <c r="U2115" i="2"/>
  <c r="U2114" i="2"/>
  <c r="U2113" i="2"/>
  <c r="U2112" i="2"/>
  <c r="U2111" i="2"/>
  <c r="U2110" i="2"/>
  <c r="U2109" i="2"/>
  <c r="U2108" i="2"/>
  <c r="U2107" i="2"/>
  <c r="U2106" i="2"/>
  <c r="U2105" i="2"/>
  <c r="U2104" i="2"/>
  <c r="U2103" i="2"/>
  <c r="U2102" i="2"/>
  <c r="U2101" i="2"/>
  <c r="U2100" i="2"/>
  <c r="U2099" i="2"/>
  <c r="U2098" i="2"/>
  <c r="U2097" i="2"/>
  <c r="U2096" i="2"/>
  <c r="U2095" i="2"/>
  <c r="U2094" i="2"/>
  <c r="U2093" i="2"/>
  <c r="U2092" i="2"/>
  <c r="U2091" i="2"/>
  <c r="U2090" i="2"/>
  <c r="U2089" i="2"/>
  <c r="U2088" i="2"/>
  <c r="U2087" i="2"/>
  <c r="U2086" i="2"/>
  <c r="U2085" i="2"/>
  <c r="U2084" i="2"/>
  <c r="U2083" i="2"/>
  <c r="U2082" i="2"/>
  <c r="U2081" i="2"/>
  <c r="U2080" i="2"/>
  <c r="U2079" i="2"/>
  <c r="U2078" i="2"/>
  <c r="U2077" i="2"/>
  <c r="U2076" i="2"/>
  <c r="U2075" i="2"/>
  <c r="U2074" i="2"/>
  <c r="U2073" i="2"/>
  <c r="U2072" i="2"/>
  <c r="U2071" i="2"/>
  <c r="U2070" i="2"/>
  <c r="U2069" i="2"/>
  <c r="U2068" i="2"/>
  <c r="U2067" i="2"/>
  <c r="U2066" i="2"/>
  <c r="U2065" i="2"/>
  <c r="U2064" i="2"/>
  <c r="U2063" i="2"/>
  <c r="U2062" i="2"/>
  <c r="U2061" i="2"/>
  <c r="U2060" i="2"/>
  <c r="U2059" i="2"/>
  <c r="U2058" i="2"/>
  <c r="U2057" i="2"/>
  <c r="U2056" i="2"/>
  <c r="U2055" i="2"/>
  <c r="U2054" i="2"/>
  <c r="U2053" i="2"/>
  <c r="U2052" i="2"/>
  <c r="U2051" i="2"/>
  <c r="U2050" i="2"/>
  <c r="U2049" i="2"/>
  <c r="U2048" i="2"/>
  <c r="U2047" i="2"/>
  <c r="U2046" i="2"/>
  <c r="U2045" i="2"/>
  <c r="U2044" i="2"/>
  <c r="U2043" i="2"/>
  <c r="U2042" i="2"/>
  <c r="U2041" i="2"/>
  <c r="U2040" i="2"/>
  <c r="U2039" i="2"/>
  <c r="U2038" i="2"/>
  <c r="U2037" i="2"/>
  <c r="U2036" i="2"/>
  <c r="U2035" i="2"/>
  <c r="U2034" i="2"/>
  <c r="U2033" i="2"/>
  <c r="U2032" i="2"/>
  <c r="U2031" i="2"/>
  <c r="U2030" i="2"/>
  <c r="U2029" i="2"/>
  <c r="U2028" i="2"/>
  <c r="U2027" i="2"/>
  <c r="U2026" i="2"/>
  <c r="U2025" i="2"/>
  <c r="U2024" i="2"/>
  <c r="U2023" i="2"/>
  <c r="U2022" i="2"/>
  <c r="U2021" i="2"/>
  <c r="U2020" i="2"/>
  <c r="U2019" i="2"/>
  <c r="U2018" i="2"/>
  <c r="U2017" i="2"/>
  <c r="U2016" i="2"/>
  <c r="U2015" i="2"/>
  <c r="U2014" i="2"/>
  <c r="U2013" i="2"/>
  <c r="U2012" i="2"/>
  <c r="U2011" i="2"/>
  <c r="U2010" i="2"/>
  <c r="U2009" i="2"/>
  <c r="U2008" i="2"/>
  <c r="U2007" i="2"/>
  <c r="U2006" i="2"/>
  <c r="U2005" i="2"/>
  <c r="U2004" i="2"/>
  <c r="U2003" i="2"/>
  <c r="U2002" i="2"/>
  <c r="U2001" i="2"/>
  <c r="U2000" i="2"/>
  <c r="U1999" i="2"/>
  <c r="U1998" i="2"/>
  <c r="U1997" i="2"/>
  <c r="U1996" i="2"/>
  <c r="U1995" i="2"/>
  <c r="U1994" i="2"/>
  <c r="U1993" i="2"/>
  <c r="U1992" i="2"/>
  <c r="U1991" i="2"/>
  <c r="U1990" i="2"/>
  <c r="U1989" i="2"/>
  <c r="U1988" i="2"/>
  <c r="U1987" i="2"/>
  <c r="U1986" i="2"/>
  <c r="U1985" i="2"/>
  <c r="U1984" i="2"/>
  <c r="U1983" i="2"/>
  <c r="U1982" i="2"/>
  <c r="U1981" i="2"/>
  <c r="U1980" i="2"/>
  <c r="U1979" i="2"/>
  <c r="U1978" i="2"/>
  <c r="U1977" i="2"/>
  <c r="U1976" i="2"/>
  <c r="U1975" i="2"/>
  <c r="U1974" i="2"/>
  <c r="U1973" i="2"/>
  <c r="U1972" i="2"/>
  <c r="U1971" i="2"/>
  <c r="U1970" i="2"/>
  <c r="U1969" i="2"/>
  <c r="U1968" i="2"/>
  <c r="U1967" i="2"/>
  <c r="U1966" i="2"/>
  <c r="U1965" i="2"/>
  <c r="U1964" i="2"/>
  <c r="U1963" i="2"/>
  <c r="U1962" i="2"/>
  <c r="U1961" i="2"/>
  <c r="U1960" i="2"/>
  <c r="U1959" i="2"/>
  <c r="U1958" i="2"/>
  <c r="U1957" i="2"/>
  <c r="U1956" i="2"/>
  <c r="U1955" i="2"/>
  <c r="U1954" i="2"/>
  <c r="U1953" i="2"/>
  <c r="U1952" i="2"/>
  <c r="U1951" i="2"/>
  <c r="U1950" i="2"/>
  <c r="U1949" i="2"/>
  <c r="U1948" i="2"/>
  <c r="U1947" i="2"/>
  <c r="U1946" i="2"/>
  <c r="U1945" i="2"/>
  <c r="U1944" i="2"/>
  <c r="U1943" i="2"/>
  <c r="U1942" i="2"/>
  <c r="U1941" i="2"/>
  <c r="U1940" i="2"/>
  <c r="U1939" i="2"/>
  <c r="U1938" i="2"/>
  <c r="U1937" i="2"/>
  <c r="U1936" i="2"/>
  <c r="U1935" i="2"/>
  <c r="U1934" i="2"/>
  <c r="U1933" i="2"/>
  <c r="U1932" i="2"/>
  <c r="U1931" i="2"/>
  <c r="U1930" i="2"/>
  <c r="U1929" i="2"/>
  <c r="U1928" i="2"/>
  <c r="U1927" i="2"/>
  <c r="U1926" i="2"/>
  <c r="U1925" i="2"/>
  <c r="U1924" i="2"/>
  <c r="U1923" i="2"/>
  <c r="U1922" i="2"/>
  <c r="U1921" i="2"/>
  <c r="U1920" i="2"/>
  <c r="U1919" i="2"/>
  <c r="U1918" i="2"/>
  <c r="U1917" i="2"/>
  <c r="U1916" i="2"/>
  <c r="U1915" i="2"/>
  <c r="U1914" i="2"/>
  <c r="U1913" i="2"/>
  <c r="U1912" i="2"/>
  <c r="U1911" i="2"/>
  <c r="U1910" i="2"/>
  <c r="U1909" i="2"/>
  <c r="U1908" i="2"/>
  <c r="U1907" i="2"/>
  <c r="U1906" i="2"/>
  <c r="U1905" i="2"/>
  <c r="U1904" i="2"/>
  <c r="U1903" i="2"/>
  <c r="U1902" i="2"/>
  <c r="U1901" i="2"/>
  <c r="U1900" i="2"/>
  <c r="U1899" i="2"/>
  <c r="U1898" i="2"/>
  <c r="U1897" i="2"/>
  <c r="U1896" i="2"/>
  <c r="U1895" i="2"/>
  <c r="U1894" i="2"/>
  <c r="U1893" i="2"/>
  <c r="U1892" i="2"/>
  <c r="U1891" i="2"/>
  <c r="U1890" i="2"/>
  <c r="U1889" i="2"/>
  <c r="U1888" i="2"/>
  <c r="U1887" i="2"/>
  <c r="U1886" i="2"/>
  <c r="U1885" i="2"/>
  <c r="U1884" i="2"/>
  <c r="U1883" i="2"/>
  <c r="U1882" i="2"/>
  <c r="U1881" i="2"/>
  <c r="U1880" i="2"/>
  <c r="U1879" i="2"/>
  <c r="U1878" i="2"/>
  <c r="U1877" i="2"/>
  <c r="U1876" i="2"/>
  <c r="U1875" i="2"/>
  <c r="U1874" i="2"/>
  <c r="U1873" i="2"/>
  <c r="U1872" i="2"/>
  <c r="U1871" i="2"/>
  <c r="U1870" i="2"/>
  <c r="U1869" i="2"/>
  <c r="U1868" i="2"/>
  <c r="U1867" i="2"/>
  <c r="U1866" i="2"/>
  <c r="U1865" i="2"/>
  <c r="U1864" i="2"/>
  <c r="U1863" i="2"/>
  <c r="U1862" i="2"/>
  <c r="U1861" i="2"/>
  <c r="U1860" i="2"/>
  <c r="U1859" i="2"/>
  <c r="U1858" i="2"/>
  <c r="U1857" i="2"/>
  <c r="U1856" i="2"/>
  <c r="U1855" i="2"/>
  <c r="U1854" i="2"/>
  <c r="U1853" i="2"/>
  <c r="U1852" i="2"/>
  <c r="U1851" i="2"/>
  <c r="U1850" i="2"/>
  <c r="U1849" i="2"/>
  <c r="U1848" i="2"/>
  <c r="U1847" i="2"/>
  <c r="U1846" i="2"/>
  <c r="U1845" i="2"/>
  <c r="U1844" i="2"/>
  <c r="U1843" i="2"/>
  <c r="U1842" i="2"/>
  <c r="U1841" i="2"/>
  <c r="U1840" i="2"/>
  <c r="U1839" i="2"/>
  <c r="U1838" i="2"/>
  <c r="U1837" i="2"/>
  <c r="U1836" i="2"/>
  <c r="U1835" i="2"/>
  <c r="U1834" i="2"/>
  <c r="U1833" i="2"/>
  <c r="U1832" i="2"/>
  <c r="U1831" i="2"/>
  <c r="U1830" i="2"/>
  <c r="U1829" i="2"/>
  <c r="U1828" i="2"/>
  <c r="U1827" i="2"/>
  <c r="U1826" i="2"/>
  <c r="U1825" i="2"/>
  <c r="U1824" i="2"/>
  <c r="U1823" i="2"/>
  <c r="U1822" i="2"/>
  <c r="U1821" i="2"/>
  <c r="U1820" i="2"/>
  <c r="U1819" i="2"/>
  <c r="U1818" i="2"/>
  <c r="U1817" i="2"/>
  <c r="U1816" i="2"/>
  <c r="U1815" i="2"/>
  <c r="U1814" i="2"/>
  <c r="U1813" i="2"/>
  <c r="U1812" i="2"/>
  <c r="U1811" i="2"/>
  <c r="U1810" i="2"/>
  <c r="U1809" i="2"/>
  <c r="U1808" i="2"/>
  <c r="U1807" i="2"/>
  <c r="U1806" i="2"/>
  <c r="U1805" i="2"/>
  <c r="U1804" i="2"/>
  <c r="U1803" i="2"/>
  <c r="U1802" i="2"/>
  <c r="U1801" i="2"/>
  <c r="U1800" i="2"/>
  <c r="U1799" i="2"/>
  <c r="U1798" i="2"/>
  <c r="U1797" i="2"/>
  <c r="U1796" i="2"/>
  <c r="U1795" i="2"/>
  <c r="U1794" i="2"/>
  <c r="U1793" i="2"/>
  <c r="U1792" i="2"/>
  <c r="U1791" i="2"/>
  <c r="U1790" i="2"/>
  <c r="U1789" i="2"/>
  <c r="U1788" i="2"/>
  <c r="U1787" i="2"/>
  <c r="U1786" i="2"/>
  <c r="U1785" i="2"/>
  <c r="U1784" i="2"/>
  <c r="U1783" i="2"/>
  <c r="U1782" i="2"/>
  <c r="U1781" i="2"/>
  <c r="U1780" i="2"/>
  <c r="U1779" i="2"/>
  <c r="U1778" i="2"/>
  <c r="U1777" i="2"/>
  <c r="U1776" i="2"/>
  <c r="U1775" i="2"/>
  <c r="U1774" i="2"/>
  <c r="U1773" i="2"/>
  <c r="U1772" i="2"/>
  <c r="U1771" i="2"/>
  <c r="U1770" i="2"/>
  <c r="U1769" i="2"/>
  <c r="U1768" i="2"/>
  <c r="U1767" i="2"/>
  <c r="U1766" i="2"/>
  <c r="U1765" i="2"/>
  <c r="U1764" i="2"/>
  <c r="U1763" i="2"/>
  <c r="U1762" i="2"/>
  <c r="U1761" i="2"/>
  <c r="U1760" i="2"/>
  <c r="U1759" i="2"/>
  <c r="U1758" i="2"/>
  <c r="U1757" i="2"/>
  <c r="U1756" i="2"/>
  <c r="U1755" i="2"/>
  <c r="U1754" i="2"/>
  <c r="U1753" i="2"/>
  <c r="U1752" i="2"/>
  <c r="U1751" i="2"/>
  <c r="U1750" i="2"/>
  <c r="U1749" i="2"/>
  <c r="U1748" i="2"/>
  <c r="U1747" i="2"/>
  <c r="U1746" i="2"/>
  <c r="U1745" i="2"/>
  <c r="U1744" i="2"/>
  <c r="U1743" i="2"/>
  <c r="U1742" i="2"/>
  <c r="U1741" i="2"/>
  <c r="U1740" i="2"/>
  <c r="U1739" i="2"/>
  <c r="U1738" i="2"/>
  <c r="U1737" i="2"/>
  <c r="U1736" i="2"/>
  <c r="U1735" i="2"/>
  <c r="U1734" i="2"/>
  <c r="U1733" i="2"/>
  <c r="U1732" i="2"/>
  <c r="U1731" i="2"/>
  <c r="U1730" i="2"/>
  <c r="U1729" i="2"/>
  <c r="U1728" i="2"/>
  <c r="U1727" i="2"/>
  <c r="U1726" i="2"/>
  <c r="U1725" i="2"/>
  <c r="U1724" i="2"/>
  <c r="U1723" i="2"/>
  <c r="U1722" i="2"/>
  <c r="U1721" i="2"/>
  <c r="U1720" i="2"/>
  <c r="U1719" i="2"/>
  <c r="U1718" i="2"/>
  <c r="U1717" i="2"/>
  <c r="U1716" i="2"/>
  <c r="U1715" i="2"/>
  <c r="U1714" i="2"/>
  <c r="U1713" i="2"/>
  <c r="U1712" i="2"/>
  <c r="U1711" i="2"/>
  <c r="U1710" i="2"/>
  <c r="U1709" i="2"/>
  <c r="U1708" i="2"/>
  <c r="U1707" i="2"/>
  <c r="U1706" i="2"/>
  <c r="U1705" i="2"/>
  <c r="U1704" i="2"/>
  <c r="U1703" i="2"/>
  <c r="U1702" i="2"/>
  <c r="U1701" i="2"/>
  <c r="U1700" i="2"/>
  <c r="U1699" i="2"/>
  <c r="U1698" i="2"/>
  <c r="U1697" i="2"/>
  <c r="U1696" i="2"/>
  <c r="U1695" i="2"/>
  <c r="U1694" i="2"/>
  <c r="U1693" i="2"/>
  <c r="U1692" i="2"/>
  <c r="U1691" i="2"/>
  <c r="U1690" i="2"/>
  <c r="U1689" i="2"/>
  <c r="U1688" i="2"/>
  <c r="U1687" i="2"/>
  <c r="U1686" i="2"/>
  <c r="U1685" i="2"/>
  <c r="U1684" i="2"/>
  <c r="U1683" i="2"/>
  <c r="U1682" i="2"/>
  <c r="U1681" i="2"/>
  <c r="U1680" i="2"/>
  <c r="U1679" i="2"/>
  <c r="U1678" i="2"/>
  <c r="U1677" i="2"/>
  <c r="U1676" i="2"/>
  <c r="U1675" i="2"/>
  <c r="U1674" i="2"/>
  <c r="U1673" i="2"/>
  <c r="U1672" i="2"/>
  <c r="U1671" i="2"/>
  <c r="U1670" i="2"/>
  <c r="U1669" i="2"/>
  <c r="U1668" i="2"/>
  <c r="U1667" i="2"/>
  <c r="U1666" i="2"/>
  <c r="U1665" i="2"/>
  <c r="U1664" i="2"/>
  <c r="U1663" i="2"/>
  <c r="U1662" i="2"/>
  <c r="U1661" i="2"/>
  <c r="U1660" i="2"/>
  <c r="U1659" i="2"/>
  <c r="U1658" i="2"/>
  <c r="U1657" i="2"/>
  <c r="U1656" i="2"/>
  <c r="U1655" i="2"/>
  <c r="U1654" i="2"/>
  <c r="U1653" i="2"/>
  <c r="U1652" i="2"/>
  <c r="U1651" i="2"/>
  <c r="U1650" i="2"/>
  <c r="U1649" i="2"/>
  <c r="U1648" i="2"/>
  <c r="U1647" i="2"/>
  <c r="U1646" i="2"/>
  <c r="U1645" i="2"/>
  <c r="U1644" i="2"/>
  <c r="U1643" i="2"/>
  <c r="U1642" i="2"/>
  <c r="U1641" i="2"/>
  <c r="U1640" i="2"/>
  <c r="U1639" i="2"/>
  <c r="U1638" i="2"/>
  <c r="U1637" i="2"/>
  <c r="U1636" i="2"/>
  <c r="U1635" i="2"/>
  <c r="U1634" i="2"/>
  <c r="U1633" i="2"/>
  <c r="U1632" i="2"/>
  <c r="U1631" i="2"/>
  <c r="U1630" i="2"/>
  <c r="U1629" i="2"/>
  <c r="U1628" i="2"/>
  <c r="U1627" i="2"/>
  <c r="U1626" i="2"/>
  <c r="U1625" i="2"/>
  <c r="U1624" i="2"/>
  <c r="U1623" i="2"/>
  <c r="U1622" i="2"/>
  <c r="U1621" i="2"/>
  <c r="U1620" i="2"/>
  <c r="U1619" i="2"/>
  <c r="U1618" i="2"/>
  <c r="U1617" i="2"/>
  <c r="U1616" i="2"/>
  <c r="U1615" i="2"/>
  <c r="U1614" i="2"/>
  <c r="U1613" i="2"/>
  <c r="U1612" i="2"/>
  <c r="U1611" i="2"/>
  <c r="U1610" i="2"/>
  <c r="U1609" i="2"/>
  <c r="U1608" i="2"/>
  <c r="U1607" i="2"/>
  <c r="U1606" i="2"/>
  <c r="U1605" i="2"/>
  <c r="U1604" i="2"/>
  <c r="U1603" i="2"/>
  <c r="U1602" i="2"/>
  <c r="U1601" i="2"/>
  <c r="U1600" i="2"/>
  <c r="U1599" i="2"/>
  <c r="U1598" i="2"/>
  <c r="U1597" i="2"/>
  <c r="U1596" i="2"/>
  <c r="U1595" i="2"/>
  <c r="U1594" i="2"/>
  <c r="U1593" i="2"/>
  <c r="U1592" i="2"/>
  <c r="U1591" i="2"/>
  <c r="U1590" i="2"/>
  <c r="U1589" i="2"/>
  <c r="U1588" i="2"/>
  <c r="U1587" i="2"/>
  <c r="U1586" i="2"/>
  <c r="U1585" i="2"/>
  <c r="U1584" i="2"/>
  <c r="U1583" i="2"/>
  <c r="U1582" i="2"/>
  <c r="U1581" i="2"/>
  <c r="U1580" i="2"/>
  <c r="U1579" i="2"/>
  <c r="U1578" i="2"/>
  <c r="U1577" i="2"/>
  <c r="U1576" i="2"/>
  <c r="U1575" i="2"/>
  <c r="U1574" i="2"/>
  <c r="U1573" i="2"/>
  <c r="U1572" i="2"/>
  <c r="U1571" i="2"/>
  <c r="U1570" i="2"/>
  <c r="U1569" i="2"/>
  <c r="U1568" i="2"/>
  <c r="U1567" i="2"/>
  <c r="U1566" i="2"/>
  <c r="U1565" i="2"/>
  <c r="U1564" i="2"/>
  <c r="U1563" i="2"/>
  <c r="U1562" i="2"/>
  <c r="U1561" i="2"/>
  <c r="U1560" i="2"/>
  <c r="U1559" i="2"/>
  <c r="U1558" i="2"/>
  <c r="U1557" i="2"/>
  <c r="U1556" i="2"/>
  <c r="U1555" i="2"/>
  <c r="U1554" i="2"/>
  <c r="U1553" i="2"/>
  <c r="U1552" i="2"/>
  <c r="U1551" i="2"/>
  <c r="U1550" i="2"/>
  <c r="U1549" i="2"/>
  <c r="U1548" i="2"/>
  <c r="U1547" i="2"/>
  <c r="U1546" i="2"/>
  <c r="U1545" i="2"/>
  <c r="U1544" i="2"/>
  <c r="U1543" i="2"/>
  <c r="U1542" i="2"/>
  <c r="U1541" i="2"/>
  <c r="U1540" i="2"/>
  <c r="U1539" i="2"/>
  <c r="U1538" i="2"/>
  <c r="U1537" i="2"/>
  <c r="U1536" i="2"/>
  <c r="U1535" i="2"/>
  <c r="U1534" i="2"/>
  <c r="U1533" i="2"/>
  <c r="U1532" i="2"/>
  <c r="U1531" i="2"/>
  <c r="U1530" i="2"/>
  <c r="U1529" i="2"/>
  <c r="U1528" i="2"/>
  <c r="U1527" i="2"/>
  <c r="U1526" i="2"/>
  <c r="U1525" i="2"/>
  <c r="U1524" i="2"/>
  <c r="U1523" i="2"/>
  <c r="U1522" i="2"/>
  <c r="U1521" i="2"/>
  <c r="U1520" i="2"/>
  <c r="U1519" i="2"/>
  <c r="U1518" i="2"/>
  <c r="U1517" i="2"/>
  <c r="U1516" i="2"/>
  <c r="U1515" i="2"/>
  <c r="U1514" i="2"/>
  <c r="U1513" i="2"/>
  <c r="U1512" i="2"/>
  <c r="U1511" i="2"/>
  <c r="U1510" i="2"/>
  <c r="U1509" i="2"/>
  <c r="U1508" i="2"/>
  <c r="U1507" i="2"/>
  <c r="U1506" i="2"/>
  <c r="U1505" i="2"/>
  <c r="U1504" i="2"/>
  <c r="U1503" i="2"/>
  <c r="U1502" i="2"/>
  <c r="U1501" i="2"/>
  <c r="U1500" i="2"/>
  <c r="U1499" i="2"/>
  <c r="U1498" i="2"/>
  <c r="U1497" i="2"/>
  <c r="U1496" i="2"/>
  <c r="U1495" i="2"/>
  <c r="U1494" i="2"/>
  <c r="U1493" i="2"/>
  <c r="U1492" i="2"/>
  <c r="U1491" i="2"/>
  <c r="U1490" i="2"/>
  <c r="U1489" i="2"/>
  <c r="U1488" i="2"/>
  <c r="U1487" i="2"/>
  <c r="U1486" i="2"/>
  <c r="U1485" i="2"/>
  <c r="U1484" i="2"/>
  <c r="U1483" i="2"/>
  <c r="U1482" i="2"/>
  <c r="U1481" i="2"/>
  <c r="U1480" i="2"/>
  <c r="U1479" i="2"/>
  <c r="U1478" i="2"/>
  <c r="U1477" i="2"/>
  <c r="U1476" i="2"/>
  <c r="U1475" i="2"/>
  <c r="U1474" i="2"/>
  <c r="U1473" i="2"/>
  <c r="U1472" i="2"/>
  <c r="U1471" i="2"/>
  <c r="U1470" i="2"/>
  <c r="U1469" i="2"/>
  <c r="U1468" i="2"/>
  <c r="U1467" i="2"/>
  <c r="U1466" i="2"/>
  <c r="U1465" i="2"/>
  <c r="U1464" i="2"/>
  <c r="U1463" i="2"/>
  <c r="U1462" i="2"/>
  <c r="U1461" i="2"/>
  <c r="U1460" i="2"/>
  <c r="U1459" i="2"/>
  <c r="U1458" i="2"/>
  <c r="U1457" i="2"/>
  <c r="U1456" i="2"/>
  <c r="U1455" i="2"/>
  <c r="U1454" i="2"/>
  <c r="U1453" i="2"/>
  <c r="U1452" i="2"/>
  <c r="U1451" i="2"/>
  <c r="U1450" i="2"/>
  <c r="U1449" i="2"/>
  <c r="U1448" i="2"/>
  <c r="U1447" i="2"/>
  <c r="U1446" i="2"/>
  <c r="U1445" i="2"/>
  <c r="U1444" i="2"/>
  <c r="U1443" i="2"/>
  <c r="U1442" i="2"/>
  <c r="U1441" i="2"/>
  <c r="U1440" i="2"/>
  <c r="U1439" i="2"/>
  <c r="U1438" i="2"/>
  <c r="U1437" i="2"/>
  <c r="U1436" i="2"/>
  <c r="U1435" i="2"/>
  <c r="U1434" i="2"/>
  <c r="U1433" i="2"/>
  <c r="U1432" i="2"/>
  <c r="U1431" i="2"/>
  <c r="U1430" i="2"/>
  <c r="U1429" i="2"/>
  <c r="U1428" i="2"/>
  <c r="U1427" i="2"/>
  <c r="U1426" i="2"/>
  <c r="U1425" i="2"/>
  <c r="U1424" i="2"/>
  <c r="U1423" i="2"/>
  <c r="U1422" i="2"/>
  <c r="U1421" i="2"/>
  <c r="U1420" i="2"/>
  <c r="U1419" i="2"/>
  <c r="U1418" i="2"/>
  <c r="U1417" i="2"/>
  <c r="U1416" i="2"/>
  <c r="U1415" i="2"/>
  <c r="U1414" i="2"/>
  <c r="U1413" i="2"/>
  <c r="U1412" i="2"/>
  <c r="U1411" i="2"/>
  <c r="U1410" i="2"/>
  <c r="U1409" i="2"/>
  <c r="U1408" i="2"/>
  <c r="U1407" i="2"/>
  <c r="U1406" i="2"/>
  <c r="U1405" i="2"/>
  <c r="U1404" i="2"/>
  <c r="U1403" i="2"/>
  <c r="U1402" i="2"/>
  <c r="U1401" i="2"/>
  <c r="U1400" i="2"/>
  <c r="U1399" i="2"/>
  <c r="U1398" i="2"/>
  <c r="U1397" i="2"/>
  <c r="U1396" i="2"/>
  <c r="U1395" i="2"/>
  <c r="U1394" i="2"/>
  <c r="U1393" i="2"/>
  <c r="U1392" i="2"/>
  <c r="U1391" i="2"/>
  <c r="U1390" i="2"/>
  <c r="U1389" i="2"/>
  <c r="U1388" i="2"/>
  <c r="U1387" i="2"/>
  <c r="U1386" i="2"/>
  <c r="U1385" i="2"/>
  <c r="U1384" i="2"/>
  <c r="U1383" i="2"/>
  <c r="U1382" i="2"/>
  <c r="U1381" i="2"/>
  <c r="U1380" i="2"/>
  <c r="U1379" i="2"/>
  <c r="U1378" i="2"/>
  <c r="U1377" i="2"/>
  <c r="U1376" i="2"/>
  <c r="U1375" i="2"/>
  <c r="U1374" i="2"/>
  <c r="U1373" i="2"/>
  <c r="U1372" i="2"/>
  <c r="U1371" i="2"/>
  <c r="U1370" i="2"/>
  <c r="U1369" i="2"/>
  <c r="U1368" i="2"/>
  <c r="U1367" i="2"/>
  <c r="U1366" i="2"/>
  <c r="U1365" i="2"/>
  <c r="U1364" i="2"/>
  <c r="U1363" i="2"/>
  <c r="U1362" i="2"/>
  <c r="U1361" i="2"/>
  <c r="U1360" i="2"/>
  <c r="U1359" i="2"/>
  <c r="U1358" i="2"/>
  <c r="U1357" i="2"/>
  <c r="U1356" i="2"/>
  <c r="U1355" i="2"/>
  <c r="U1354" i="2"/>
  <c r="U1353" i="2"/>
  <c r="U1352" i="2"/>
  <c r="U1351" i="2"/>
  <c r="U1350" i="2"/>
  <c r="U1349" i="2"/>
  <c r="U1348" i="2"/>
  <c r="U1347" i="2"/>
  <c r="U1346" i="2"/>
  <c r="U1345" i="2"/>
  <c r="U1344" i="2"/>
  <c r="U1343" i="2"/>
  <c r="U1342" i="2"/>
  <c r="U1341" i="2"/>
  <c r="U1340" i="2"/>
  <c r="U1339" i="2"/>
  <c r="U1338" i="2"/>
  <c r="U1337" i="2"/>
  <c r="U1336" i="2"/>
  <c r="U1335" i="2"/>
  <c r="U1334" i="2"/>
  <c r="U1333" i="2"/>
  <c r="U1332" i="2"/>
  <c r="U1331" i="2"/>
  <c r="U1330" i="2"/>
  <c r="U1329" i="2"/>
  <c r="U1328" i="2"/>
  <c r="U1327" i="2"/>
  <c r="U1326" i="2"/>
  <c r="U1325" i="2"/>
  <c r="U1324" i="2"/>
  <c r="U1323" i="2"/>
  <c r="U1322" i="2"/>
  <c r="U1321" i="2"/>
  <c r="U1320" i="2"/>
  <c r="U1319" i="2"/>
  <c r="U1318" i="2"/>
  <c r="U1317" i="2"/>
  <c r="U1316" i="2"/>
  <c r="U1315" i="2"/>
  <c r="U1314" i="2"/>
  <c r="U1313" i="2"/>
  <c r="U1312" i="2"/>
  <c r="U1311" i="2"/>
  <c r="U1310" i="2"/>
  <c r="U1309" i="2"/>
  <c r="U1308" i="2"/>
  <c r="U1307" i="2"/>
  <c r="U1306" i="2"/>
  <c r="U1305" i="2"/>
  <c r="U1304" i="2"/>
  <c r="U1303" i="2"/>
  <c r="U1302" i="2"/>
  <c r="U1301" i="2"/>
  <c r="U1300" i="2"/>
  <c r="U1299" i="2"/>
  <c r="U1298" i="2"/>
  <c r="U1297" i="2"/>
  <c r="U1296" i="2"/>
  <c r="U1295" i="2"/>
  <c r="U1294" i="2"/>
  <c r="U1293" i="2"/>
  <c r="U1292" i="2"/>
  <c r="U1291" i="2"/>
  <c r="U1290" i="2"/>
  <c r="U1289" i="2"/>
  <c r="U1288" i="2"/>
  <c r="U1287" i="2"/>
  <c r="U1286" i="2"/>
  <c r="U1285" i="2"/>
  <c r="U1284" i="2"/>
  <c r="U1283" i="2"/>
  <c r="U1282" i="2"/>
  <c r="U1281" i="2"/>
  <c r="U1280" i="2"/>
  <c r="U1279" i="2"/>
  <c r="U1278" i="2"/>
  <c r="U1277" i="2"/>
  <c r="U1276" i="2"/>
  <c r="U1275" i="2"/>
  <c r="U1274" i="2"/>
  <c r="U1273" i="2"/>
  <c r="U1272" i="2"/>
  <c r="U1271" i="2"/>
  <c r="U1270" i="2"/>
  <c r="U1269" i="2"/>
  <c r="U1268" i="2"/>
  <c r="U1267" i="2"/>
  <c r="U1266" i="2"/>
  <c r="U1265" i="2"/>
  <c r="U1264" i="2"/>
  <c r="U1263" i="2"/>
  <c r="U1262" i="2"/>
  <c r="U1261" i="2"/>
  <c r="U1260" i="2"/>
  <c r="U1259" i="2"/>
  <c r="U1258" i="2"/>
  <c r="U1257" i="2"/>
  <c r="U1256" i="2"/>
  <c r="U1255" i="2"/>
  <c r="U1254" i="2"/>
  <c r="U1253" i="2"/>
  <c r="U1252" i="2"/>
  <c r="U1251" i="2"/>
  <c r="U1250" i="2"/>
  <c r="U1249" i="2"/>
  <c r="U1248" i="2"/>
  <c r="U1247" i="2"/>
  <c r="U1246" i="2"/>
  <c r="U1245" i="2"/>
  <c r="U1244" i="2"/>
  <c r="U1243" i="2"/>
  <c r="U1242" i="2"/>
  <c r="U1241" i="2"/>
  <c r="U1240" i="2"/>
  <c r="U1239" i="2"/>
  <c r="U1238" i="2"/>
  <c r="U1237" i="2"/>
  <c r="U1236" i="2"/>
  <c r="U1235" i="2"/>
  <c r="U1234" i="2"/>
  <c r="U1233" i="2"/>
  <c r="U1232" i="2"/>
  <c r="U1231" i="2"/>
  <c r="U1230" i="2"/>
  <c r="U1229" i="2"/>
  <c r="U1228" i="2"/>
  <c r="U1227" i="2"/>
  <c r="U1226" i="2"/>
  <c r="U1225" i="2"/>
  <c r="U1224" i="2"/>
  <c r="U1223" i="2"/>
  <c r="U1222" i="2"/>
  <c r="U1221" i="2"/>
  <c r="U1220" i="2"/>
  <c r="U1219" i="2"/>
  <c r="U1218" i="2"/>
  <c r="U1217" i="2"/>
  <c r="U1216" i="2"/>
  <c r="U1215" i="2"/>
  <c r="U1214" i="2"/>
  <c r="U1213" i="2"/>
  <c r="U1212" i="2"/>
  <c r="U1211" i="2"/>
  <c r="U1210" i="2"/>
  <c r="U1209" i="2"/>
  <c r="U1208" i="2"/>
  <c r="U1207" i="2"/>
  <c r="U1206" i="2"/>
  <c r="U1205" i="2"/>
  <c r="U1204" i="2"/>
  <c r="U1203" i="2"/>
  <c r="U1202" i="2"/>
  <c r="U1201" i="2"/>
  <c r="U1200" i="2"/>
  <c r="U1199" i="2"/>
  <c r="U1198" i="2"/>
  <c r="U1197" i="2"/>
  <c r="U1196" i="2"/>
  <c r="U1195" i="2"/>
  <c r="U1194" i="2"/>
  <c r="U1193" i="2"/>
  <c r="U1192" i="2"/>
  <c r="U1191" i="2"/>
  <c r="U1190" i="2"/>
  <c r="U1189" i="2"/>
  <c r="U1188" i="2"/>
  <c r="U1187" i="2"/>
  <c r="U1186" i="2"/>
  <c r="U1185" i="2"/>
  <c r="U1184" i="2"/>
  <c r="U1183" i="2"/>
  <c r="U1182" i="2"/>
  <c r="U1181" i="2"/>
  <c r="U1180" i="2"/>
  <c r="U1179" i="2"/>
  <c r="U1178" i="2"/>
  <c r="U1177" i="2"/>
  <c r="U1176" i="2"/>
  <c r="U1175" i="2"/>
  <c r="U1174" i="2"/>
  <c r="U1173" i="2"/>
  <c r="U1172" i="2"/>
  <c r="U1171" i="2"/>
  <c r="U1170" i="2"/>
  <c r="U1169" i="2"/>
  <c r="U1168" i="2"/>
  <c r="U1167" i="2"/>
  <c r="U1166" i="2"/>
  <c r="U1165" i="2"/>
  <c r="U1164" i="2"/>
  <c r="U1163" i="2"/>
  <c r="U1162" i="2"/>
  <c r="U1161" i="2"/>
  <c r="U1160" i="2"/>
  <c r="U1159" i="2"/>
  <c r="U1158" i="2"/>
  <c r="U1157" i="2"/>
  <c r="U1156" i="2"/>
  <c r="U1155" i="2"/>
  <c r="U1154" i="2"/>
  <c r="U1153" i="2"/>
  <c r="U1152" i="2"/>
  <c r="U1151" i="2"/>
  <c r="U1150" i="2"/>
  <c r="U1149" i="2"/>
  <c r="U1148" i="2"/>
  <c r="U1147" i="2"/>
  <c r="U1146" i="2"/>
  <c r="U1145" i="2"/>
  <c r="U1144" i="2"/>
  <c r="U1143" i="2"/>
  <c r="U1142" i="2"/>
  <c r="U1141" i="2"/>
  <c r="U1140" i="2"/>
  <c r="U1139" i="2"/>
  <c r="U1138" i="2"/>
  <c r="U1137" i="2"/>
  <c r="U1136" i="2"/>
  <c r="U1135" i="2"/>
  <c r="U1134" i="2"/>
  <c r="U1133" i="2"/>
  <c r="U1132" i="2"/>
  <c r="U1131" i="2"/>
  <c r="U1130" i="2"/>
  <c r="U1129" i="2"/>
  <c r="U1128" i="2"/>
  <c r="U1127" i="2"/>
  <c r="U1126" i="2"/>
  <c r="U1125" i="2"/>
  <c r="U1124" i="2"/>
  <c r="U1123" i="2"/>
  <c r="U1122" i="2"/>
  <c r="U1121" i="2"/>
  <c r="U1120" i="2"/>
  <c r="U1119" i="2"/>
  <c r="U1118" i="2"/>
  <c r="U1117" i="2"/>
  <c r="U1116" i="2"/>
  <c r="U1115" i="2"/>
  <c r="U1114" i="2"/>
  <c r="U1113" i="2"/>
  <c r="U1112" i="2"/>
  <c r="U1111" i="2"/>
  <c r="U1110" i="2"/>
  <c r="U1109" i="2"/>
  <c r="U1108" i="2"/>
  <c r="U1107" i="2"/>
  <c r="U1106" i="2"/>
  <c r="U1105" i="2"/>
  <c r="U1104" i="2"/>
  <c r="U1103" i="2"/>
  <c r="U1102" i="2"/>
  <c r="U1101" i="2"/>
  <c r="U1100" i="2"/>
  <c r="U1099" i="2"/>
  <c r="U1098" i="2"/>
  <c r="U1097" i="2"/>
  <c r="U1096" i="2"/>
  <c r="U1095" i="2"/>
  <c r="U1094" i="2"/>
  <c r="U1093" i="2"/>
  <c r="U1092" i="2"/>
  <c r="U1091" i="2"/>
  <c r="U1090" i="2"/>
  <c r="U1089" i="2"/>
  <c r="U1088" i="2"/>
  <c r="U1087" i="2"/>
  <c r="U1086" i="2"/>
  <c r="U1085" i="2"/>
  <c r="U1084" i="2"/>
  <c r="U1083" i="2"/>
  <c r="U1082" i="2"/>
  <c r="U1081" i="2"/>
  <c r="U1080" i="2"/>
  <c r="U1079" i="2"/>
  <c r="U1078" i="2"/>
  <c r="U1077" i="2"/>
  <c r="U1076" i="2"/>
  <c r="U1075" i="2"/>
  <c r="U1074" i="2"/>
  <c r="U1073" i="2"/>
  <c r="U1072" i="2"/>
  <c r="U1071" i="2"/>
  <c r="U1070" i="2"/>
  <c r="U1069" i="2"/>
  <c r="U1068" i="2"/>
  <c r="U1067" i="2"/>
  <c r="U1066" i="2"/>
  <c r="U1065" i="2"/>
  <c r="U1064" i="2"/>
  <c r="U1063" i="2"/>
  <c r="U1062" i="2"/>
  <c r="U1061" i="2"/>
  <c r="U1060" i="2"/>
  <c r="U1059" i="2"/>
  <c r="U1058" i="2"/>
  <c r="U1057" i="2"/>
  <c r="U1056" i="2"/>
  <c r="U1055" i="2"/>
  <c r="U1054" i="2"/>
  <c r="U1053" i="2"/>
  <c r="U1052" i="2"/>
  <c r="U1051" i="2"/>
  <c r="U1050" i="2"/>
  <c r="U1049" i="2"/>
  <c r="U1048" i="2"/>
  <c r="U1047" i="2"/>
  <c r="U1046" i="2"/>
  <c r="U1045" i="2"/>
  <c r="U1044" i="2"/>
  <c r="U1043" i="2"/>
  <c r="U1042" i="2"/>
  <c r="U1041" i="2"/>
  <c r="U1040" i="2"/>
  <c r="U1039" i="2"/>
  <c r="U1038" i="2"/>
  <c r="U1037" i="2"/>
  <c r="U1036" i="2"/>
  <c r="U1035" i="2"/>
  <c r="U1034" i="2"/>
  <c r="U1033" i="2"/>
  <c r="U1032" i="2"/>
  <c r="U1031" i="2"/>
  <c r="U1030" i="2"/>
  <c r="U1029" i="2"/>
  <c r="U1028" i="2"/>
  <c r="U1027" i="2"/>
  <c r="U1026" i="2"/>
  <c r="U1025" i="2"/>
  <c r="U1024" i="2"/>
  <c r="U1023" i="2"/>
  <c r="U1022" i="2"/>
  <c r="U1021" i="2"/>
  <c r="U1020" i="2"/>
  <c r="U1019" i="2"/>
  <c r="U1018" i="2"/>
  <c r="U1017" i="2"/>
  <c r="U1016" i="2"/>
  <c r="U1015" i="2"/>
  <c r="U1014" i="2"/>
  <c r="U1013" i="2"/>
  <c r="U1012" i="2"/>
  <c r="U1011" i="2"/>
  <c r="U1010" i="2"/>
  <c r="U1009" i="2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T2853" i="2"/>
  <c r="T2852" i="2"/>
  <c r="T2851" i="2"/>
  <c r="T2850" i="2"/>
  <c r="T2849" i="2"/>
  <c r="T2848" i="2"/>
  <c r="T2847" i="2"/>
  <c r="T2846" i="2"/>
  <c r="T2845" i="2"/>
  <c r="T2844" i="2"/>
  <c r="T2843" i="2"/>
  <c r="T2842" i="2"/>
  <c r="T2841" i="2"/>
  <c r="T2840" i="2"/>
  <c r="T2839" i="2"/>
  <c r="T2838" i="2"/>
  <c r="T2837" i="2"/>
  <c r="T2836" i="2"/>
  <c r="T2835" i="2"/>
  <c r="T2834" i="2"/>
  <c r="T2833" i="2"/>
  <c r="T2832" i="2"/>
  <c r="T2831" i="2"/>
  <c r="T2830" i="2"/>
  <c r="T2829" i="2"/>
  <c r="T2828" i="2"/>
  <c r="T2827" i="2"/>
  <c r="T2826" i="2"/>
  <c r="T2825" i="2"/>
  <c r="T2824" i="2"/>
  <c r="T2823" i="2"/>
  <c r="T2822" i="2"/>
  <c r="T2821" i="2"/>
  <c r="T2820" i="2"/>
  <c r="T2819" i="2"/>
  <c r="T2818" i="2"/>
  <c r="T2817" i="2"/>
  <c r="T2816" i="2"/>
  <c r="T2815" i="2"/>
  <c r="T2814" i="2"/>
  <c r="T2813" i="2"/>
  <c r="T2812" i="2"/>
  <c r="T2811" i="2"/>
  <c r="T2810" i="2"/>
  <c r="T2809" i="2"/>
  <c r="T2808" i="2"/>
  <c r="T2807" i="2"/>
  <c r="T2806" i="2"/>
  <c r="T2805" i="2"/>
  <c r="T2804" i="2"/>
  <c r="T2803" i="2"/>
  <c r="T2802" i="2"/>
  <c r="T2801" i="2"/>
  <c r="T2800" i="2"/>
  <c r="T2799" i="2"/>
  <c r="T2798" i="2"/>
  <c r="T2797" i="2"/>
  <c r="T2796" i="2"/>
  <c r="T2795" i="2"/>
  <c r="T2794" i="2"/>
  <c r="T2793" i="2"/>
  <c r="T2792" i="2"/>
  <c r="T2791" i="2"/>
  <c r="T2790" i="2"/>
  <c r="T2789" i="2"/>
  <c r="T2788" i="2"/>
  <c r="T2787" i="2"/>
  <c r="T2786" i="2"/>
  <c r="T2785" i="2"/>
  <c r="T2784" i="2"/>
  <c r="T2783" i="2"/>
  <c r="T2782" i="2"/>
  <c r="T2781" i="2"/>
  <c r="T2780" i="2"/>
  <c r="T2779" i="2"/>
  <c r="T2778" i="2"/>
  <c r="T2777" i="2"/>
  <c r="T2776" i="2"/>
  <c r="T2775" i="2"/>
  <c r="T2774" i="2"/>
  <c r="T2773" i="2"/>
  <c r="T2772" i="2"/>
  <c r="T2771" i="2"/>
  <c r="T2770" i="2"/>
  <c r="T2769" i="2"/>
  <c r="T2768" i="2"/>
  <c r="T2767" i="2"/>
  <c r="T2766" i="2"/>
  <c r="T2765" i="2"/>
  <c r="T2764" i="2"/>
  <c r="T2763" i="2"/>
  <c r="T2762" i="2"/>
  <c r="T2761" i="2"/>
  <c r="T2760" i="2"/>
  <c r="T2759" i="2"/>
  <c r="T2758" i="2"/>
  <c r="T2757" i="2"/>
  <c r="T2756" i="2"/>
  <c r="T2755" i="2"/>
  <c r="T2754" i="2"/>
  <c r="T2753" i="2"/>
  <c r="T2752" i="2"/>
  <c r="T2751" i="2"/>
  <c r="T2750" i="2"/>
  <c r="T2749" i="2"/>
  <c r="T2748" i="2"/>
  <c r="T2747" i="2"/>
  <c r="T2746" i="2"/>
  <c r="T2745" i="2"/>
  <c r="T2744" i="2"/>
  <c r="T2743" i="2"/>
  <c r="T2742" i="2"/>
  <c r="T2741" i="2"/>
  <c r="T2740" i="2"/>
  <c r="T2739" i="2"/>
  <c r="T2738" i="2"/>
  <c r="T2737" i="2"/>
  <c r="T2736" i="2"/>
  <c r="T2735" i="2"/>
  <c r="T2734" i="2"/>
  <c r="T2733" i="2"/>
  <c r="T2732" i="2"/>
  <c r="T2731" i="2"/>
  <c r="T2730" i="2"/>
  <c r="T2729" i="2"/>
  <c r="T2728" i="2"/>
  <c r="T2727" i="2"/>
  <c r="T2726" i="2"/>
  <c r="T2725" i="2"/>
  <c r="T2724" i="2"/>
  <c r="T2723" i="2"/>
  <c r="T2722" i="2"/>
  <c r="T2721" i="2"/>
  <c r="T2720" i="2"/>
  <c r="T2719" i="2"/>
  <c r="T2718" i="2"/>
  <c r="T2717" i="2"/>
  <c r="T2716" i="2"/>
  <c r="T2715" i="2"/>
  <c r="T2714" i="2"/>
  <c r="T2713" i="2"/>
  <c r="T2712" i="2"/>
  <c r="T2711" i="2"/>
  <c r="T2710" i="2"/>
  <c r="T2709" i="2"/>
  <c r="T2708" i="2"/>
  <c r="T2707" i="2"/>
  <c r="T2706" i="2"/>
  <c r="T2705" i="2"/>
  <c r="T2704" i="2"/>
  <c r="T2703" i="2"/>
  <c r="T2702" i="2"/>
  <c r="T2701" i="2"/>
  <c r="T2700" i="2"/>
  <c r="T2699" i="2"/>
  <c r="T2698" i="2"/>
  <c r="T2697" i="2"/>
  <c r="T2696" i="2"/>
  <c r="T2695" i="2"/>
  <c r="T2694" i="2"/>
  <c r="T2693" i="2"/>
  <c r="T2692" i="2"/>
  <c r="T2691" i="2"/>
  <c r="T2690" i="2"/>
  <c r="T2689" i="2"/>
  <c r="T2688" i="2"/>
  <c r="T2687" i="2"/>
  <c r="T2686" i="2"/>
  <c r="T2685" i="2"/>
  <c r="T2684" i="2"/>
  <c r="T2683" i="2"/>
  <c r="T2682" i="2"/>
  <c r="T2681" i="2"/>
  <c r="T2680" i="2"/>
  <c r="T2679" i="2"/>
  <c r="T2678" i="2"/>
  <c r="T2677" i="2"/>
  <c r="T2676" i="2"/>
  <c r="T2675" i="2"/>
  <c r="T2674" i="2"/>
  <c r="T2673" i="2"/>
  <c r="T2672" i="2"/>
  <c r="T2671" i="2"/>
  <c r="T2670" i="2"/>
  <c r="T2669" i="2"/>
  <c r="T2668" i="2"/>
  <c r="T2667" i="2"/>
  <c r="T2666" i="2"/>
  <c r="T2665" i="2"/>
  <c r="T2664" i="2"/>
  <c r="T2663" i="2"/>
  <c r="T2662" i="2"/>
  <c r="T2661" i="2"/>
  <c r="T2660" i="2"/>
  <c r="T2659" i="2"/>
  <c r="T2658" i="2"/>
  <c r="T2657" i="2"/>
  <c r="T2656" i="2"/>
  <c r="T2655" i="2"/>
  <c r="T2654" i="2"/>
  <c r="T2653" i="2"/>
  <c r="T2652" i="2"/>
  <c r="T2651" i="2"/>
  <c r="T2650" i="2"/>
  <c r="T2649" i="2"/>
  <c r="T2648" i="2"/>
  <c r="T2647" i="2"/>
  <c r="T2646" i="2"/>
  <c r="T2645" i="2"/>
  <c r="T2644" i="2"/>
  <c r="T2643" i="2"/>
  <c r="T2642" i="2"/>
  <c r="T2641" i="2"/>
  <c r="T2640" i="2"/>
  <c r="T2639" i="2"/>
  <c r="T2638" i="2"/>
  <c r="T2637" i="2"/>
  <c r="T2636" i="2"/>
  <c r="T2635" i="2"/>
  <c r="T2634" i="2"/>
  <c r="T2633" i="2"/>
  <c r="T2632" i="2"/>
  <c r="T2631" i="2"/>
  <c r="T2630" i="2"/>
  <c r="T2629" i="2"/>
  <c r="T2628" i="2"/>
  <c r="T2627" i="2"/>
  <c r="T2626" i="2"/>
  <c r="T2625" i="2"/>
  <c r="T2624" i="2"/>
  <c r="T2623" i="2"/>
  <c r="T2622" i="2"/>
  <c r="T2621" i="2"/>
  <c r="T2620" i="2"/>
  <c r="T2619" i="2"/>
  <c r="T2618" i="2"/>
  <c r="T2617" i="2"/>
  <c r="T2616" i="2"/>
  <c r="T2615" i="2"/>
  <c r="T2614" i="2"/>
  <c r="T2613" i="2"/>
  <c r="T2612" i="2"/>
  <c r="T2611" i="2"/>
  <c r="T2610" i="2"/>
  <c r="T2609" i="2"/>
  <c r="T2608" i="2"/>
  <c r="T2607" i="2"/>
  <c r="T2606" i="2"/>
  <c r="T2605" i="2"/>
  <c r="T2604" i="2"/>
  <c r="T2603" i="2"/>
  <c r="T2602" i="2"/>
  <c r="T2601" i="2"/>
  <c r="T2600" i="2"/>
  <c r="T2599" i="2"/>
  <c r="T2598" i="2"/>
  <c r="T2597" i="2"/>
  <c r="T2596" i="2"/>
  <c r="T2595" i="2"/>
  <c r="T2594" i="2"/>
  <c r="T2593" i="2"/>
  <c r="T2592" i="2"/>
  <c r="T2591" i="2"/>
  <c r="T2590" i="2"/>
  <c r="T2589" i="2"/>
  <c r="T2588" i="2"/>
  <c r="T2587" i="2"/>
  <c r="T2586" i="2"/>
  <c r="T2585" i="2"/>
  <c r="T2584" i="2"/>
  <c r="T2583" i="2"/>
  <c r="T2582" i="2"/>
  <c r="T2581" i="2"/>
  <c r="T2580" i="2"/>
  <c r="T2579" i="2"/>
  <c r="T2578" i="2"/>
  <c r="T2577" i="2"/>
  <c r="T2576" i="2"/>
  <c r="T2575" i="2"/>
  <c r="T2574" i="2"/>
  <c r="T2573" i="2"/>
  <c r="T2572" i="2"/>
  <c r="T2571" i="2"/>
  <c r="T2570" i="2"/>
  <c r="T2569" i="2"/>
  <c r="T2568" i="2"/>
  <c r="T2567" i="2"/>
  <c r="T2566" i="2"/>
  <c r="T2565" i="2"/>
  <c r="T2564" i="2"/>
  <c r="T2563" i="2"/>
  <c r="T2562" i="2"/>
  <c r="T2561" i="2"/>
  <c r="T2560" i="2"/>
  <c r="T2559" i="2"/>
  <c r="T2558" i="2"/>
  <c r="T2557" i="2"/>
  <c r="T2556" i="2"/>
  <c r="T2555" i="2"/>
  <c r="T2554" i="2"/>
  <c r="T2553" i="2"/>
  <c r="T2552" i="2"/>
  <c r="T2551" i="2"/>
  <c r="T2550" i="2"/>
  <c r="T2549" i="2"/>
  <c r="T2548" i="2"/>
  <c r="T2547" i="2"/>
  <c r="T2546" i="2"/>
  <c r="T2545" i="2"/>
  <c r="T2544" i="2"/>
  <c r="T2543" i="2"/>
  <c r="T2542" i="2"/>
  <c r="T2541" i="2"/>
  <c r="T2540" i="2"/>
  <c r="T2539" i="2"/>
  <c r="T2538" i="2"/>
  <c r="T2537" i="2"/>
  <c r="T2536" i="2"/>
  <c r="T2535" i="2"/>
  <c r="T2534" i="2"/>
  <c r="T2533" i="2"/>
  <c r="T2532" i="2"/>
  <c r="T2531" i="2"/>
  <c r="T2530" i="2"/>
  <c r="T2529" i="2"/>
  <c r="T2528" i="2"/>
  <c r="T2527" i="2"/>
  <c r="T2526" i="2"/>
  <c r="T2525" i="2"/>
  <c r="T2524" i="2"/>
  <c r="T2523" i="2"/>
  <c r="T2522" i="2"/>
  <c r="T2521" i="2"/>
  <c r="T2520" i="2"/>
  <c r="T2519" i="2"/>
  <c r="T2518" i="2"/>
  <c r="T2517" i="2"/>
  <c r="T2516" i="2"/>
  <c r="T2515" i="2"/>
  <c r="T2514" i="2"/>
  <c r="T2513" i="2"/>
  <c r="T2512" i="2"/>
  <c r="T2511" i="2"/>
  <c r="T2510" i="2"/>
  <c r="T2509" i="2"/>
  <c r="T2508" i="2"/>
  <c r="T2507" i="2"/>
  <c r="T2506" i="2"/>
  <c r="T2505" i="2"/>
  <c r="T2504" i="2"/>
  <c r="T2503" i="2"/>
  <c r="T2502" i="2"/>
  <c r="T2501" i="2"/>
  <c r="T2500" i="2"/>
  <c r="T2499" i="2"/>
  <c r="T2498" i="2"/>
  <c r="T2497" i="2"/>
  <c r="T2496" i="2"/>
  <c r="T2495" i="2"/>
  <c r="T2494" i="2"/>
  <c r="T2493" i="2"/>
  <c r="T2492" i="2"/>
  <c r="T2491" i="2"/>
  <c r="T2490" i="2"/>
  <c r="T2489" i="2"/>
  <c r="T2488" i="2"/>
  <c r="T2487" i="2"/>
  <c r="T2486" i="2"/>
  <c r="T2485" i="2"/>
  <c r="T2484" i="2"/>
  <c r="T2483" i="2"/>
  <c r="T2482" i="2"/>
  <c r="T2481" i="2"/>
  <c r="T2480" i="2"/>
  <c r="T2479" i="2"/>
  <c r="T2478" i="2"/>
  <c r="T2477" i="2"/>
  <c r="T2476" i="2"/>
  <c r="T2475" i="2"/>
  <c r="T2474" i="2"/>
  <c r="T2473" i="2"/>
  <c r="T2472" i="2"/>
  <c r="T2471" i="2"/>
  <c r="T2470" i="2"/>
  <c r="T2469" i="2"/>
  <c r="T2468" i="2"/>
  <c r="T2467" i="2"/>
  <c r="T2466" i="2"/>
  <c r="T2465" i="2"/>
  <c r="T2464" i="2"/>
  <c r="T2463" i="2"/>
  <c r="T2462" i="2"/>
  <c r="T2461" i="2"/>
  <c r="T2460" i="2"/>
  <c r="T2459" i="2"/>
  <c r="T2458" i="2"/>
  <c r="T2457" i="2"/>
  <c r="T2456" i="2"/>
  <c r="T2455" i="2"/>
  <c r="T2454" i="2"/>
  <c r="T2453" i="2"/>
  <c r="T2452" i="2"/>
  <c r="T2451" i="2"/>
  <c r="T2450" i="2"/>
  <c r="T2449" i="2"/>
  <c r="T2448" i="2"/>
  <c r="T2447" i="2"/>
  <c r="T2446" i="2"/>
  <c r="T2445" i="2"/>
  <c r="T2444" i="2"/>
  <c r="T2443" i="2"/>
  <c r="T2442" i="2"/>
  <c r="T2441" i="2"/>
  <c r="T2440" i="2"/>
  <c r="T2439" i="2"/>
  <c r="T2438" i="2"/>
  <c r="T2437" i="2"/>
  <c r="T2436" i="2"/>
  <c r="T2435" i="2"/>
  <c r="T2434" i="2"/>
  <c r="T2433" i="2"/>
  <c r="T2432" i="2"/>
  <c r="T2431" i="2"/>
  <c r="T2430" i="2"/>
  <c r="T2429" i="2"/>
  <c r="T2428" i="2"/>
  <c r="T2427" i="2"/>
  <c r="T2426" i="2"/>
  <c r="T2425" i="2"/>
  <c r="T2424" i="2"/>
  <c r="T2423" i="2"/>
  <c r="T2422" i="2"/>
  <c r="T2421" i="2"/>
  <c r="T2420" i="2"/>
  <c r="T2419" i="2"/>
  <c r="T2418" i="2"/>
  <c r="T2417" i="2"/>
  <c r="T2416" i="2"/>
  <c r="T2415" i="2"/>
  <c r="T2414" i="2"/>
  <c r="T2413" i="2"/>
  <c r="T2412" i="2"/>
  <c r="T2411" i="2"/>
  <c r="T2410" i="2"/>
  <c r="T2409" i="2"/>
  <c r="T2408" i="2"/>
  <c r="T2407" i="2"/>
  <c r="T2406" i="2"/>
  <c r="T2405" i="2"/>
  <c r="T2404" i="2"/>
  <c r="T2403" i="2"/>
  <c r="T2402" i="2"/>
  <c r="T2401" i="2"/>
  <c r="T2400" i="2"/>
  <c r="T2399" i="2"/>
  <c r="T2398" i="2"/>
  <c r="T2397" i="2"/>
  <c r="T2396" i="2"/>
  <c r="T2395" i="2"/>
  <c r="T2394" i="2"/>
  <c r="T2393" i="2"/>
  <c r="T2392" i="2"/>
  <c r="T2391" i="2"/>
  <c r="T2390" i="2"/>
  <c r="T2389" i="2"/>
  <c r="T2388" i="2"/>
  <c r="T2387" i="2"/>
  <c r="T2386" i="2"/>
  <c r="T2385" i="2"/>
  <c r="T2384" i="2"/>
  <c r="T2383" i="2"/>
  <c r="T2382" i="2"/>
  <c r="T2381" i="2"/>
  <c r="T2380" i="2"/>
  <c r="T2379" i="2"/>
  <c r="T2378" i="2"/>
  <c r="T2377" i="2"/>
  <c r="T2376" i="2"/>
  <c r="T2375" i="2"/>
  <c r="T2374" i="2"/>
  <c r="T2373" i="2"/>
  <c r="T2372" i="2"/>
  <c r="T2371" i="2"/>
  <c r="T2370" i="2"/>
  <c r="T2369" i="2"/>
  <c r="T2368" i="2"/>
  <c r="T2367" i="2"/>
  <c r="T2366" i="2"/>
  <c r="T2365" i="2"/>
  <c r="T2364" i="2"/>
  <c r="T2363" i="2"/>
  <c r="T2362" i="2"/>
  <c r="T2361" i="2"/>
  <c r="T2360" i="2"/>
  <c r="T2359" i="2"/>
  <c r="T2358" i="2"/>
  <c r="T2357" i="2"/>
  <c r="T2356" i="2"/>
  <c r="T2355" i="2"/>
  <c r="T2354" i="2"/>
  <c r="T2353" i="2"/>
  <c r="T2352" i="2"/>
  <c r="T2351" i="2"/>
  <c r="T2350" i="2"/>
  <c r="T2349" i="2"/>
  <c r="T2348" i="2"/>
  <c r="T2347" i="2"/>
  <c r="T2346" i="2"/>
  <c r="T2345" i="2"/>
  <c r="T2344" i="2"/>
  <c r="T2343" i="2"/>
  <c r="T2342" i="2"/>
  <c r="T2341" i="2"/>
  <c r="T2340" i="2"/>
  <c r="T2339" i="2"/>
  <c r="T2338" i="2"/>
  <c r="T2337" i="2"/>
  <c r="T2336" i="2"/>
  <c r="T2335" i="2"/>
  <c r="T2334" i="2"/>
  <c r="T2333" i="2"/>
  <c r="T2332" i="2"/>
  <c r="T2331" i="2"/>
  <c r="T2330" i="2"/>
  <c r="T2329" i="2"/>
  <c r="T2328" i="2"/>
  <c r="T2327" i="2"/>
  <c r="T2326" i="2"/>
  <c r="T2325" i="2"/>
  <c r="T2324" i="2"/>
  <c r="T2323" i="2"/>
  <c r="T2322" i="2"/>
  <c r="T2321" i="2"/>
  <c r="T2320" i="2"/>
  <c r="T2319" i="2"/>
  <c r="T2318" i="2"/>
  <c r="T2317" i="2"/>
  <c r="T2316" i="2"/>
  <c r="T2315" i="2"/>
  <c r="T2314" i="2"/>
  <c r="T2313" i="2"/>
  <c r="T2312" i="2"/>
  <c r="T2311" i="2"/>
  <c r="T2310" i="2"/>
  <c r="T2309" i="2"/>
  <c r="T2308" i="2"/>
  <c r="T2307" i="2"/>
  <c r="T2306" i="2"/>
  <c r="T2305" i="2"/>
  <c r="T2304" i="2"/>
  <c r="T2303" i="2"/>
  <c r="T2302" i="2"/>
  <c r="T2301" i="2"/>
  <c r="T2300" i="2"/>
  <c r="T2299" i="2"/>
  <c r="T2298" i="2"/>
  <c r="T2297" i="2"/>
  <c r="T2296" i="2"/>
  <c r="T2295" i="2"/>
  <c r="T2294" i="2"/>
  <c r="T2293" i="2"/>
  <c r="T2292" i="2"/>
  <c r="T2291" i="2"/>
  <c r="T2290" i="2"/>
  <c r="T2289" i="2"/>
  <c r="T2288" i="2"/>
  <c r="T2287" i="2"/>
  <c r="T2286" i="2"/>
  <c r="T2285" i="2"/>
  <c r="T2284" i="2"/>
  <c r="T2283" i="2"/>
  <c r="T2282" i="2"/>
  <c r="T2281" i="2"/>
  <c r="T2280" i="2"/>
  <c r="T2279" i="2"/>
  <c r="T2278" i="2"/>
  <c r="T2277" i="2"/>
  <c r="T2276" i="2"/>
  <c r="T2275" i="2"/>
  <c r="T2274" i="2"/>
  <c r="T2273" i="2"/>
  <c r="T2272" i="2"/>
  <c r="T2271" i="2"/>
  <c r="T2270" i="2"/>
  <c r="T2269" i="2"/>
  <c r="T2268" i="2"/>
  <c r="T2267" i="2"/>
  <c r="T2266" i="2"/>
  <c r="T2265" i="2"/>
  <c r="T2264" i="2"/>
  <c r="T2263" i="2"/>
  <c r="T2262" i="2"/>
  <c r="T2261" i="2"/>
  <c r="T2260" i="2"/>
  <c r="T2259" i="2"/>
  <c r="T2258" i="2"/>
  <c r="T2257" i="2"/>
  <c r="T2256" i="2"/>
  <c r="T2255" i="2"/>
  <c r="T2254" i="2"/>
  <c r="T2253" i="2"/>
  <c r="T2252" i="2"/>
  <c r="T2251" i="2"/>
  <c r="T2250" i="2"/>
  <c r="T2249" i="2"/>
  <c r="T2248" i="2"/>
  <c r="T2247" i="2"/>
  <c r="T2246" i="2"/>
  <c r="T2245" i="2"/>
  <c r="T2244" i="2"/>
  <c r="T2243" i="2"/>
  <c r="T2242" i="2"/>
  <c r="T2241" i="2"/>
  <c r="T2240" i="2"/>
  <c r="T2239" i="2"/>
  <c r="T2238" i="2"/>
  <c r="T2237" i="2"/>
  <c r="T2236" i="2"/>
  <c r="T2235" i="2"/>
  <c r="T2234" i="2"/>
  <c r="T2233" i="2"/>
  <c r="T2232" i="2"/>
  <c r="T2231" i="2"/>
  <c r="T2230" i="2"/>
  <c r="T2229" i="2"/>
  <c r="T2228" i="2"/>
  <c r="T2227" i="2"/>
  <c r="T2226" i="2"/>
  <c r="T2225" i="2"/>
  <c r="T2224" i="2"/>
  <c r="T2223" i="2"/>
  <c r="T2222" i="2"/>
  <c r="T2221" i="2"/>
  <c r="T2220" i="2"/>
  <c r="T2219" i="2"/>
  <c r="T2218" i="2"/>
  <c r="T2217" i="2"/>
  <c r="T2216" i="2"/>
  <c r="T2215" i="2"/>
  <c r="T2214" i="2"/>
  <c r="T2213" i="2"/>
  <c r="T2212" i="2"/>
  <c r="T2211" i="2"/>
  <c r="T2210" i="2"/>
  <c r="T2209" i="2"/>
  <c r="T2208" i="2"/>
  <c r="T2207" i="2"/>
  <c r="T2206" i="2"/>
  <c r="T2205" i="2"/>
  <c r="T2204" i="2"/>
  <c r="T2203" i="2"/>
  <c r="T2202" i="2"/>
  <c r="T2201" i="2"/>
  <c r="T2200" i="2"/>
  <c r="T2199" i="2"/>
  <c r="T2198" i="2"/>
  <c r="T2197" i="2"/>
  <c r="T2196" i="2"/>
  <c r="T2195" i="2"/>
  <c r="T2194" i="2"/>
  <c r="T2193" i="2"/>
  <c r="T2192" i="2"/>
  <c r="T2191" i="2"/>
  <c r="T2190" i="2"/>
  <c r="T2189" i="2"/>
  <c r="T2188" i="2"/>
  <c r="T2187" i="2"/>
  <c r="T2186" i="2"/>
  <c r="T2185" i="2"/>
  <c r="T2184" i="2"/>
  <c r="T2183" i="2"/>
  <c r="T2182" i="2"/>
  <c r="T2181" i="2"/>
  <c r="T2180" i="2"/>
  <c r="T2179" i="2"/>
  <c r="T2178" i="2"/>
  <c r="T2177" i="2"/>
  <c r="T2176" i="2"/>
  <c r="T2175" i="2"/>
  <c r="T2174" i="2"/>
  <c r="T2173" i="2"/>
  <c r="T2172" i="2"/>
  <c r="T2171" i="2"/>
  <c r="T2170" i="2"/>
  <c r="T2169" i="2"/>
  <c r="T2168" i="2"/>
  <c r="T2167" i="2"/>
  <c r="T2166" i="2"/>
  <c r="T2165" i="2"/>
  <c r="T2164" i="2"/>
  <c r="T2163" i="2"/>
  <c r="T2162" i="2"/>
  <c r="T2161" i="2"/>
  <c r="T2160" i="2"/>
  <c r="T2159" i="2"/>
  <c r="T2158" i="2"/>
  <c r="T2157" i="2"/>
  <c r="T2156" i="2"/>
  <c r="T2155" i="2"/>
  <c r="T2154" i="2"/>
  <c r="T2153" i="2"/>
  <c r="T2152" i="2"/>
  <c r="T2151" i="2"/>
  <c r="T2150" i="2"/>
  <c r="T2149" i="2"/>
  <c r="T2148" i="2"/>
  <c r="T2147" i="2"/>
  <c r="T2146" i="2"/>
  <c r="T2145" i="2"/>
  <c r="T2144" i="2"/>
  <c r="T2143" i="2"/>
  <c r="T2142" i="2"/>
  <c r="T2141" i="2"/>
  <c r="T2140" i="2"/>
  <c r="T2139" i="2"/>
  <c r="T2138" i="2"/>
  <c r="T2137" i="2"/>
  <c r="T2136" i="2"/>
  <c r="T2135" i="2"/>
  <c r="T2134" i="2"/>
  <c r="T2133" i="2"/>
  <c r="T2132" i="2"/>
  <c r="T2131" i="2"/>
  <c r="T2130" i="2"/>
  <c r="T2129" i="2"/>
  <c r="T2128" i="2"/>
  <c r="T2127" i="2"/>
  <c r="T2126" i="2"/>
  <c r="T2125" i="2"/>
  <c r="T2124" i="2"/>
  <c r="T2123" i="2"/>
  <c r="T2122" i="2"/>
  <c r="T2121" i="2"/>
  <c r="T2120" i="2"/>
  <c r="T2119" i="2"/>
  <c r="T2118" i="2"/>
  <c r="T2117" i="2"/>
  <c r="T2116" i="2"/>
  <c r="T2115" i="2"/>
  <c r="T2114" i="2"/>
  <c r="T2113" i="2"/>
  <c r="T2112" i="2"/>
  <c r="T2111" i="2"/>
  <c r="T2110" i="2"/>
  <c r="T2109" i="2"/>
  <c r="T2108" i="2"/>
  <c r="T2107" i="2"/>
  <c r="T2106" i="2"/>
  <c r="T2105" i="2"/>
  <c r="T2104" i="2"/>
  <c r="T2103" i="2"/>
  <c r="T2102" i="2"/>
  <c r="T2101" i="2"/>
  <c r="T2100" i="2"/>
  <c r="T2099" i="2"/>
  <c r="T2098" i="2"/>
  <c r="T2097" i="2"/>
  <c r="T2096" i="2"/>
  <c r="T2095" i="2"/>
  <c r="T2094" i="2"/>
  <c r="T2093" i="2"/>
  <c r="T2092" i="2"/>
  <c r="T2091" i="2"/>
  <c r="T2090" i="2"/>
  <c r="T2089" i="2"/>
  <c r="T2088" i="2"/>
  <c r="T2087" i="2"/>
  <c r="T2086" i="2"/>
  <c r="T2085" i="2"/>
  <c r="T2084" i="2"/>
  <c r="T2083" i="2"/>
  <c r="T2082" i="2"/>
  <c r="T2081" i="2"/>
  <c r="T2080" i="2"/>
  <c r="T2079" i="2"/>
  <c r="T2078" i="2"/>
  <c r="T2077" i="2"/>
  <c r="T2076" i="2"/>
  <c r="T2075" i="2"/>
  <c r="T2074" i="2"/>
  <c r="T2073" i="2"/>
  <c r="T2072" i="2"/>
  <c r="T2071" i="2"/>
  <c r="T2070" i="2"/>
  <c r="T2069" i="2"/>
  <c r="T2068" i="2"/>
  <c r="T2067" i="2"/>
  <c r="T2066" i="2"/>
  <c r="T2065" i="2"/>
  <c r="T2064" i="2"/>
  <c r="T2063" i="2"/>
  <c r="T2062" i="2"/>
  <c r="T2061" i="2"/>
  <c r="T2060" i="2"/>
  <c r="T2059" i="2"/>
  <c r="T2058" i="2"/>
  <c r="T2057" i="2"/>
  <c r="T2056" i="2"/>
  <c r="T2055" i="2"/>
  <c r="T2054" i="2"/>
  <c r="T2053" i="2"/>
  <c r="T2052" i="2"/>
  <c r="T2051" i="2"/>
  <c r="T2050" i="2"/>
  <c r="T2049" i="2"/>
  <c r="T2048" i="2"/>
  <c r="T2047" i="2"/>
  <c r="T2046" i="2"/>
  <c r="T2045" i="2"/>
  <c r="T2044" i="2"/>
  <c r="T2043" i="2"/>
  <c r="T2042" i="2"/>
  <c r="T2041" i="2"/>
  <c r="T2040" i="2"/>
  <c r="T2039" i="2"/>
  <c r="T2038" i="2"/>
  <c r="T2037" i="2"/>
  <c r="T2036" i="2"/>
  <c r="T2035" i="2"/>
  <c r="T2034" i="2"/>
  <c r="T2033" i="2"/>
  <c r="T2032" i="2"/>
  <c r="T2031" i="2"/>
  <c r="T2030" i="2"/>
  <c r="T2029" i="2"/>
  <c r="T2028" i="2"/>
  <c r="T2027" i="2"/>
  <c r="T2026" i="2"/>
  <c r="T2025" i="2"/>
  <c r="T2024" i="2"/>
  <c r="T2023" i="2"/>
  <c r="T2022" i="2"/>
  <c r="T2021" i="2"/>
  <c r="T2020" i="2"/>
  <c r="T2019" i="2"/>
  <c r="T2018" i="2"/>
  <c r="T2017" i="2"/>
  <c r="T2016" i="2"/>
  <c r="T2015" i="2"/>
  <c r="T2014" i="2"/>
  <c r="T2013" i="2"/>
  <c r="T2012" i="2"/>
  <c r="T2011" i="2"/>
  <c r="T2010" i="2"/>
  <c r="T2009" i="2"/>
  <c r="T2008" i="2"/>
  <c r="T2007" i="2"/>
  <c r="T2006" i="2"/>
  <c r="T2005" i="2"/>
  <c r="T2004" i="2"/>
  <c r="T2003" i="2"/>
  <c r="T2002" i="2"/>
  <c r="T2001" i="2"/>
  <c r="T2000" i="2"/>
  <c r="T1999" i="2"/>
  <c r="T1998" i="2"/>
  <c r="T1997" i="2"/>
  <c r="T1996" i="2"/>
  <c r="T1995" i="2"/>
  <c r="T1994" i="2"/>
  <c r="T1993" i="2"/>
  <c r="T1992" i="2"/>
  <c r="T1991" i="2"/>
  <c r="T1990" i="2"/>
  <c r="T1989" i="2"/>
  <c r="T1988" i="2"/>
  <c r="T1987" i="2"/>
  <c r="T1986" i="2"/>
  <c r="T1985" i="2"/>
  <c r="T1984" i="2"/>
  <c r="T1983" i="2"/>
  <c r="T1982" i="2"/>
  <c r="T1981" i="2"/>
  <c r="T1980" i="2"/>
  <c r="T1979" i="2"/>
  <c r="T1978" i="2"/>
  <c r="T1977" i="2"/>
  <c r="T1976" i="2"/>
  <c r="T1975" i="2"/>
  <c r="T1974" i="2"/>
  <c r="T1973" i="2"/>
  <c r="T1972" i="2"/>
  <c r="T1971" i="2"/>
  <c r="T1970" i="2"/>
  <c r="T1969" i="2"/>
  <c r="T1968" i="2"/>
  <c r="T1967" i="2"/>
  <c r="T1966" i="2"/>
  <c r="T1965" i="2"/>
  <c r="T1964" i="2"/>
  <c r="T1963" i="2"/>
  <c r="T1962" i="2"/>
  <c r="T1961" i="2"/>
  <c r="T1960" i="2"/>
  <c r="T1959" i="2"/>
  <c r="T1958" i="2"/>
  <c r="T1957" i="2"/>
  <c r="T1956" i="2"/>
  <c r="T1955" i="2"/>
  <c r="T1954" i="2"/>
  <c r="T1953" i="2"/>
  <c r="T1952" i="2"/>
  <c r="T1951" i="2"/>
  <c r="T1950" i="2"/>
  <c r="T1949" i="2"/>
  <c r="T1948" i="2"/>
  <c r="T1947" i="2"/>
  <c r="T1946" i="2"/>
  <c r="T1945" i="2"/>
  <c r="T1944" i="2"/>
  <c r="T1943" i="2"/>
  <c r="T1942" i="2"/>
  <c r="T1941" i="2"/>
  <c r="T1940" i="2"/>
  <c r="T1939" i="2"/>
  <c r="T1938" i="2"/>
  <c r="T1937" i="2"/>
  <c r="T1936" i="2"/>
  <c r="T1935" i="2"/>
  <c r="T1934" i="2"/>
  <c r="T1933" i="2"/>
  <c r="T1932" i="2"/>
  <c r="T1931" i="2"/>
  <c r="T1930" i="2"/>
  <c r="T1929" i="2"/>
  <c r="T1928" i="2"/>
  <c r="T1927" i="2"/>
  <c r="T1926" i="2"/>
  <c r="T1925" i="2"/>
  <c r="T1924" i="2"/>
  <c r="T1923" i="2"/>
  <c r="T1922" i="2"/>
  <c r="T1921" i="2"/>
  <c r="T1920" i="2"/>
  <c r="T1919" i="2"/>
  <c r="T1918" i="2"/>
  <c r="T1917" i="2"/>
  <c r="T1916" i="2"/>
  <c r="T1915" i="2"/>
  <c r="T1914" i="2"/>
  <c r="T1913" i="2"/>
  <c r="T1912" i="2"/>
  <c r="T1911" i="2"/>
  <c r="T1910" i="2"/>
  <c r="T1909" i="2"/>
  <c r="T1908" i="2"/>
  <c r="T1907" i="2"/>
  <c r="T1906" i="2"/>
  <c r="T1905" i="2"/>
  <c r="T1904" i="2"/>
  <c r="T1903" i="2"/>
  <c r="T1902" i="2"/>
  <c r="T1901" i="2"/>
  <c r="T1900" i="2"/>
  <c r="T1899" i="2"/>
  <c r="T1898" i="2"/>
  <c r="T1897" i="2"/>
  <c r="T1896" i="2"/>
  <c r="T1895" i="2"/>
  <c r="T1894" i="2"/>
  <c r="T1893" i="2"/>
  <c r="T1892" i="2"/>
  <c r="T1891" i="2"/>
  <c r="T1890" i="2"/>
  <c r="T1889" i="2"/>
  <c r="T1888" i="2"/>
  <c r="T1887" i="2"/>
  <c r="T1886" i="2"/>
  <c r="T1885" i="2"/>
  <c r="T1884" i="2"/>
  <c r="T1883" i="2"/>
  <c r="T1882" i="2"/>
  <c r="T1881" i="2"/>
  <c r="T1880" i="2"/>
  <c r="T1879" i="2"/>
  <c r="T1878" i="2"/>
  <c r="T1877" i="2"/>
  <c r="T1876" i="2"/>
  <c r="T1875" i="2"/>
  <c r="T1874" i="2"/>
  <c r="T1873" i="2"/>
  <c r="T1872" i="2"/>
  <c r="T1871" i="2"/>
  <c r="T1870" i="2"/>
  <c r="T1869" i="2"/>
  <c r="T1868" i="2"/>
  <c r="T1867" i="2"/>
  <c r="T1866" i="2"/>
  <c r="T1865" i="2"/>
  <c r="T1864" i="2"/>
  <c r="T1863" i="2"/>
  <c r="T1862" i="2"/>
  <c r="T1861" i="2"/>
  <c r="T1860" i="2"/>
  <c r="T1859" i="2"/>
  <c r="T1858" i="2"/>
  <c r="T1857" i="2"/>
  <c r="T1856" i="2"/>
  <c r="T1855" i="2"/>
  <c r="T1854" i="2"/>
  <c r="T1853" i="2"/>
  <c r="T1852" i="2"/>
  <c r="T1851" i="2"/>
  <c r="T1850" i="2"/>
  <c r="T1849" i="2"/>
  <c r="T1848" i="2"/>
  <c r="T1847" i="2"/>
  <c r="T1846" i="2"/>
  <c r="T1845" i="2"/>
  <c r="T1844" i="2"/>
  <c r="T1843" i="2"/>
  <c r="T1842" i="2"/>
  <c r="T1841" i="2"/>
  <c r="T1840" i="2"/>
  <c r="T1839" i="2"/>
  <c r="T1838" i="2"/>
  <c r="T1837" i="2"/>
  <c r="T1836" i="2"/>
  <c r="T1835" i="2"/>
  <c r="T1834" i="2"/>
  <c r="T1833" i="2"/>
  <c r="T1832" i="2"/>
  <c r="T1831" i="2"/>
  <c r="T1830" i="2"/>
  <c r="T1829" i="2"/>
  <c r="T1828" i="2"/>
  <c r="T1827" i="2"/>
  <c r="T1826" i="2"/>
  <c r="T1825" i="2"/>
  <c r="T1824" i="2"/>
  <c r="T1823" i="2"/>
  <c r="T1822" i="2"/>
  <c r="T1821" i="2"/>
  <c r="T1820" i="2"/>
  <c r="T1819" i="2"/>
  <c r="T1818" i="2"/>
  <c r="T1817" i="2"/>
  <c r="T1816" i="2"/>
  <c r="T1815" i="2"/>
  <c r="T1814" i="2"/>
  <c r="T1813" i="2"/>
  <c r="T1812" i="2"/>
  <c r="T1811" i="2"/>
  <c r="T1810" i="2"/>
  <c r="T1809" i="2"/>
  <c r="T1808" i="2"/>
  <c r="T1807" i="2"/>
  <c r="T1806" i="2"/>
  <c r="T1805" i="2"/>
  <c r="T1804" i="2"/>
  <c r="T1803" i="2"/>
  <c r="T1802" i="2"/>
  <c r="T1801" i="2"/>
  <c r="T1800" i="2"/>
  <c r="T1799" i="2"/>
  <c r="T1798" i="2"/>
  <c r="T1797" i="2"/>
  <c r="T1796" i="2"/>
  <c r="T1795" i="2"/>
  <c r="T1794" i="2"/>
  <c r="T1793" i="2"/>
  <c r="T1792" i="2"/>
  <c r="T1791" i="2"/>
  <c r="T1790" i="2"/>
  <c r="T1789" i="2"/>
  <c r="T1788" i="2"/>
  <c r="T1787" i="2"/>
  <c r="T1786" i="2"/>
  <c r="T1785" i="2"/>
  <c r="T1784" i="2"/>
  <c r="T1783" i="2"/>
  <c r="T1782" i="2"/>
  <c r="T1781" i="2"/>
  <c r="T1780" i="2"/>
  <c r="T1779" i="2"/>
  <c r="T1778" i="2"/>
  <c r="T1777" i="2"/>
  <c r="T1776" i="2"/>
  <c r="T1775" i="2"/>
  <c r="T1774" i="2"/>
  <c r="T1773" i="2"/>
  <c r="T1772" i="2"/>
  <c r="T1771" i="2"/>
  <c r="T1770" i="2"/>
  <c r="T1769" i="2"/>
  <c r="T1768" i="2"/>
  <c r="T1767" i="2"/>
  <c r="T1766" i="2"/>
  <c r="T1765" i="2"/>
  <c r="T1764" i="2"/>
  <c r="T1763" i="2"/>
  <c r="T1762" i="2"/>
  <c r="T1761" i="2"/>
  <c r="T1760" i="2"/>
  <c r="T1759" i="2"/>
  <c r="T1758" i="2"/>
  <c r="T1757" i="2"/>
  <c r="T1756" i="2"/>
  <c r="T1755" i="2"/>
  <c r="T1754" i="2"/>
  <c r="T1753" i="2"/>
  <c r="T1752" i="2"/>
  <c r="T1751" i="2"/>
  <c r="T1750" i="2"/>
  <c r="T1749" i="2"/>
  <c r="T1748" i="2"/>
  <c r="T1747" i="2"/>
  <c r="T1746" i="2"/>
  <c r="T1745" i="2"/>
  <c r="T1744" i="2"/>
  <c r="T1743" i="2"/>
  <c r="T1742" i="2"/>
  <c r="T1741" i="2"/>
  <c r="T1740" i="2"/>
  <c r="T1739" i="2"/>
  <c r="T1738" i="2"/>
  <c r="T1737" i="2"/>
  <c r="T1736" i="2"/>
  <c r="T1735" i="2"/>
  <c r="T1734" i="2"/>
  <c r="T1733" i="2"/>
  <c r="T1732" i="2"/>
  <c r="T1731" i="2"/>
  <c r="T1730" i="2"/>
  <c r="T1729" i="2"/>
  <c r="T1728" i="2"/>
  <c r="T1727" i="2"/>
  <c r="T1726" i="2"/>
  <c r="T1725" i="2"/>
  <c r="T1724" i="2"/>
  <c r="T1723" i="2"/>
  <c r="T1722" i="2"/>
  <c r="T1721" i="2"/>
  <c r="T1720" i="2"/>
  <c r="T1719" i="2"/>
  <c r="T1718" i="2"/>
  <c r="T1717" i="2"/>
  <c r="T1716" i="2"/>
  <c r="T1715" i="2"/>
  <c r="T1714" i="2"/>
  <c r="T1713" i="2"/>
  <c r="T1712" i="2"/>
  <c r="T1711" i="2"/>
  <c r="T1710" i="2"/>
  <c r="T1709" i="2"/>
  <c r="T1708" i="2"/>
  <c r="T1707" i="2"/>
  <c r="T1706" i="2"/>
  <c r="T1705" i="2"/>
  <c r="T1704" i="2"/>
  <c r="T1703" i="2"/>
  <c r="T1702" i="2"/>
  <c r="T1701" i="2"/>
  <c r="T1700" i="2"/>
  <c r="T1699" i="2"/>
  <c r="T1698" i="2"/>
  <c r="T1697" i="2"/>
  <c r="T1696" i="2"/>
  <c r="T1695" i="2"/>
  <c r="T1694" i="2"/>
  <c r="T1693" i="2"/>
  <c r="T1692" i="2"/>
  <c r="T1691" i="2"/>
  <c r="T1690" i="2"/>
  <c r="T1689" i="2"/>
  <c r="T1688" i="2"/>
  <c r="T1687" i="2"/>
  <c r="T1686" i="2"/>
  <c r="T1685" i="2"/>
  <c r="T1684" i="2"/>
  <c r="T1683" i="2"/>
  <c r="T1682" i="2"/>
  <c r="T1681" i="2"/>
  <c r="T1680" i="2"/>
  <c r="T1679" i="2"/>
  <c r="T1678" i="2"/>
  <c r="T1677" i="2"/>
  <c r="T1676" i="2"/>
  <c r="T1675" i="2"/>
  <c r="T1674" i="2"/>
  <c r="T1673" i="2"/>
  <c r="T1672" i="2"/>
  <c r="T1671" i="2"/>
  <c r="T1670" i="2"/>
  <c r="T1669" i="2"/>
  <c r="T1668" i="2"/>
  <c r="T1667" i="2"/>
  <c r="T1666" i="2"/>
  <c r="T1665" i="2"/>
  <c r="T1664" i="2"/>
  <c r="T1663" i="2"/>
  <c r="T1662" i="2"/>
  <c r="T1661" i="2"/>
  <c r="T1660" i="2"/>
  <c r="T1659" i="2"/>
  <c r="T1658" i="2"/>
  <c r="T1657" i="2"/>
  <c r="T1656" i="2"/>
  <c r="T1655" i="2"/>
  <c r="T1654" i="2"/>
  <c r="T1653" i="2"/>
  <c r="T1652" i="2"/>
  <c r="T1651" i="2"/>
  <c r="T1650" i="2"/>
  <c r="T1649" i="2"/>
  <c r="T1648" i="2"/>
  <c r="T1647" i="2"/>
  <c r="T1646" i="2"/>
  <c r="T1645" i="2"/>
  <c r="T1644" i="2"/>
  <c r="T1643" i="2"/>
  <c r="T1642" i="2"/>
  <c r="T1641" i="2"/>
  <c r="T1640" i="2"/>
  <c r="T1639" i="2"/>
  <c r="T1638" i="2"/>
  <c r="T1637" i="2"/>
  <c r="T1636" i="2"/>
  <c r="T1635" i="2"/>
  <c r="T1634" i="2"/>
  <c r="T1633" i="2"/>
  <c r="T1632" i="2"/>
  <c r="T1631" i="2"/>
  <c r="T1630" i="2"/>
  <c r="T1629" i="2"/>
  <c r="T1628" i="2"/>
  <c r="T1627" i="2"/>
  <c r="T1626" i="2"/>
  <c r="T1625" i="2"/>
  <c r="T1624" i="2"/>
  <c r="T1623" i="2"/>
  <c r="T1622" i="2"/>
  <c r="T1621" i="2"/>
  <c r="T1620" i="2"/>
  <c r="T1619" i="2"/>
  <c r="T1618" i="2"/>
  <c r="T1617" i="2"/>
  <c r="T1616" i="2"/>
  <c r="T1615" i="2"/>
  <c r="T1614" i="2"/>
  <c r="T1613" i="2"/>
  <c r="T1612" i="2"/>
  <c r="T1611" i="2"/>
  <c r="T1610" i="2"/>
  <c r="T1609" i="2"/>
  <c r="T1608" i="2"/>
  <c r="T1607" i="2"/>
  <c r="T1606" i="2"/>
  <c r="T1605" i="2"/>
  <c r="T1604" i="2"/>
  <c r="T1603" i="2"/>
  <c r="T1602" i="2"/>
  <c r="T1601" i="2"/>
  <c r="T1600" i="2"/>
  <c r="T1599" i="2"/>
  <c r="T1598" i="2"/>
  <c r="T1597" i="2"/>
  <c r="T1596" i="2"/>
  <c r="T1595" i="2"/>
  <c r="T1594" i="2"/>
  <c r="T1593" i="2"/>
  <c r="T1592" i="2"/>
  <c r="T1591" i="2"/>
  <c r="T1590" i="2"/>
  <c r="T1589" i="2"/>
  <c r="T1588" i="2"/>
  <c r="T1587" i="2"/>
  <c r="T1586" i="2"/>
  <c r="T1585" i="2"/>
  <c r="T1584" i="2"/>
  <c r="T1583" i="2"/>
  <c r="T1582" i="2"/>
  <c r="T1581" i="2"/>
  <c r="T1580" i="2"/>
  <c r="T1579" i="2"/>
  <c r="T1578" i="2"/>
  <c r="T1577" i="2"/>
  <c r="T1576" i="2"/>
  <c r="T1575" i="2"/>
  <c r="T1574" i="2"/>
  <c r="T1573" i="2"/>
  <c r="T1572" i="2"/>
  <c r="T1571" i="2"/>
  <c r="T1570" i="2"/>
  <c r="T1569" i="2"/>
  <c r="T1568" i="2"/>
  <c r="T1567" i="2"/>
  <c r="T1566" i="2"/>
  <c r="T1565" i="2"/>
  <c r="T1564" i="2"/>
  <c r="T1563" i="2"/>
  <c r="T1562" i="2"/>
  <c r="T1561" i="2"/>
  <c r="T1560" i="2"/>
  <c r="T1559" i="2"/>
  <c r="T1558" i="2"/>
  <c r="T1557" i="2"/>
  <c r="T1556" i="2"/>
  <c r="T1555" i="2"/>
  <c r="T1554" i="2"/>
  <c r="T1553" i="2"/>
  <c r="T1552" i="2"/>
  <c r="T1551" i="2"/>
  <c r="T1550" i="2"/>
  <c r="T1549" i="2"/>
  <c r="T1548" i="2"/>
  <c r="T1547" i="2"/>
  <c r="T1546" i="2"/>
  <c r="T1545" i="2"/>
  <c r="T1544" i="2"/>
  <c r="T1543" i="2"/>
  <c r="T1542" i="2"/>
  <c r="T1541" i="2"/>
  <c r="T1540" i="2"/>
  <c r="T1539" i="2"/>
  <c r="T1538" i="2"/>
  <c r="T1537" i="2"/>
  <c r="T1536" i="2"/>
  <c r="T1535" i="2"/>
  <c r="T1534" i="2"/>
  <c r="T1533" i="2"/>
  <c r="T1532" i="2"/>
  <c r="T1531" i="2"/>
  <c r="T1530" i="2"/>
  <c r="T1529" i="2"/>
  <c r="T1528" i="2"/>
  <c r="T1527" i="2"/>
  <c r="T1526" i="2"/>
  <c r="T1525" i="2"/>
  <c r="T1524" i="2"/>
  <c r="T1523" i="2"/>
  <c r="T1522" i="2"/>
  <c r="T1521" i="2"/>
  <c r="T1520" i="2"/>
  <c r="T1519" i="2"/>
  <c r="T1518" i="2"/>
  <c r="T1517" i="2"/>
  <c r="T1516" i="2"/>
  <c r="T1515" i="2"/>
  <c r="T1514" i="2"/>
  <c r="T1513" i="2"/>
  <c r="T1512" i="2"/>
  <c r="T1511" i="2"/>
  <c r="T1510" i="2"/>
  <c r="T1509" i="2"/>
  <c r="T1508" i="2"/>
  <c r="T1507" i="2"/>
  <c r="T1506" i="2"/>
  <c r="T1505" i="2"/>
  <c r="T1504" i="2"/>
  <c r="T1503" i="2"/>
  <c r="T1502" i="2"/>
  <c r="T1501" i="2"/>
  <c r="T1500" i="2"/>
  <c r="T1499" i="2"/>
  <c r="T1498" i="2"/>
  <c r="T1497" i="2"/>
  <c r="T1496" i="2"/>
  <c r="T1495" i="2"/>
  <c r="T1494" i="2"/>
  <c r="T1493" i="2"/>
  <c r="T1492" i="2"/>
  <c r="T1491" i="2"/>
  <c r="T1490" i="2"/>
  <c r="T1489" i="2"/>
  <c r="T1488" i="2"/>
  <c r="T1487" i="2"/>
  <c r="T1486" i="2"/>
  <c r="T1485" i="2"/>
  <c r="T1484" i="2"/>
  <c r="T1483" i="2"/>
  <c r="T1482" i="2"/>
  <c r="T1481" i="2"/>
  <c r="T1480" i="2"/>
  <c r="T1479" i="2"/>
  <c r="T1478" i="2"/>
  <c r="T1477" i="2"/>
  <c r="T1476" i="2"/>
  <c r="T1475" i="2"/>
  <c r="T1474" i="2"/>
  <c r="T1473" i="2"/>
  <c r="T1472" i="2"/>
  <c r="T1471" i="2"/>
  <c r="T1470" i="2"/>
  <c r="T1469" i="2"/>
  <c r="T1468" i="2"/>
  <c r="T1467" i="2"/>
  <c r="T1466" i="2"/>
  <c r="T1465" i="2"/>
  <c r="T1464" i="2"/>
  <c r="T1463" i="2"/>
  <c r="T1462" i="2"/>
  <c r="T1461" i="2"/>
  <c r="T1460" i="2"/>
  <c r="T1459" i="2"/>
  <c r="T1458" i="2"/>
  <c r="T1457" i="2"/>
  <c r="T1456" i="2"/>
  <c r="T1455" i="2"/>
  <c r="T1454" i="2"/>
  <c r="T1453" i="2"/>
  <c r="T1452" i="2"/>
  <c r="T1451" i="2"/>
  <c r="T1450" i="2"/>
  <c r="T1449" i="2"/>
  <c r="T1448" i="2"/>
  <c r="T1447" i="2"/>
  <c r="T1446" i="2"/>
  <c r="T1445" i="2"/>
  <c r="T1444" i="2"/>
  <c r="T1443" i="2"/>
  <c r="T1442" i="2"/>
  <c r="T1441" i="2"/>
  <c r="T1440" i="2"/>
  <c r="T1439" i="2"/>
  <c r="T1438" i="2"/>
  <c r="T1437" i="2"/>
  <c r="T1436" i="2"/>
  <c r="T1435" i="2"/>
  <c r="T1434" i="2"/>
  <c r="T1433" i="2"/>
  <c r="T1432" i="2"/>
  <c r="T1431" i="2"/>
  <c r="T1430" i="2"/>
  <c r="T1429" i="2"/>
  <c r="T1428" i="2"/>
  <c r="T1427" i="2"/>
  <c r="T1426" i="2"/>
  <c r="T1425" i="2"/>
  <c r="T1424" i="2"/>
  <c r="T1423" i="2"/>
  <c r="T1422" i="2"/>
  <c r="T1421" i="2"/>
  <c r="T1420" i="2"/>
  <c r="T1419" i="2"/>
  <c r="T1418" i="2"/>
  <c r="T1417" i="2"/>
  <c r="T1416" i="2"/>
  <c r="T1415" i="2"/>
  <c r="T1414" i="2"/>
  <c r="T1413" i="2"/>
  <c r="T1412" i="2"/>
  <c r="T1411" i="2"/>
  <c r="T1410" i="2"/>
  <c r="T1409" i="2"/>
  <c r="T1408" i="2"/>
  <c r="T1407" i="2"/>
  <c r="T1406" i="2"/>
  <c r="T1405" i="2"/>
  <c r="T1404" i="2"/>
  <c r="T1403" i="2"/>
  <c r="T1402" i="2"/>
  <c r="T1401" i="2"/>
  <c r="T1400" i="2"/>
  <c r="T1399" i="2"/>
  <c r="T1398" i="2"/>
  <c r="T1397" i="2"/>
  <c r="T1396" i="2"/>
  <c r="T1395" i="2"/>
  <c r="T1394" i="2"/>
  <c r="T1393" i="2"/>
  <c r="T1392" i="2"/>
  <c r="T1391" i="2"/>
  <c r="T1390" i="2"/>
  <c r="T1389" i="2"/>
  <c r="T1388" i="2"/>
  <c r="T1387" i="2"/>
  <c r="T1386" i="2"/>
  <c r="T1385" i="2"/>
  <c r="T1384" i="2"/>
  <c r="T1383" i="2"/>
  <c r="T1382" i="2"/>
  <c r="T1381" i="2"/>
  <c r="T1380" i="2"/>
  <c r="T1379" i="2"/>
  <c r="T1378" i="2"/>
  <c r="T1377" i="2"/>
  <c r="T1376" i="2"/>
  <c r="T1375" i="2"/>
  <c r="T1374" i="2"/>
  <c r="T1373" i="2"/>
  <c r="T1372" i="2"/>
  <c r="T1371" i="2"/>
  <c r="T1370" i="2"/>
  <c r="T1369" i="2"/>
  <c r="T1368" i="2"/>
  <c r="T1367" i="2"/>
  <c r="T1366" i="2"/>
  <c r="T1365" i="2"/>
  <c r="T1364" i="2"/>
  <c r="T1363" i="2"/>
  <c r="T1362" i="2"/>
  <c r="T1361" i="2"/>
  <c r="T1360" i="2"/>
  <c r="T1359" i="2"/>
  <c r="T1358" i="2"/>
  <c r="T1357" i="2"/>
  <c r="T1356" i="2"/>
  <c r="T1355" i="2"/>
  <c r="T1354" i="2"/>
  <c r="T1353" i="2"/>
  <c r="T1352" i="2"/>
  <c r="T1351" i="2"/>
  <c r="T1350" i="2"/>
  <c r="T1349" i="2"/>
  <c r="T1348" i="2"/>
  <c r="T1347" i="2"/>
  <c r="T1346" i="2"/>
  <c r="T1345" i="2"/>
  <c r="T1344" i="2"/>
  <c r="T1343" i="2"/>
  <c r="T1342" i="2"/>
  <c r="T1341" i="2"/>
  <c r="T1340" i="2"/>
  <c r="T1339" i="2"/>
  <c r="T1338" i="2"/>
  <c r="T1337" i="2"/>
  <c r="T1336" i="2"/>
  <c r="T1335" i="2"/>
  <c r="T1334" i="2"/>
  <c r="T1333" i="2"/>
  <c r="T1332" i="2"/>
  <c r="T1331" i="2"/>
  <c r="T1330" i="2"/>
  <c r="T1329" i="2"/>
  <c r="T1328" i="2"/>
  <c r="T1327" i="2"/>
  <c r="T1326" i="2"/>
  <c r="T1325" i="2"/>
  <c r="T1324" i="2"/>
  <c r="T1323" i="2"/>
  <c r="T1322" i="2"/>
  <c r="T1321" i="2"/>
  <c r="T1320" i="2"/>
  <c r="T1319" i="2"/>
  <c r="T1318" i="2"/>
  <c r="T1317" i="2"/>
  <c r="T1316" i="2"/>
  <c r="T1315" i="2"/>
  <c r="T1314" i="2"/>
  <c r="T1313" i="2"/>
  <c r="T1312" i="2"/>
  <c r="T1311" i="2"/>
  <c r="T1310" i="2"/>
  <c r="T1309" i="2"/>
  <c r="T1308" i="2"/>
  <c r="T1307" i="2"/>
  <c r="T1306" i="2"/>
  <c r="T1305" i="2"/>
  <c r="T1304" i="2"/>
  <c r="T1303" i="2"/>
  <c r="T1302" i="2"/>
  <c r="T1301" i="2"/>
  <c r="T1300" i="2"/>
  <c r="T1299" i="2"/>
  <c r="T1298" i="2"/>
  <c r="T1297" i="2"/>
  <c r="T1296" i="2"/>
  <c r="T1295" i="2"/>
  <c r="T1294" i="2"/>
  <c r="T1293" i="2"/>
  <c r="T1292" i="2"/>
  <c r="T1291" i="2"/>
  <c r="T1290" i="2"/>
  <c r="T1289" i="2"/>
  <c r="T1288" i="2"/>
  <c r="T1287" i="2"/>
  <c r="T1286" i="2"/>
  <c r="T1285" i="2"/>
  <c r="T1284" i="2"/>
  <c r="T1283" i="2"/>
  <c r="T1282" i="2"/>
  <c r="T1281" i="2"/>
  <c r="T1280" i="2"/>
  <c r="T1279" i="2"/>
  <c r="T1278" i="2"/>
  <c r="T1277" i="2"/>
  <c r="T1276" i="2"/>
  <c r="T1275" i="2"/>
  <c r="T1274" i="2"/>
  <c r="T1273" i="2"/>
  <c r="T1272" i="2"/>
  <c r="T1271" i="2"/>
  <c r="T1270" i="2"/>
  <c r="T1269" i="2"/>
  <c r="T1268" i="2"/>
  <c r="T1267" i="2"/>
  <c r="T1266" i="2"/>
  <c r="T1265" i="2"/>
  <c r="T1264" i="2"/>
  <c r="T1263" i="2"/>
  <c r="T1262" i="2"/>
  <c r="T1261" i="2"/>
  <c r="T1260" i="2"/>
  <c r="T1259" i="2"/>
  <c r="T1258" i="2"/>
  <c r="T1257" i="2"/>
  <c r="T1256" i="2"/>
  <c r="T1255" i="2"/>
  <c r="T1254" i="2"/>
  <c r="T1253" i="2"/>
  <c r="T1252" i="2"/>
  <c r="T1251" i="2"/>
  <c r="T1250" i="2"/>
  <c r="T1249" i="2"/>
  <c r="T1248" i="2"/>
  <c r="T1247" i="2"/>
  <c r="T1246" i="2"/>
  <c r="T1245" i="2"/>
  <c r="T1244" i="2"/>
  <c r="T1243" i="2"/>
  <c r="T1242" i="2"/>
  <c r="T1241" i="2"/>
  <c r="T1240" i="2"/>
  <c r="T1239" i="2"/>
  <c r="T1238" i="2"/>
  <c r="T1237" i="2"/>
  <c r="T1236" i="2"/>
  <c r="T1235" i="2"/>
  <c r="T1234" i="2"/>
  <c r="T1233" i="2"/>
  <c r="T1232" i="2"/>
  <c r="T1231" i="2"/>
  <c r="T1230" i="2"/>
  <c r="T1229" i="2"/>
  <c r="T1228" i="2"/>
  <c r="T1227" i="2"/>
  <c r="T1226" i="2"/>
  <c r="T1225" i="2"/>
  <c r="T1224" i="2"/>
  <c r="T1223" i="2"/>
  <c r="T1222" i="2"/>
  <c r="T1221" i="2"/>
  <c r="T1220" i="2"/>
  <c r="T1219" i="2"/>
  <c r="T1218" i="2"/>
  <c r="T1217" i="2"/>
  <c r="T1216" i="2"/>
  <c r="T1215" i="2"/>
  <c r="T1214" i="2"/>
  <c r="T1213" i="2"/>
  <c r="T1212" i="2"/>
  <c r="T1211" i="2"/>
  <c r="T1210" i="2"/>
  <c r="T1209" i="2"/>
  <c r="T1208" i="2"/>
  <c r="T1207" i="2"/>
  <c r="T1206" i="2"/>
  <c r="T1205" i="2"/>
  <c r="T1204" i="2"/>
  <c r="T1203" i="2"/>
  <c r="T1202" i="2"/>
  <c r="T1201" i="2"/>
  <c r="T1200" i="2"/>
  <c r="T1199" i="2"/>
  <c r="T1198" i="2"/>
  <c r="T1197" i="2"/>
  <c r="T1196" i="2"/>
  <c r="T1195" i="2"/>
  <c r="T1194" i="2"/>
  <c r="T1193" i="2"/>
  <c r="T1192" i="2"/>
  <c r="T1191" i="2"/>
  <c r="T1190" i="2"/>
  <c r="T1189" i="2"/>
  <c r="T1188" i="2"/>
  <c r="T1187" i="2"/>
  <c r="T1186" i="2"/>
  <c r="T1185" i="2"/>
  <c r="T1184" i="2"/>
  <c r="T1183" i="2"/>
  <c r="T1182" i="2"/>
  <c r="T1181" i="2"/>
  <c r="T1180" i="2"/>
  <c r="T1179" i="2"/>
  <c r="T1178" i="2"/>
  <c r="T1177" i="2"/>
  <c r="T1176" i="2"/>
  <c r="T1175" i="2"/>
  <c r="T1174" i="2"/>
  <c r="T1173" i="2"/>
  <c r="T1172" i="2"/>
  <c r="T1171" i="2"/>
  <c r="T1170" i="2"/>
  <c r="T1169" i="2"/>
  <c r="T1168" i="2"/>
  <c r="T1167" i="2"/>
  <c r="T1166" i="2"/>
  <c r="T1165" i="2"/>
  <c r="T1164" i="2"/>
  <c r="T1163" i="2"/>
  <c r="T1162" i="2"/>
  <c r="T1161" i="2"/>
  <c r="T1160" i="2"/>
  <c r="T1159" i="2"/>
  <c r="T1158" i="2"/>
  <c r="T1157" i="2"/>
  <c r="T1156" i="2"/>
  <c r="T1155" i="2"/>
  <c r="T1154" i="2"/>
  <c r="T1153" i="2"/>
  <c r="T1152" i="2"/>
  <c r="T1151" i="2"/>
  <c r="T1150" i="2"/>
  <c r="T1149" i="2"/>
  <c r="T1148" i="2"/>
  <c r="T1147" i="2"/>
  <c r="T1146" i="2"/>
  <c r="T1145" i="2"/>
  <c r="T1144" i="2"/>
  <c r="T1143" i="2"/>
  <c r="T1142" i="2"/>
  <c r="T1141" i="2"/>
  <c r="T1140" i="2"/>
  <c r="T1139" i="2"/>
  <c r="T1138" i="2"/>
  <c r="T1137" i="2"/>
  <c r="T1136" i="2"/>
  <c r="T1135" i="2"/>
  <c r="T1134" i="2"/>
  <c r="T1133" i="2"/>
  <c r="T1132" i="2"/>
  <c r="T1131" i="2"/>
  <c r="T1130" i="2"/>
  <c r="T1129" i="2"/>
  <c r="T1128" i="2"/>
  <c r="T1127" i="2"/>
  <c r="T1126" i="2"/>
  <c r="T1125" i="2"/>
  <c r="T1124" i="2"/>
  <c r="T1123" i="2"/>
  <c r="T1122" i="2"/>
  <c r="T1121" i="2"/>
  <c r="T1120" i="2"/>
  <c r="T1119" i="2"/>
  <c r="T1118" i="2"/>
  <c r="T1117" i="2"/>
  <c r="T1116" i="2"/>
  <c r="T1115" i="2"/>
  <c r="T1114" i="2"/>
  <c r="T1113" i="2"/>
  <c r="T1112" i="2"/>
  <c r="T1111" i="2"/>
  <c r="T1110" i="2"/>
  <c r="T1109" i="2"/>
  <c r="T1108" i="2"/>
  <c r="T1107" i="2"/>
  <c r="T1106" i="2"/>
  <c r="T1105" i="2"/>
  <c r="T1104" i="2"/>
  <c r="T1103" i="2"/>
  <c r="T1102" i="2"/>
  <c r="T1101" i="2"/>
  <c r="T1100" i="2"/>
  <c r="T1099" i="2"/>
  <c r="T1098" i="2"/>
  <c r="T1097" i="2"/>
  <c r="T1096" i="2"/>
  <c r="T1095" i="2"/>
  <c r="T1094" i="2"/>
  <c r="T1093" i="2"/>
  <c r="T1092" i="2"/>
  <c r="T1091" i="2"/>
  <c r="T1090" i="2"/>
  <c r="T1089" i="2"/>
  <c r="T1088" i="2"/>
  <c r="T1087" i="2"/>
  <c r="T1086" i="2"/>
  <c r="T1085" i="2"/>
  <c r="T1084" i="2"/>
  <c r="T1083" i="2"/>
  <c r="T1082" i="2"/>
  <c r="T1081" i="2"/>
  <c r="T1080" i="2"/>
  <c r="T1079" i="2"/>
  <c r="T1078" i="2"/>
  <c r="T1077" i="2"/>
  <c r="T1076" i="2"/>
  <c r="T1075" i="2"/>
  <c r="T1074" i="2"/>
  <c r="T1073" i="2"/>
  <c r="T1072" i="2"/>
  <c r="T1071" i="2"/>
  <c r="T1070" i="2"/>
  <c r="T1069" i="2"/>
  <c r="T1068" i="2"/>
  <c r="T1067" i="2"/>
  <c r="T1066" i="2"/>
  <c r="T1065" i="2"/>
  <c r="T1064" i="2"/>
  <c r="T1063" i="2"/>
  <c r="T1062" i="2"/>
  <c r="T1061" i="2"/>
  <c r="T1060" i="2"/>
  <c r="T1059" i="2"/>
  <c r="T1058" i="2"/>
  <c r="T1057" i="2"/>
  <c r="T1056" i="2"/>
  <c r="T1055" i="2"/>
  <c r="T1054" i="2"/>
  <c r="T1053" i="2"/>
  <c r="T1052" i="2"/>
  <c r="T1051" i="2"/>
  <c r="T1050" i="2"/>
  <c r="T1049" i="2"/>
  <c r="T1048" i="2"/>
  <c r="T1047" i="2"/>
  <c r="T1046" i="2"/>
  <c r="T1045" i="2"/>
  <c r="T1044" i="2"/>
  <c r="T1043" i="2"/>
  <c r="T1042" i="2"/>
  <c r="T1041" i="2"/>
  <c r="T1040" i="2"/>
  <c r="T1039" i="2"/>
  <c r="T1038" i="2"/>
  <c r="T1037" i="2"/>
  <c r="T1036" i="2"/>
  <c r="T1035" i="2"/>
  <c r="T1034" i="2"/>
  <c r="T1033" i="2"/>
  <c r="T1032" i="2"/>
  <c r="T1031" i="2"/>
  <c r="T1030" i="2"/>
  <c r="T1029" i="2"/>
  <c r="T1028" i="2"/>
  <c r="T1027" i="2"/>
  <c r="T1026" i="2"/>
  <c r="T1025" i="2"/>
  <c r="T1024" i="2"/>
  <c r="T1023" i="2"/>
  <c r="T1022" i="2"/>
  <c r="T1021" i="2"/>
  <c r="T1020" i="2"/>
  <c r="T1019" i="2"/>
  <c r="T1018" i="2"/>
  <c r="T1017" i="2"/>
  <c r="T1016" i="2"/>
  <c r="T1015" i="2"/>
  <c r="T1014" i="2"/>
  <c r="T1013" i="2"/>
  <c r="T1012" i="2"/>
  <c r="T1011" i="2"/>
  <c r="T1010" i="2"/>
  <c r="T1009" i="2"/>
  <c r="T1008" i="2"/>
  <c r="T1007" i="2"/>
  <c r="T1006" i="2"/>
  <c r="T1005" i="2"/>
  <c r="T1004" i="2"/>
  <c r="T1003" i="2"/>
  <c r="T1002" i="2"/>
  <c r="T1001" i="2"/>
  <c r="T1000" i="2"/>
  <c r="T999" i="2"/>
  <c r="T998" i="2"/>
  <c r="T997" i="2"/>
  <c r="T996" i="2"/>
  <c r="T995" i="2"/>
  <c r="T994" i="2"/>
  <c r="T993" i="2"/>
  <c r="T992" i="2"/>
  <c r="T991" i="2"/>
  <c r="T990" i="2"/>
  <c r="T989" i="2"/>
  <c r="T988" i="2"/>
  <c r="T987" i="2"/>
  <c r="T986" i="2"/>
  <c r="T985" i="2"/>
  <c r="T984" i="2"/>
  <c r="T983" i="2"/>
  <c r="T982" i="2"/>
  <c r="T981" i="2"/>
  <c r="T980" i="2"/>
  <c r="T979" i="2"/>
  <c r="T978" i="2"/>
  <c r="T977" i="2"/>
  <c r="T976" i="2"/>
  <c r="T975" i="2"/>
  <c r="T974" i="2"/>
  <c r="T973" i="2"/>
  <c r="T972" i="2"/>
  <c r="T971" i="2"/>
  <c r="T970" i="2"/>
  <c r="T969" i="2"/>
  <c r="T968" i="2"/>
  <c r="T967" i="2"/>
  <c r="T966" i="2"/>
  <c r="T965" i="2"/>
  <c r="T964" i="2"/>
  <c r="T963" i="2"/>
  <c r="T962" i="2"/>
  <c r="T961" i="2"/>
  <c r="T960" i="2"/>
  <c r="T959" i="2"/>
  <c r="T958" i="2"/>
  <c r="T957" i="2"/>
  <c r="T956" i="2"/>
  <c r="T955" i="2"/>
  <c r="T954" i="2"/>
  <c r="T953" i="2"/>
  <c r="T952" i="2"/>
  <c r="T951" i="2"/>
  <c r="T950" i="2"/>
  <c r="T949" i="2"/>
  <c r="T948" i="2"/>
  <c r="T947" i="2"/>
  <c r="T946" i="2"/>
  <c r="T945" i="2"/>
  <c r="T944" i="2"/>
  <c r="T943" i="2"/>
  <c r="T942" i="2"/>
  <c r="T941" i="2"/>
  <c r="T940" i="2"/>
  <c r="T939" i="2"/>
  <c r="T938" i="2"/>
  <c r="T937" i="2"/>
  <c r="T936" i="2"/>
  <c r="T935" i="2"/>
  <c r="T934" i="2"/>
  <c r="T933" i="2"/>
  <c r="T932" i="2"/>
  <c r="T931" i="2"/>
  <c r="T930" i="2"/>
  <c r="T929" i="2"/>
  <c r="T928" i="2"/>
  <c r="T927" i="2"/>
  <c r="T926" i="2"/>
  <c r="T925" i="2"/>
  <c r="T924" i="2"/>
  <c r="T923" i="2"/>
  <c r="T922" i="2"/>
  <c r="T921" i="2"/>
  <c r="T920" i="2"/>
  <c r="T919" i="2"/>
  <c r="T918" i="2"/>
  <c r="T917" i="2"/>
  <c r="T916" i="2"/>
  <c r="T915" i="2"/>
  <c r="T914" i="2"/>
  <c r="T913" i="2"/>
  <c r="T912" i="2"/>
  <c r="T911" i="2"/>
  <c r="T910" i="2"/>
  <c r="T909" i="2"/>
  <c r="T908" i="2"/>
  <c r="T907" i="2"/>
  <c r="T906" i="2"/>
  <c r="T905" i="2"/>
  <c r="T904" i="2"/>
  <c r="T903" i="2"/>
  <c r="T902" i="2"/>
  <c r="T901" i="2"/>
  <c r="T900" i="2"/>
  <c r="T899" i="2"/>
  <c r="T898" i="2"/>
  <c r="T897" i="2"/>
  <c r="T896" i="2"/>
  <c r="T895" i="2"/>
  <c r="T894" i="2"/>
  <c r="T893" i="2"/>
  <c r="T892" i="2"/>
  <c r="T891" i="2"/>
  <c r="T890" i="2"/>
  <c r="T889" i="2"/>
  <c r="T888" i="2"/>
  <c r="T887" i="2"/>
  <c r="T886" i="2"/>
  <c r="T885" i="2"/>
  <c r="T884" i="2"/>
  <c r="T883" i="2"/>
  <c r="T882" i="2"/>
  <c r="T881" i="2"/>
  <c r="T880" i="2"/>
  <c r="T879" i="2"/>
  <c r="T878" i="2"/>
  <c r="T877" i="2"/>
  <c r="T876" i="2"/>
  <c r="T875" i="2"/>
  <c r="T874" i="2"/>
  <c r="T873" i="2"/>
  <c r="T872" i="2"/>
  <c r="T871" i="2"/>
  <c r="T870" i="2"/>
  <c r="T869" i="2"/>
  <c r="T868" i="2"/>
  <c r="T867" i="2"/>
  <c r="T866" i="2"/>
  <c r="T865" i="2"/>
  <c r="T864" i="2"/>
  <c r="T863" i="2"/>
  <c r="T862" i="2"/>
  <c r="T861" i="2"/>
  <c r="T860" i="2"/>
  <c r="T859" i="2"/>
  <c r="T858" i="2"/>
  <c r="T857" i="2"/>
  <c r="T856" i="2"/>
  <c r="T855" i="2"/>
  <c r="T854" i="2"/>
  <c r="T853" i="2"/>
  <c r="T852" i="2"/>
  <c r="T851" i="2"/>
  <c r="T850" i="2"/>
  <c r="T849" i="2"/>
  <c r="T848" i="2"/>
  <c r="T847" i="2"/>
  <c r="T846" i="2"/>
  <c r="T845" i="2"/>
  <c r="T844" i="2"/>
  <c r="T843" i="2"/>
  <c r="T842" i="2"/>
  <c r="T841" i="2"/>
  <c r="T840" i="2"/>
  <c r="T839" i="2"/>
  <c r="T838" i="2"/>
  <c r="T837" i="2"/>
  <c r="T836" i="2"/>
  <c r="T835" i="2"/>
  <c r="T834" i="2"/>
  <c r="T833" i="2"/>
  <c r="T832" i="2"/>
  <c r="T831" i="2"/>
  <c r="T830" i="2"/>
  <c r="T829" i="2"/>
  <c r="T828" i="2"/>
  <c r="T827" i="2"/>
  <c r="T826" i="2"/>
  <c r="T825" i="2"/>
  <c r="T824" i="2"/>
  <c r="T823" i="2"/>
  <c r="T822" i="2"/>
  <c r="T821" i="2"/>
  <c r="T820" i="2"/>
  <c r="T819" i="2"/>
  <c r="T818" i="2"/>
  <c r="T817" i="2"/>
  <c r="T816" i="2"/>
  <c r="T815" i="2"/>
  <c r="T814" i="2"/>
  <c r="T813" i="2"/>
  <c r="T812" i="2"/>
  <c r="T811" i="2"/>
  <c r="T810" i="2"/>
  <c r="T809" i="2"/>
  <c r="T808" i="2"/>
  <c r="T807" i="2"/>
  <c r="T806" i="2"/>
  <c r="T805" i="2"/>
  <c r="T804" i="2"/>
  <c r="T803" i="2"/>
  <c r="T802" i="2"/>
  <c r="T801" i="2"/>
  <c r="T800" i="2"/>
  <c r="T799" i="2"/>
  <c r="T798" i="2"/>
  <c r="T797" i="2"/>
  <c r="T796" i="2"/>
  <c r="T795" i="2"/>
  <c r="T794" i="2"/>
  <c r="T793" i="2"/>
  <c r="T792" i="2"/>
  <c r="T791" i="2"/>
  <c r="T790" i="2"/>
  <c r="T789" i="2"/>
  <c r="T788" i="2"/>
  <c r="T787" i="2"/>
  <c r="T786" i="2"/>
  <c r="T785" i="2"/>
  <c r="T784" i="2"/>
  <c r="T783" i="2"/>
  <c r="T782" i="2"/>
  <c r="T781" i="2"/>
  <c r="T780" i="2"/>
  <c r="T779" i="2"/>
  <c r="T778" i="2"/>
  <c r="T777" i="2"/>
  <c r="T776" i="2"/>
  <c r="T775" i="2"/>
  <c r="T774" i="2"/>
  <c r="T773" i="2"/>
  <c r="T772" i="2"/>
  <c r="T771" i="2"/>
  <c r="T770" i="2"/>
  <c r="T769" i="2"/>
  <c r="T768" i="2"/>
  <c r="T767" i="2"/>
  <c r="T766" i="2"/>
  <c r="T765" i="2"/>
  <c r="T764" i="2"/>
  <c r="T763" i="2"/>
  <c r="T762" i="2"/>
  <c r="T761" i="2"/>
  <c r="T760" i="2"/>
  <c r="T759" i="2"/>
  <c r="T758" i="2"/>
  <c r="T757" i="2"/>
  <c r="T756" i="2"/>
  <c r="T755" i="2"/>
  <c r="T754" i="2"/>
  <c r="T753" i="2"/>
  <c r="T752" i="2"/>
  <c r="T751" i="2"/>
  <c r="T750" i="2"/>
  <c r="T749" i="2"/>
  <c r="T748" i="2"/>
  <c r="T747" i="2"/>
  <c r="T746" i="2"/>
  <c r="T745" i="2"/>
  <c r="T744" i="2"/>
  <c r="T743" i="2"/>
  <c r="T742" i="2"/>
  <c r="T741" i="2"/>
  <c r="T740" i="2"/>
  <c r="T739" i="2"/>
  <c r="T738" i="2"/>
  <c r="T737" i="2"/>
  <c r="T736" i="2"/>
  <c r="T735" i="2"/>
  <c r="T734" i="2"/>
  <c r="T733" i="2"/>
  <c r="T732" i="2"/>
  <c r="T731" i="2"/>
  <c r="T730" i="2"/>
  <c r="T729" i="2"/>
  <c r="T728" i="2"/>
  <c r="T727" i="2"/>
  <c r="T726" i="2"/>
  <c r="T725" i="2"/>
  <c r="T724" i="2"/>
  <c r="T723" i="2"/>
  <c r="T722" i="2"/>
  <c r="T721" i="2"/>
  <c r="T720" i="2"/>
  <c r="T719" i="2"/>
  <c r="T718" i="2"/>
  <c r="T717" i="2"/>
  <c r="T716" i="2"/>
  <c r="T715" i="2"/>
  <c r="T714" i="2"/>
  <c r="T713" i="2"/>
  <c r="T712" i="2"/>
  <c r="T711" i="2"/>
  <c r="T710" i="2"/>
  <c r="T709" i="2"/>
  <c r="T708" i="2"/>
  <c r="T707" i="2"/>
  <c r="T706" i="2"/>
  <c r="T705" i="2"/>
  <c r="T704" i="2"/>
  <c r="T703" i="2"/>
  <c r="T702" i="2"/>
  <c r="T701" i="2"/>
  <c r="T700" i="2"/>
  <c r="T699" i="2"/>
  <c r="T698" i="2"/>
  <c r="T697" i="2"/>
  <c r="T696" i="2"/>
  <c r="T695" i="2"/>
  <c r="T694" i="2"/>
  <c r="T693" i="2"/>
  <c r="T692" i="2"/>
  <c r="T691" i="2"/>
  <c r="T690" i="2"/>
  <c r="T689" i="2"/>
  <c r="T688" i="2"/>
  <c r="T687" i="2"/>
  <c r="T686" i="2"/>
  <c r="T685" i="2"/>
  <c r="T684" i="2"/>
  <c r="T683" i="2"/>
  <c r="T682" i="2"/>
  <c r="T681" i="2"/>
  <c r="T680" i="2"/>
  <c r="T679" i="2"/>
  <c r="T678" i="2"/>
  <c r="T677" i="2"/>
  <c r="T676" i="2"/>
  <c r="T675" i="2"/>
  <c r="T674" i="2"/>
  <c r="T673" i="2"/>
  <c r="T672" i="2"/>
  <c r="T671" i="2"/>
  <c r="T670" i="2"/>
  <c r="T669" i="2"/>
  <c r="T668" i="2"/>
  <c r="T667" i="2"/>
  <c r="T666" i="2"/>
  <c r="T665" i="2"/>
  <c r="T664" i="2"/>
  <c r="T663" i="2"/>
  <c r="T662" i="2"/>
  <c r="T661" i="2"/>
  <c r="T660" i="2"/>
  <c r="T659" i="2"/>
  <c r="T658" i="2"/>
  <c r="T657" i="2"/>
  <c r="T656" i="2"/>
  <c r="T655" i="2"/>
  <c r="T654" i="2"/>
  <c r="T653" i="2"/>
  <c r="T652" i="2"/>
  <c r="T651" i="2"/>
  <c r="T650" i="2"/>
  <c r="T649" i="2"/>
  <c r="T648" i="2"/>
  <c r="T647" i="2"/>
  <c r="T646" i="2"/>
  <c r="T645" i="2"/>
  <c r="T644" i="2"/>
  <c r="T643" i="2"/>
  <c r="T642" i="2"/>
  <c r="T641" i="2"/>
  <c r="T640" i="2"/>
  <c r="T639" i="2"/>
  <c r="T638" i="2"/>
  <c r="T637" i="2"/>
  <c r="T636" i="2"/>
  <c r="T635" i="2"/>
  <c r="T634" i="2"/>
  <c r="T633" i="2"/>
  <c r="T632" i="2"/>
  <c r="T631" i="2"/>
  <c r="T630" i="2"/>
  <c r="T629" i="2"/>
  <c r="T628" i="2"/>
  <c r="T627" i="2"/>
  <c r="T626" i="2"/>
  <c r="T625" i="2"/>
  <c r="T624" i="2"/>
  <c r="T623" i="2"/>
  <c r="T622" i="2"/>
  <c r="T621" i="2"/>
  <c r="T620" i="2"/>
  <c r="T619" i="2"/>
  <c r="T618" i="2"/>
  <c r="T617" i="2"/>
  <c r="T616" i="2"/>
  <c r="T615" i="2"/>
  <c r="T614" i="2"/>
  <c r="T613" i="2"/>
  <c r="T612" i="2"/>
  <c r="T611" i="2"/>
  <c r="T610" i="2"/>
  <c r="T609" i="2"/>
  <c r="T608" i="2"/>
  <c r="T607" i="2"/>
  <c r="T606" i="2"/>
  <c r="T605" i="2"/>
  <c r="T604" i="2"/>
  <c r="T603" i="2"/>
  <c r="T60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R2853" i="2"/>
  <c r="R2852" i="2"/>
  <c r="R2851" i="2"/>
  <c r="R2850" i="2"/>
  <c r="R2849" i="2"/>
  <c r="R2848" i="2"/>
  <c r="R2847" i="2"/>
  <c r="R2846" i="2"/>
  <c r="R2845" i="2"/>
  <c r="R2844" i="2"/>
  <c r="R2843" i="2"/>
  <c r="R2842" i="2"/>
  <c r="R2841" i="2"/>
  <c r="R2840" i="2"/>
  <c r="R2839" i="2"/>
  <c r="R2838" i="2"/>
  <c r="R2837" i="2"/>
  <c r="R2836" i="2"/>
  <c r="R2835" i="2"/>
  <c r="R2834" i="2"/>
  <c r="R2833" i="2"/>
  <c r="R2832" i="2"/>
  <c r="R2831" i="2"/>
  <c r="R2830" i="2"/>
  <c r="R2829" i="2"/>
  <c r="R2828" i="2"/>
  <c r="R2827" i="2"/>
  <c r="R2826" i="2"/>
  <c r="R2825" i="2"/>
  <c r="R2824" i="2"/>
  <c r="R2823" i="2"/>
  <c r="R2822" i="2"/>
  <c r="R2821" i="2"/>
  <c r="R2820" i="2"/>
  <c r="R2819" i="2"/>
  <c r="R2818" i="2"/>
  <c r="R2817" i="2"/>
  <c r="R2816" i="2"/>
  <c r="R2815" i="2"/>
  <c r="R2814" i="2"/>
  <c r="R2813" i="2"/>
  <c r="R2812" i="2"/>
  <c r="R2811" i="2"/>
  <c r="R2810" i="2"/>
  <c r="R2809" i="2"/>
  <c r="R2808" i="2"/>
  <c r="R2807" i="2"/>
  <c r="R2806" i="2"/>
  <c r="R2805" i="2"/>
  <c r="R2804" i="2"/>
  <c r="R2803" i="2"/>
  <c r="R2802" i="2"/>
  <c r="R2801" i="2"/>
  <c r="R2800" i="2"/>
  <c r="R2799" i="2"/>
  <c r="R2798" i="2"/>
  <c r="R2797" i="2"/>
  <c r="R2796" i="2"/>
  <c r="R2795" i="2"/>
  <c r="R2794" i="2"/>
  <c r="R2793" i="2"/>
  <c r="R2792" i="2"/>
  <c r="R2791" i="2"/>
  <c r="R2790" i="2"/>
  <c r="R2789" i="2"/>
  <c r="R2788" i="2"/>
  <c r="R2787" i="2"/>
  <c r="R2786" i="2"/>
  <c r="R2785" i="2"/>
  <c r="R2784" i="2"/>
  <c r="R2783" i="2"/>
  <c r="R2782" i="2"/>
  <c r="R2781" i="2"/>
  <c r="R2780" i="2"/>
  <c r="R2779" i="2"/>
  <c r="R2778" i="2"/>
  <c r="R2777" i="2"/>
  <c r="R2776" i="2"/>
  <c r="R2775" i="2"/>
  <c r="R2774" i="2"/>
  <c r="R2773" i="2"/>
  <c r="R2772" i="2"/>
  <c r="R2771" i="2"/>
  <c r="R2770" i="2"/>
  <c r="R2769" i="2"/>
  <c r="R2768" i="2"/>
  <c r="R2767" i="2"/>
  <c r="R2766" i="2"/>
  <c r="R2765" i="2"/>
  <c r="R2764" i="2"/>
  <c r="R2763" i="2"/>
  <c r="R2762" i="2"/>
  <c r="R2761" i="2"/>
  <c r="R2760" i="2"/>
  <c r="R2759" i="2"/>
  <c r="R2758" i="2"/>
  <c r="R2757" i="2"/>
  <c r="R2756" i="2"/>
  <c r="R2755" i="2"/>
  <c r="R2754" i="2"/>
  <c r="R2753" i="2"/>
  <c r="R2752" i="2"/>
  <c r="R2751" i="2"/>
  <c r="R2750" i="2"/>
  <c r="R2749" i="2"/>
  <c r="R2748" i="2"/>
  <c r="R2747" i="2"/>
  <c r="R2746" i="2"/>
  <c r="R2745" i="2"/>
  <c r="R2744" i="2"/>
  <c r="R2743" i="2"/>
  <c r="R2742" i="2"/>
  <c r="R2741" i="2"/>
  <c r="R2740" i="2"/>
  <c r="R2739" i="2"/>
  <c r="R2738" i="2"/>
  <c r="R2737" i="2"/>
  <c r="R2736" i="2"/>
  <c r="R2735" i="2"/>
  <c r="R2734" i="2"/>
  <c r="R2733" i="2"/>
  <c r="R2732" i="2"/>
  <c r="R2731" i="2"/>
  <c r="R2730" i="2"/>
  <c r="R2729" i="2"/>
  <c r="R2728" i="2"/>
  <c r="R2727" i="2"/>
  <c r="R2726" i="2"/>
  <c r="R2725" i="2"/>
  <c r="R2724" i="2"/>
  <c r="R2723" i="2"/>
  <c r="R2722" i="2"/>
  <c r="R2721" i="2"/>
  <c r="R2720" i="2"/>
  <c r="R2719" i="2"/>
  <c r="R2718" i="2"/>
  <c r="R2717" i="2"/>
  <c r="R2716" i="2"/>
  <c r="R2715" i="2"/>
  <c r="R2714" i="2"/>
  <c r="R2713" i="2"/>
  <c r="R2712" i="2"/>
  <c r="R2711" i="2"/>
  <c r="R2710" i="2"/>
  <c r="R2709" i="2"/>
  <c r="R2708" i="2"/>
  <c r="R2707" i="2"/>
  <c r="R2706" i="2"/>
  <c r="R2705" i="2"/>
  <c r="R2704" i="2"/>
  <c r="R2703" i="2"/>
  <c r="R2702" i="2"/>
  <c r="R2701" i="2"/>
  <c r="R2700" i="2"/>
  <c r="R2699" i="2"/>
  <c r="R2698" i="2"/>
  <c r="R2697" i="2"/>
  <c r="R2696" i="2"/>
  <c r="R2695" i="2"/>
  <c r="R2694" i="2"/>
  <c r="R2693" i="2"/>
  <c r="R2692" i="2"/>
  <c r="R2691" i="2"/>
  <c r="R2690" i="2"/>
  <c r="R2689" i="2"/>
  <c r="R2688" i="2"/>
  <c r="R2687" i="2"/>
  <c r="R2686" i="2"/>
  <c r="R2685" i="2"/>
  <c r="R2684" i="2"/>
  <c r="R2683" i="2"/>
  <c r="R2682" i="2"/>
  <c r="R2681" i="2"/>
  <c r="R2680" i="2"/>
  <c r="R2679" i="2"/>
  <c r="R2678" i="2"/>
  <c r="R2677" i="2"/>
  <c r="R2676" i="2"/>
  <c r="R2675" i="2"/>
  <c r="R2674" i="2"/>
  <c r="R2673" i="2"/>
  <c r="R2672" i="2"/>
  <c r="R2671" i="2"/>
  <c r="R2670" i="2"/>
  <c r="R2669" i="2"/>
  <c r="R2668" i="2"/>
  <c r="R2667" i="2"/>
  <c r="R2666" i="2"/>
  <c r="R2665" i="2"/>
  <c r="R2664" i="2"/>
  <c r="R2663" i="2"/>
  <c r="R2662" i="2"/>
  <c r="R2661" i="2"/>
  <c r="R2660" i="2"/>
  <c r="R2659" i="2"/>
  <c r="R2658" i="2"/>
  <c r="R2657" i="2"/>
  <c r="R2656" i="2"/>
  <c r="R2655" i="2"/>
  <c r="R2654" i="2"/>
  <c r="R2653" i="2"/>
  <c r="R2652" i="2"/>
  <c r="R2651" i="2"/>
  <c r="R2650" i="2"/>
  <c r="R2649" i="2"/>
  <c r="R2648" i="2"/>
  <c r="R2647" i="2"/>
  <c r="R2646" i="2"/>
  <c r="R2645" i="2"/>
  <c r="R2644" i="2"/>
  <c r="R2643" i="2"/>
  <c r="R2642" i="2"/>
  <c r="R2641" i="2"/>
  <c r="R2640" i="2"/>
  <c r="R2639" i="2"/>
  <c r="R2638" i="2"/>
  <c r="R2637" i="2"/>
  <c r="R2636" i="2"/>
  <c r="R2635" i="2"/>
  <c r="R2634" i="2"/>
  <c r="R2633" i="2"/>
  <c r="R2632" i="2"/>
  <c r="R2631" i="2"/>
  <c r="R2630" i="2"/>
  <c r="R2629" i="2"/>
  <c r="R2628" i="2"/>
  <c r="R2627" i="2"/>
  <c r="R2626" i="2"/>
  <c r="R2625" i="2"/>
  <c r="R2624" i="2"/>
  <c r="R2623" i="2"/>
  <c r="R2622" i="2"/>
  <c r="R2621" i="2"/>
  <c r="R2620" i="2"/>
  <c r="R2619" i="2"/>
  <c r="R2618" i="2"/>
  <c r="R2617" i="2"/>
  <c r="R2616" i="2"/>
  <c r="R2615" i="2"/>
  <c r="R2614" i="2"/>
  <c r="R2613" i="2"/>
  <c r="R2612" i="2"/>
  <c r="R2611" i="2"/>
  <c r="R2610" i="2"/>
  <c r="R2609" i="2"/>
  <c r="R2608" i="2"/>
  <c r="R2607" i="2"/>
  <c r="R2606" i="2"/>
  <c r="R2605" i="2"/>
  <c r="R2604" i="2"/>
  <c r="R2603" i="2"/>
  <c r="R2602" i="2"/>
  <c r="R2601" i="2"/>
  <c r="R2600" i="2"/>
  <c r="R2599" i="2"/>
  <c r="R2598" i="2"/>
  <c r="R2597" i="2"/>
  <c r="R2596" i="2"/>
  <c r="R2595" i="2"/>
  <c r="R2594" i="2"/>
  <c r="R2593" i="2"/>
  <c r="R2592" i="2"/>
  <c r="R2591" i="2"/>
  <c r="R2590" i="2"/>
  <c r="R2589" i="2"/>
  <c r="R2588" i="2"/>
  <c r="R2587" i="2"/>
  <c r="R2586" i="2"/>
  <c r="R2585" i="2"/>
  <c r="R2584" i="2"/>
  <c r="R2583" i="2"/>
  <c r="R2582" i="2"/>
  <c r="R2581" i="2"/>
  <c r="R2580" i="2"/>
  <c r="R2579" i="2"/>
  <c r="R2578" i="2"/>
  <c r="R2577" i="2"/>
  <c r="R2576" i="2"/>
  <c r="R2575" i="2"/>
  <c r="R2574" i="2"/>
  <c r="R2573" i="2"/>
  <c r="R2572" i="2"/>
  <c r="R2571" i="2"/>
  <c r="R2570" i="2"/>
  <c r="R2569" i="2"/>
  <c r="R2568" i="2"/>
  <c r="R2567" i="2"/>
  <c r="R2566" i="2"/>
  <c r="R2565" i="2"/>
  <c r="R2564" i="2"/>
  <c r="R2563" i="2"/>
  <c r="R2562" i="2"/>
  <c r="R2561" i="2"/>
  <c r="R2560" i="2"/>
  <c r="R2559" i="2"/>
  <c r="R2558" i="2"/>
  <c r="R2557" i="2"/>
  <c r="R2556" i="2"/>
  <c r="R2555" i="2"/>
  <c r="R2554" i="2"/>
  <c r="R2553" i="2"/>
  <c r="R2552" i="2"/>
  <c r="R2551" i="2"/>
  <c r="R2550" i="2"/>
  <c r="R2549" i="2"/>
  <c r="R2548" i="2"/>
  <c r="R2547" i="2"/>
  <c r="R2546" i="2"/>
  <c r="R2545" i="2"/>
  <c r="R2544" i="2"/>
  <c r="R2543" i="2"/>
  <c r="R2542" i="2"/>
  <c r="R2541" i="2"/>
  <c r="R2540" i="2"/>
  <c r="R2539" i="2"/>
  <c r="R2538" i="2"/>
  <c r="R2537" i="2"/>
  <c r="R2536" i="2"/>
  <c r="R2535" i="2"/>
  <c r="R2534" i="2"/>
  <c r="R2533" i="2"/>
  <c r="R2532" i="2"/>
  <c r="R2531" i="2"/>
  <c r="R2530" i="2"/>
  <c r="R2529" i="2"/>
  <c r="R2528" i="2"/>
  <c r="R2527" i="2"/>
  <c r="R2526" i="2"/>
  <c r="R2525" i="2"/>
  <c r="R2524" i="2"/>
  <c r="R2523" i="2"/>
  <c r="R2522" i="2"/>
  <c r="R2521" i="2"/>
  <c r="R2520" i="2"/>
  <c r="R2519" i="2"/>
  <c r="R2518" i="2"/>
  <c r="R2517" i="2"/>
  <c r="R2516" i="2"/>
  <c r="R2515" i="2"/>
  <c r="R2514" i="2"/>
  <c r="R2513" i="2"/>
  <c r="R2512" i="2"/>
  <c r="R2511" i="2"/>
  <c r="R2510" i="2"/>
  <c r="R2509" i="2"/>
  <c r="R2508" i="2"/>
  <c r="R2507" i="2"/>
  <c r="R2506" i="2"/>
  <c r="R2505" i="2"/>
  <c r="R2504" i="2"/>
  <c r="R2503" i="2"/>
  <c r="R2502" i="2"/>
  <c r="R2501" i="2"/>
  <c r="R2500" i="2"/>
  <c r="R2499" i="2"/>
  <c r="R2498" i="2"/>
  <c r="R2497" i="2"/>
  <c r="R2496" i="2"/>
  <c r="R2495" i="2"/>
  <c r="R2494" i="2"/>
  <c r="R2493" i="2"/>
  <c r="R2492" i="2"/>
  <c r="R2491" i="2"/>
  <c r="R2490" i="2"/>
  <c r="R2489" i="2"/>
  <c r="R2488" i="2"/>
  <c r="R2487" i="2"/>
  <c r="R2486" i="2"/>
  <c r="R2485" i="2"/>
  <c r="R2484" i="2"/>
  <c r="R2483" i="2"/>
  <c r="R2482" i="2"/>
  <c r="R2481" i="2"/>
  <c r="R2480" i="2"/>
  <c r="R2479" i="2"/>
  <c r="R2478" i="2"/>
  <c r="R2477" i="2"/>
  <c r="R2476" i="2"/>
  <c r="R2475" i="2"/>
  <c r="R2474" i="2"/>
  <c r="R2473" i="2"/>
  <c r="R2472" i="2"/>
  <c r="R2471" i="2"/>
  <c r="R2470" i="2"/>
  <c r="R2469" i="2"/>
  <c r="R2468" i="2"/>
  <c r="R2467" i="2"/>
  <c r="R2466" i="2"/>
  <c r="R2465" i="2"/>
  <c r="R2464" i="2"/>
  <c r="R2463" i="2"/>
  <c r="R2462" i="2"/>
  <c r="R2461" i="2"/>
  <c r="R2460" i="2"/>
  <c r="R2459" i="2"/>
  <c r="R2458" i="2"/>
  <c r="R2457" i="2"/>
  <c r="R2456" i="2"/>
  <c r="R2455" i="2"/>
  <c r="R2454" i="2"/>
  <c r="R2453" i="2"/>
  <c r="R2452" i="2"/>
  <c r="R2451" i="2"/>
  <c r="R2450" i="2"/>
  <c r="R2449" i="2"/>
  <c r="R2448" i="2"/>
  <c r="R2447" i="2"/>
  <c r="R2446" i="2"/>
  <c r="R2445" i="2"/>
  <c r="R2444" i="2"/>
  <c r="R2443" i="2"/>
  <c r="R2442" i="2"/>
  <c r="R2441" i="2"/>
  <c r="R2440" i="2"/>
  <c r="R2439" i="2"/>
  <c r="R2438" i="2"/>
  <c r="R2437" i="2"/>
  <c r="R2436" i="2"/>
  <c r="R2435" i="2"/>
  <c r="R2434" i="2"/>
  <c r="R2433" i="2"/>
  <c r="R2432" i="2"/>
  <c r="R2431" i="2"/>
  <c r="R2430" i="2"/>
  <c r="R2429" i="2"/>
  <c r="R2428" i="2"/>
  <c r="R2427" i="2"/>
  <c r="R2426" i="2"/>
  <c r="R2425" i="2"/>
  <c r="R2424" i="2"/>
  <c r="R2423" i="2"/>
  <c r="R2422" i="2"/>
  <c r="R2421" i="2"/>
  <c r="R2420" i="2"/>
  <c r="R2419" i="2"/>
  <c r="R2418" i="2"/>
  <c r="R2417" i="2"/>
  <c r="R2416" i="2"/>
  <c r="R2415" i="2"/>
  <c r="R2414" i="2"/>
  <c r="R2413" i="2"/>
  <c r="R2412" i="2"/>
  <c r="R2411" i="2"/>
  <c r="R2410" i="2"/>
  <c r="R2409" i="2"/>
  <c r="R2408" i="2"/>
  <c r="R2407" i="2"/>
  <c r="R2406" i="2"/>
  <c r="R2405" i="2"/>
  <c r="R2404" i="2"/>
  <c r="R2403" i="2"/>
  <c r="R2402" i="2"/>
  <c r="R2401" i="2"/>
  <c r="R2400" i="2"/>
  <c r="R2399" i="2"/>
  <c r="R2398" i="2"/>
  <c r="R2397" i="2"/>
  <c r="R2396" i="2"/>
  <c r="R2395" i="2"/>
  <c r="R2394" i="2"/>
  <c r="R2393" i="2"/>
  <c r="R2392" i="2"/>
  <c r="R2391" i="2"/>
  <c r="R2390" i="2"/>
  <c r="R2389" i="2"/>
  <c r="R2388" i="2"/>
  <c r="R2387" i="2"/>
  <c r="R2386" i="2"/>
  <c r="R2385" i="2"/>
  <c r="R2384" i="2"/>
  <c r="R2383" i="2"/>
  <c r="R2382" i="2"/>
  <c r="R2381" i="2"/>
  <c r="R2380" i="2"/>
  <c r="R2379" i="2"/>
  <c r="R2378" i="2"/>
  <c r="R2377" i="2"/>
  <c r="R2376" i="2"/>
  <c r="R2375" i="2"/>
  <c r="R2374" i="2"/>
  <c r="R2373" i="2"/>
  <c r="R2372" i="2"/>
  <c r="R2371" i="2"/>
  <c r="R2370" i="2"/>
  <c r="R2369" i="2"/>
  <c r="R2368" i="2"/>
  <c r="R2367" i="2"/>
  <c r="R2366" i="2"/>
  <c r="R2365" i="2"/>
  <c r="R2364" i="2"/>
  <c r="R2363" i="2"/>
  <c r="R2362" i="2"/>
  <c r="R2361" i="2"/>
  <c r="R2360" i="2"/>
  <c r="R2359" i="2"/>
  <c r="R2358" i="2"/>
  <c r="R2357" i="2"/>
  <c r="R2356" i="2"/>
  <c r="R2355" i="2"/>
  <c r="R2354" i="2"/>
  <c r="R2353" i="2"/>
  <c r="R2352" i="2"/>
  <c r="R2351" i="2"/>
  <c r="R2350" i="2"/>
  <c r="R2349" i="2"/>
  <c r="R2348" i="2"/>
  <c r="R2347" i="2"/>
  <c r="R2346" i="2"/>
  <c r="R2345" i="2"/>
  <c r="R2344" i="2"/>
  <c r="R2343" i="2"/>
  <c r="R2342" i="2"/>
  <c r="R2341" i="2"/>
  <c r="R2340" i="2"/>
  <c r="R2339" i="2"/>
  <c r="R2338" i="2"/>
  <c r="R2337" i="2"/>
  <c r="R2336" i="2"/>
  <c r="R2335" i="2"/>
  <c r="R2334" i="2"/>
  <c r="R2333" i="2"/>
  <c r="R2332" i="2"/>
  <c r="R2331" i="2"/>
  <c r="R2330" i="2"/>
  <c r="R2329" i="2"/>
  <c r="R2328" i="2"/>
  <c r="R2327" i="2"/>
  <c r="R2326" i="2"/>
  <c r="R2325" i="2"/>
  <c r="R2324" i="2"/>
  <c r="R2323" i="2"/>
  <c r="R2322" i="2"/>
  <c r="R2321" i="2"/>
  <c r="R2320" i="2"/>
  <c r="R2319" i="2"/>
  <c r="R2318" i="2"/>
  <c r="R2317" i="2"/>
  <c r="R2316" i="2"/>
  <c r="R2315" i="2"/>
  <c r="R2314" i="2"/>
  <c r="R2313" i="2"/>
  <c r="R2312" i="2"/>
  <c r="R2311" i="2"/>
  <c r="R2310" i="2"/>
  <c r="R2309" i="2"/>
  <c r="R2308" i="2"/>
  <c r="R2307" i="2"/>
  <c r="R2306" i="2"/>
  <c r="R2305" i="2"/>
  <c r="R2304" i="2"/>
  <c r="R2303" i="2"/>
  <c r="R2302" i="2"/>
  <c r="R2301" i="2"/>
  <c r="R2300" i="2"/>
  <c r="R2299" i="2"/>
  <c r="R2298" i="2"/>
  <c r="R2297" i="2"/>
  <c r="R2296" i="2"/>
  <c r="R2295" i="2"/>
  <c r="R2294" i="2"/>
  <c r="R2293" i="2"/>
  <c r="R2292" i="2"/>
  <c r="R2291" i="2"/>
  <c r="R2290" i="2"/>
  <c r="R2289" i="2"/>
  <c r="R2288" i="2"/>
  <c r="R2287" i="2"/>
  <c r="R2286" i="2"/>
  <c r="R2285" i="2"/>
  <c r="R2284" i="2"/>
  <c r="R2283" i="2"/>
  <c r="R2282" i="2"/>
  <c r="R2281" i="2"/>
  <c r="R2280" i="2"/>
  <c r="R2279" i="2"/>
  <c r="R2278" i="2"/>
  <c r="R2277" i="2"/>
  <c r="R2276" i="2"/>
  <c r="R2275" i="2"/>
  <c r="R2274" i="2"/>
  <c r="R2273" i="2"/>
  <c r="R2272" i="2"/>
  <c r="R2271" i="2"/>
  <c r="R2270" i="2"/>
  <c r="R2269" i="2"/>
  <c r="R2268" i="2"/>
  <c r="R2267" i="2"/>
  <c r="R2266" i="2"/>
  <c r="R2265" i="2"/>
  <c r="R2264" i="2"/>
  <c r="R2263" i="2"/>
  <c r="R2262" i="2"/>
  <c r="R2261" i="2"/>
  <c r="R2260" i="2"/>
  <c r="R2259" i="2"/>
  <c r="R2258" i="2"/>
  <c r="R2257" i="2"/>
  <c r="R2256" i="2"/>
  <c r="R2255" i="2"/>
  <c r="R2254" i="2"/>
  <c r="R2253" i="2"/>
  <c r="R2252" i="2"/>
  <c r="R2251" i="2"/>
  <c r="R2250" i="2"/>
  <c r="R2249" i="2"/>
  <c r="R2248" i="2"/>
  <c r="R2247" i="2"/>
  <c r="R2246" i="2"/>
  <c r="R2245" i="2"/>
  <c r="R2244" i="2"/>
  <c r="R2243" i="2"/>
  <c r="R2242" i="2"/>
  <c r="R2241" i="2"/>
  <c r="R2240" i="2"/>
  <c r="R2239" i="2"/>
  <c r="R2238" i="2"/>
  <c r="R2237" i="2"/>
  <c r="R2236" i="2"/>
  <c r="R2235" i="2"/>
  <c r="R2234" i="2"/>
  <c r="R2233" i="2"/>
  <c r="R2232" i="2"/>
  <c r="R2231" i="2"/>
  <c r="R2230" i="2"/>
  <c r="R2229" i="2"/>
  <c r="R2228" i="2"/>
  <c r="R2227" i="2"/>
  <c r="R2226" i="2"/>
  <c r="R2225" i="2"/>
  <c r="R2224" i="2"/>
  <c r="R2223" i="2"/>
  <c r="R2222" i="2"/>
  <c r="R2221" i="2"/>
  <c r="R2220" i="2"/>
  <c r="R2219" i="2"/>
  <c r="R2218" i="2"/>
  <c r="R2217" i="2"/>
  <c r="R2216" i="2"/>
  <c r="R2215" i="2"/>
  <c r="R2214" i="2"/>
  <c r="R2213" i="2"/>
  <c r="R2212" i="2"/>
  <c r="R2211" i="2"/>
  <c r="R2210" i="2"/>
  <c r="R2209" i="2"/>
  <c r="R2208" i="2"/>
  <c r="R2207" i="2"/>
  <c r="R2206" i="2"/>
  <c r="R2205" i="2"/>
  <c r="R2204" i="2"/>
  <c r="R2203" i="2"/>
  <c r="R2202" i="2"/>
  <c r="R2201" i="2"/>
  <c r="R2200" i="2"/>
  <c r="R2199" i="2"/>
  <c r="R2198" i="2"/>
  <c r="R2197" i="2"/>
  <c r="R2196" i="2"/>
  <c r="R2195" i="2"/>
  <c r="R2194" i="2"/>
  <c r="R2193" i="2"/>
  <c r="R2192" i="2"/>
  <c r="R2191" i="2"/>
  <c r="R2190" i="2"/>
  <c r="R2189" i="2"/>
  <c r="R2188" i="2"/>
  <c r="R2187" i="2"/>
  <c r="R2186" i="2"/>
  <c r="R2185" i="2"/>
  <c r="R2184" i="2"/>
  <c r="R2183" i="2"/>
  <c r="R2182" i="2"/>
  <c r="R2181" i="2"/>
  <c r="R2180" i="2"/>
  <c r="R2179" i="2"/>
  <c r="R2178" i="2"/>
  <c r="R2177" i="2"/>
  <c r="R2176" i="2"/>
  <c r="R2175" i="2"/>
  <c r="R2174" i="2"/>
  <c r="R2173" i="2"/>
  <c r="R2172" i="2"/>
  <c r="R2171" i="2"/>
  <c r="R2170" i="2"/>
  <c r="R2169" i="2"/>
  <c r="R2168" i="2"/>
  <c r="R2167" i="2"/>
  <c r="R2166" i="2"/>
  <c r="R2165" i="2"/>
  <c r="R2164" i="2"/>
  <c r="R2163" i="2"/>
  <c r="R2162" i="2"/>
  <c r="R2161" i="2"/>
  <c r="R2160" i="2"/>
  <c r="R2159" i="2"/>
  <c r="R2158" i="2"/>
  <c r="R2157" i="2"/>
  <c r="R2156" i="2"/>
  <c r="R2155" i="2"/>
  <c r="R2154" i="2"/>
  <c r="R2153" i="2"/>
  <c r="R2152" i="2"/>
  <c r="R2151" i="2"/>
  <c r="R2150" i="2"/>
  <c r="R2149" i="2"/>
  <c r="R2148" i="2"/>
  <c r="R2147" i="2"/>
  <c r="R2146" i="2"/>
  <c r="R2145" i="2"/>
  <c r="R2144" i="2"/>
  <c r="R2143" i="2"/>
  <c r="R2142" i="2"/>
  <c r="R2141" i="2"/>
  <c r="R2140" i="2"/>
  <c r="R2139" i="2"/>
  <c r="R2138" i="2"/>
  <c r="R2137" i="2"/>
  <c r="R2136" i="2"/>
  <c r="R2135" i="2"/>
  <c r="R2134" i="2"/>
  <c r="R2133" i="2"/>
  <c r="R2132" i="2"/>
  <c r="R2131" i="2"/>
  <c r="R2130" i="2"/>
  <c r="R2129" i="2"/>
  <c r="R2128" i="2"/>
  <c r="R2127" i="2"/>
  <c r="R2126" i="2"/>
  <c r="R2125" i="2"/>
  <c r="R2124" i="2"/>
  <c r="R2123" i="2"/>
  <c r="R2122" i="2"/>
  <c r="R2121" i="2"/>
  <c r="R2120" i="2"/>
  <c r="R2119" i="2"/>
  <c r="R2118" i="2"/>
  <c r="R2117" i="2"/>
  <c r="R2116" i="2"/>
  <c r="R2115" i="2"/>
  <c r="R2114" i="2"/>
  <c r="R2113" i="2"/>
  <c r="R2112" i="2"/>
  <c r="R2111" i="2"/>
  <c r="R2110" i="2"/>
  <c r="R2109" i="2"/>
  <c r="R2108" i="2"/>
  <c r="R2107" i="2"/>
  <c r="R2106" i="2"/>
  <c r="R2105" i="2"/>
  <c r="R2104" i="2"/>
  <c r="R2103" i="2"/>
  <c r="R2102" i="2"/>
  <c r="R2101" i="2"/>
  <c r="R2100" i="2"/>
  <c r="R2099" i="2"/>
  <c r="R2098" i="2"/>
  <c r="R2097" i="2"/>
  <c r="R2096" i="2"/>
  <c r="R2095" i="2"/>
  <c r="R2094" i="2"/>
  <c r="R2093" i="2"/>
  <c r="R2092" i="2"/>
  <c r="R2091" i="2"/>
  <c r="R2090" i="2"/>
  <c r="R2089" i="2"/>
  <c r="R2088" i="2"/>
  <c r="R2087" i="2"/>
  <c r="R2086" i="2"/>
  <c r="R2085" i="2"/>
  <c r="R2084" i="2"/>
  <c r="R2083" i="2"/>
  <c r="R2082" i="2"/>
  <c r="R2081" i="2"/>
  <c r="R2080" i="2"/>
  <c r="R2079" i="2"/>
  <c r="R2078" i="2"/>
  <c r="R2077" i="2"/>
  <c r="R2076" i="2"/>
  <c r="R2075" i="2"/>
  <c r="R2074" i="2"/>
  <c r="R2073" i="2"/>
  <c r="R2072" i="2"/>
  <c r="R2071" i="2"/>
  <c r="R2070" i="2"/>
  <c r="R2069" i="2"/>
  <c r="R2068" i="2"/>
  <c r="R2067" i="2"/>
  <c r="R2066" i="2"/>
  <c r="R2065" i="2"/>
  <c r="R2064" i="2"/>
  <c r="R2063" i="2"/>
  <c r="R2062" i="2"/>
  <c r="R2061" i="2"/>
  <c r="R2060" i="2"/>
  <c r="R2059" i="2"/>
  <c r="R2058" i="2"/>
  <c r="R2057" i="2"/>
  <c r="R2056" i="2"/>
  <c r="R2055" i="2"/>
  <c r="R2054" i="2"/>
  <c r="R2053" i="2"/>
  <c r="R2052" i="2"/>
  <c r="R2051" i="2"/>
  <c r="R2050" i="2"/>
  <c r="R2049" i="2"/>
  <c r="R2048" i="2"/>
  <c r="R2047" i="2"/>
  <c r="R2046" i="2"/>
  <c r="R2045" i="2"/>
  <c r="R2044" i="2"/>
  <c r="R2043" i="2"/>
  <c r="R2042" i="2"/>
  <c r="R2041" i="2"/>
  <c r="R2040" i="2"/>
  <c r="R2039" i="2"/>
  <c r="R2038" i="2"/>
  <c r="R2037" i="2"/>
  <c r="R2036" i="2"/>
  <c r="R2035" i="2"/>
  <c r="R2034" i="2"/>
  <c r="R2033" i="2"/>
  <c r="R2032" i="2"/>
  <c r="R2031" i="2"/>
  <c r="R2030" i="2"/>
  <c r="R2029" i="2"/>
  <c r="R2028" i="2"/>
  <c r="R2027" i="2"/>
  <c r="R2026" i="2"/>
  <c r="R2025" i="2"/>
  <c r="R2024" i="2"/>
  <c r="R2023" i="2"/>
  <c r="R2022" i="2"/>
  <c r="R2021" i="2"/>
  <c r="R2020" i="2"/>
  <c r="R2019" i="2"/>
  <c r="R2018" i="2"/>
  <c r="R2017" i="2"/>
  <c r="R2016" i="2"/>
  <c r="R2015" i="2"/>
  <c r="R2014" i="2"/>
  <c r="R2013" i="2"/>
  <c r="R2012" i="2"/>
  <c r="R2011" i="2"/>
  <c r="R2010" i="2"/>
  <c r="R2009" i="2"/>
  <c r="R2008" i="2"/>
  <c r="R2007" i="2"/>
  <c r="R2006" i="2"/>
  <c r="R2005" i="2"/>
  <c r="R2004" i="2"/>
  <c r="R2003" i="2"/>
  <c r="R2002" i="2"/>
  <c r="R2001" i="2"/>
  <c r="R2000" i="2"/>
  <c r="R1999" i="2"/>
  <c r="R1998" i="2"/>
  <c r="R1997" i="2"/>
  <c r="R1996" i="2"/>
  <c r="R1995" i="2"/>
  <c r="R1994" i="2"/>
  <c r="R1993" i="2"/>
  <c r="R1992" i="2"/>
  <c r="R1991" i="2"/>
  <c r="R1990" i="2"/>
  <c r="R1989" i="2"/>
  <c r="R1988" i="2"/>
  <c r="R1987" i="2"/>
  <c r="R1986" i="2"/>
  <c r="R1985" i="2"/>
  <c r="R1984" i="2"/>
  <c r="R1983" i="2"/>
  <c r="R1982" i="2"/>
  <c r="R1981" i="2"/>
  <c r="R1980" i="2"/>
  <c r="R1979" i="2"/>
  <c r="R1978" i="2"/>
  <c r="R1977" i="2"/>
  <c r="R1976" i="2"/>
  <c r="R1975" i="2"/>
  <c r="R1974" i="2"/>
  <c r="R1973" i="2"/>
  <c r="R1972" i="2"/>
  <c r="R1971" i="2"/>
  <c r="R1970" i="2"/>
  <c r="R1969" i="2"/>
  <c r="R1968" i="2"/>
  <c r="R1967" i="2"/>
  <c r="R1966" i="2"/>
  <c r="R1965" i="2"/>
  <c r="R1964" i="2"/>
  <c r="R1963" i="2"/>
  <c r="R1962" i="2"/>
  <c r="R1961" i="2"/>
  <c r="R1960" i="2"/>
  <c r="R1959" i="2"/>
  <c r="R1958" i="2"/>
  <c r="R1957" i="2"/>
  <c r="R1956" i="2"/>
  <c r="R1955" i="2"/>
  <c r="R1954" i="2"/>
  <c r="R1953" i="2"/>
  <c r="R1952" i="2"/>
  <c r="R1951" i="2"/>
  <c r="R1950" i="2"/>
  <c r="R1949" i="2"/>
  <c r="R1948" i="2"/>
  <c r="R1947" i="2"/>
  <c r="R1946" i="2"/>
  <c r="R1945" i="2"/>
  <c r="R1944" i="2"/>
  <c r="R1943" i="2"/>
  <c r="R1942" i="2"/>
  <c r="R1941" i="2"/>
  <c r="R1940" i="2"/>
  <c r="R1939" i="2"/>
  <c r="R1938" i="2"/>
  <c r="R1937" i="2"/>
  <c r="R1936" i="2"/>
  <c r="R1935" i="2"/>
  <c r="R1934" i="2"/>
  <c r="R1933" i="2"/>
  <c r="R1932" i="2"/>
  <c r="R1931" i="2"/>
  <c r="R1930" i="2"/>
  <c r="R1929" i="2"/>
  <c r="R1928" i="2"/>
  <c r="R1927" i="2"/>
  <c r="R1926" i="2"/>
  <c r="R1925" i="2"/>
  <c r="R1924" i="2"/>
  <c r="R1923" i="2"/>
  <c r="R1922" i="2"/>
  <c r="R1921" i="2"/>
  <c r="R1920" i="2"/>
  <c r="R1919" i="2"/>
  <c r="R1918" i="2"/>
  <c r="R1917" i="2"/>
  <c r="R1916" i="2"/>
  <c r="R1915" i="2"/>
  <c r="R1914" i="2"/>
  <c r="R1913" i="2"/>
  <c r="R1912" i="2"/>
  <c r="R1911" i="2"/>
  <c r="R1910" i="2"/>
  <c r="R1909" i="2"/>
  <c r="R1908" i="2"/>
  <c r="R1907" i="2"/>
  <c r="R1906" i="2"/>
  <c r="R1905" i="2"/>
  <c r="R1904" i="2"/>
  <c r="R1903" i="2"/>
  <c r="R1902" i="2"/>
  <c r="R1901" i="2"/>
  <c r="R1900" i="2"/>
  <c r="R1899" i="2"/>
  <c r="R1898" i="2"/>
  <c r="R1897" i="2"/>
  <c r="R1896" i="2"/>
  <c r="R1895" i="2"/>
  <c r="R1894" i="2"/>
  <c r="R1893" i="2"/>
  <c r="R1892" i="2"/>
  <c r="R1891" i="2"/>
  <c r="R1890" i="2"/>
  <c r="R1889" i="2"/>
  <c r="R1888" i="2"/>
  <c r="R1887" i="2"/>
  <c r="R1886" i="2"/>
  <c r="R1885" i="2"/>
  <c r="R1884" i="2"/>
  <c r="R1883" i="2"/>
  <c r="R1882" i="2"/>
  <c r="R1881" i="2"/>
  <c r="R1880" i="2"/>
  <c r="R1879" i="2"/>
  <c r="R1878" i="2"/>
  <c r="R1877" i="2"/>
  <c r="R1876" i="2"/>
  <c r="R1875" i="2"/>
  <c r="R1874" i="2"/>
  <c r="R1873" i="2"/>
  <c r="R1872" i="2"/>
  <c r="R1871" i="2"/>
  <c r="R1870" i="2"/>
  <c r="R1869" i="2"/>
  <c r="R1868" i="2"/>
  <c r="R1867" i="2"/>
  <c r="R1866" i="2"/>
  <c r="R1865" i="2"/>
  <c r="R1864" i="2"/>
  <c r="R1863" i="2"/>
  <c r="R1862" i="2"/>
  <c r="R1861" i="2"/>
  <c r="R1860" i="2"/>
  <c r="R1859" i="2"/>
  <c r="R1858" i="2"/>
  <c r="R1857" i="2"/>
  <c r="R1856" i="2"/>
  <c r="R1855" i="2"/>
  <c r="R1854" i="2"/>
  <c r="R1853" i="2"/>
  <c r="R1852" i="2"/>
  <c r="R1851" i="2"/>
  <c r="R1850" i="2"/>
  <c r="R1849" i="2"/>
  <c r="R1848" i="2"/>
  <c r="R1847" i="2"/>
  <c r="R1846" i="2"/>
  <c r="R1845" i="2"/>
  <c r="R1844" i="2"/>
  <c r="R1843" i="2"/>
  <c r="R1842" i="2"/>
  <c r="R1841" i="2"/>
  <c r="R1840" i="2"/>
  <c r="R1839" i="2"/>
  <c r="R1838" i="2"/>
  <c r="R1837" i="2"/>
  <c r="R1836" i="2"/>
  <c r="R1835" i="2"/>
  <c r="R1834" i="2"/>
  <c r="R1833" i="2"/>
  <c r="R1832" i="2"/>
  <c r="R1831" i="2"/>
  <c r="R1830" i="2"/>
  <c r="R1829" i="2"/>
  <c r="R1828" i="2"/>
  <c r="R1827" i="2"/>
  <c r="R1826" i="2"/>
  <c r="R1825" i="2"/>
  <c r="R1824" i="2"/>
  <c r="R1823" i="2"/>
  <c r="R1822" i="2"/>
  <c r="R1821" i="2"/>
  <c r="R1820" i="2"/>
  <c r="R1819" i="2"/>
  <c r="R1818" i="2"/>
  <c r="R1817" i="2"/>
  <c r="R1816" i="2"/>
  <c r="R1815" i="2"/>
  <c r="R1814" i="2"/>
  <c r="R1813" i="2"/>
  <c r="R1812" i="2"/>
  <c r="R1811" i="2"/>
  <c r="R1810" i="2"/>
  <c r="R1809" i="2"/>
  <c r="R1808" i="2"/>
  <c r="R1807" i="2"/>
  <c r="R1806" i="2"/>
  <c r="R1805" i="2"/>
  <c r="R1804" i="2"/>
  <c r="R1803" i="2"/>
  <c r="R1802" i="2"/>
  <c r="R1801" i="2"/>
  <c r="R1800" i="2"/>
  <c r="R1799" i="2"/>
  <c r="R1798" i="2"/>
  <c r="R1797" i="2"/>
  <c r="R1796" i="2"/>
  <c r="R1795" i="2"/>
  <c r="R1794" i="2"/>
  <c r="R1793" i="2"/>
  <c r="R1792" i="2"/>
  <c r="R1791" i="2"/>
  <c r="R1790" i="2"/>
  <c r="R1789" i="2"/>
  <c r="R1788" i="2"/>
  <c r="R1787" i="2"/>
  <c r="R1786" i="2"/>
  <c r="R1785" i="2"/>
  <c r="R1784" i="2"/>
  <c r="R1783" i="2"/>
  <c r="R1782" i="2"/>
  <c r="R1781" i="2"/>
  <c r="R1780" i="2"/>
  <c r="R1779" i="2"/>
  <c r="R1778" i="2"/>
  <c r="R1777" i="2"/>
  <c r="R1776" i="2"/>
  <c r="R1775" i="2"/>
  <c r="R1774" i="2"/>
  <c r="R1773" i="2"/>
  <c r="R1772" i="2"/>
  <c r="R1771" i="2"/>
  <c r="R1770" i="2"/>
  <c r="R1769" i="2"/>
  <c r="R1768" i="2"/>
  <c r="R1767" i="2"/>
  <c r="R1766" i="2"/>
  <c r="R1765" i="2"/>
  <c r="R1764" i="2"/>
  <c r="R1763" i="2"/>
  <c r="R1762" i="2"/>
  <c r="R1761" i="2"/>
  <c r="R1760" i="2"/>
  <c r="R1759" i="2"/>
  <c r="R1758" i="2"/>
  <c r="R1757" i="2"/>
  <c r="R1756" i="2"/>
  <c r="R1755" i="2"/>
  <c r="R1754" i="2"/>
  <c r="R1753" i="2"/>
  <c r="R1752" i="2"/>
  <c r="R1751" i="2"/>
  <c r="R1750" i="2"/>
  <c r="R1749" i="2"/>
  <c r="R1748" i="2"/>
  <c r="R1747" i="2"/>
  <c r="R1746" i="2"/>
  <c r="R1745" i="2"/>
  <c r="R1744" i="2"/>
  <c r="R1743" i="2"/>
  <c r="R1742" i="2"/>
  <c r="R1741" i="2"/>
  <c r="R1740" i="2"/>
  <c r="R1739" i="2"/>
  <c r="R1738" i="2"/>
  <c r="R1737" i="2"/>
  <c r="R1736" i="2"/>
  <c r="R1735" i="2"/>
  <c r="R1734" i="2"/>
  <c r="R1733" i="2"/>
  <c r="R1732" i="2"/>
  <c r="R1731" i="2"/>
  <c r="R1730" i="2"/>
  <c r="R1729" i="2"/>
  <c r="R1728" i="2"/>
  <c r="R1727" i="2"/>
  <c r="R1726" i="2"/>
  <c r="R1725" i="2"/>
  <c r="R1724" i="2"/>
  <c r="R1723" i="2"/>
  <c r="R1722" i="2"/>
  <c r="R1721" i="2"/>
  <c r="R1720" i="2"/>
  <c r="R1719" i="2"/>
  <c r="R1718" i="2"/>
  <c r="R1717" i="2"/>
  <c r="R1716" i="2"/>
  <c r="R1715" i="2"/>
  <c r="R1714" i="2"/>
  <c r="R1713" i="2"/>
  <c r="R1712" i="2"/>
  <c r="R1711" i="2"/>
  <c r="R1710" i="2"/>
  <c r="R1709" i="2"/>
  <c r="R1708" i="2"/>
  <c r="R1707" i="2"/>
  <c r="R1706" i="2"/>
  <c r="R1705" i="2"/>
  <c r="R1704" i="2"/>
  <c r="R1703" i="2"/>
  <c r="R1702" i="2"/>
  <c r="R1701" i="2"/>
  <c r="R1700" i="2"/>
  <c r="R1699" i="2"/>
  <c r="R1698" i="2"/>
  <c r="R1697" i="2"/>
  <c r="R1696" i="2"/>
  <c r="R1695" i="2"/>
  <c r="R1694" i="2"/>
  <c r="R1693" i="2"/>
  <c r="R1692" i="2"/>
  <c r="R1691" i="2"/>
  <c r="R1690" i="2"/>
  <c r="R1689" i="2"/>
  <c r="R1688" i="2"/>
  <c r="R1687" i="2"/>
  <c r="R1686" i="2"/>
  <c r="R1685" i="2"/>
  <c r="R1684" i="2"/>
  <c r="R1683" i="2"/>
  <c r="R1682" i="2"/>
  <c r="R1681" i="2"/>
  <c r="R1680" i="2"/>
  <c r="R1679" i="2"/>
  <c r="R1678" i="2"/>
  <c r="R1677" i="2"/>
  <c r="R1676" i="2"/>
  <c r="R1675" i="2"/>
  <c r="R1674" i="2"/>
  <c r="R1673" i="2"/>
  <c r="R1672" i="2"/>
  <c r="R1671" i="2"/>
  <c r="R1670" i="2"/>
  <c r="R1669" i="2"/>
  <c r="R1668" i="2"/>
  <c r="R1667" i="2"/>
  <c r="R1666" i="2"/>
  <c r="R1665" i="2"/>
  <c r="R1664" i="2"/>
  <c r="R1663" i="2"/>
  <c r="R1662" i="2"/>
  <c r="R1661" i="2"/>
  <c r="R1660" i="2"/>
  <c r="R1659" i="2"/>
  <c r="R1658" i="2"/>
  <c r="R1657" i="2"/>
  <c r="R1656" i="2"/>
  <c r="R1655" i="2"/>
  <c r="R1654" i="2"/>
  <c r="R1653" i="2"/>
  <c r="R1652" i="2"/>
  <c r="R1651" i="2"/>
  <c r="R1650" i="2"/>
  <c r="R1649" i="2"/>
  <c r="R1648" i="2"/>
  <c r="R1647" i="2"/>
  <c r="R1646" i="2"/>
  <c r="R1645" i="2"/>
  <c r="R1644" i="2"/>
  <c r="R1643" i="2"/>
  <c r="R1642" i="2"/>
  <c r="R1641" i="2"/>
  <c r="R1640" i="2"/>
  <c r="R1639" i="2"/>
  <c r="R1638" i="2"/>
  <c r="R1637" i="2"/>
  <c r="R1636" i="2"/>
  <c r="R1635" i="2"/>
  <c r="R1634" i="2"/>
  <c r="R1633" i="2"/>
  <c r="R1632" i="2"/>
  <c r="R1631" i="2"/>
  <c r="R1630" i="2"/>
  <c r="R1629" i="2"/>
  <c r="R1628" i="2"/>
  <c r="R1627" i="2"/>
  <c r="R1626" i="2"/>
  <c r="R1625" i="2"/>
  <c r="R1624" i="2"/>
  <c r="R1623" i="2"/>
  <c r="R1622" i="2"/>
  <c r="R1621" i="2"/>
  <c r="R1620" i="2"/>
  <c r="R1619" i="2"/>
  <c r="R1618" i="2"/>
  <c r="R1617" i="2"/>
  <c r="R1616" i="2"/>
  <c r="R1615" i="2"/>
  <c r="R1614" i="2"/>
  <c r="R1613" i="2"/>
  <c r="R1612" i="2"/>
  <c r="R1611" i="2"/>
  <c r="R1610" i="2"/>
  <c r="R1609" i="2"/>
  <c r="R1608" i="2"/>
  <c r="R1607" i="2"/>
  <c r="R1606" i="2"/>
  <c r="R1605" i="2"/>
  <c r="R1604" i="2"/>
  <c r="R1603" i="2"/>
  <c r="R1602" i="2"/>
  <c r="R1601" i="2"/>
  <c r="R1600" i="2"/>
  <c r="R1599" i="2"/>
  <c r="R1598" i="2"/>
  <c r="R1597" i="2"/>
  <c r="R1596" i="2"/>
  <c r="R1595" i="2"/>
  <c r="R1594" i="2"/>
  <c r="R1593" i="2"/>
  <c r="R1592" i="2"/>
  <c r="R1591" i="2"/>
  <c r="R1590" i="2"/>
  <c r="R1589" i="2"/>
  <c r="R1588" i="2"/>
  <c r="R1587" i="2"/>
  <c r="R1586" i="2"/>
  <c r="R1585" i="2"/>
  <c r="R1584" i="2"/>
  <c r="R1583" i="2"/>
  <c r="R1582" i="2"/>
  <c r="R1581" i="2"/>
  <c r="R1580" i="2"/>
  <c r="R1579" i="2"/>
  <c r="R1578" i="2"/>
  <c r="R1577" i="2"/>
  <c r="R1576" i="2"/>
  <c r="R1575" i="2"/>
  <c r="R1574" i="2"/>
  <c r="R1573" i="2"/>
  <c r="R1572" i="2"/>
  <c r="R1571" i="2"/>
  <c r="R1570" i="2"/>
  <c r="R1569" i="2"/>
  <c r="R1568" i="2"/>
  <c r="R1567" i="2"/>
  <c r="R1566" i="2"/>
  <c r="R1565" i="2"/>
  <c r="R1564" i="2"/>
  <c r="R1563" i="2"/>
  <c r="R1562" i="2"/>
  <c r="R1561" i="2"/>
  <c r="R1560" i="2"/>
  <c r="R1559" i="2"/>
  <c r="R1558" i="2"/>
  <c r="R1557" i="2"/>
  <c r="R1556" i="2"/>
  <c r="R1555" i="2"/>
  <c r="R1554" i="2"/>
  <c r="R1553" i="2"/>
  <c r="R1552" i="2"/>
  <c r="R1551" i="2"/>
  <c r="R1550" i="2"/>
  <c r="R1549" i="2"/>
  <c r="R1548" i="2"/>
  <c r="R1547" i="2"/>
  <c r="R1546" i="2"/>
  <c r="R1545" i="2"/>
  <c r="R1544" i="2"/>
  <c r="R1543" i="2"/>
  <c r="R1542" i="2"/>
  <c r="R1541" i="2"/>
  <c r="R1540" i="2"/>
  <c r="R1539" i="2"/>
  <c r="R1538" i="2"/>
  <c r="R1537" i="2"/>
  <c r="R1536" i="2"/>
  <c r="R1535" i="2"/>
  <c r="R1534" i="2"/>
  <c r="R1533" i="2"/>
  <c r="R1532" i="2"/>
  <c r="R1531" i="2"/>
  <c r="R1530" i="2"/>
  <c r="R1529" i="2"/>
  <c r="R1528" i="2"/>
  <c r="R1527" i="2"/>
  <c r="R1526" i="2"/>
  <c r="R1525" i="2"/>
  <c r="R1524" i="2"/>
  <c r="R1523" i="2"/>
  <c r="R1522" i="2"/>
  <c r="R1521" i="2"/>
  <c r="R1520" i="2"/>
  <c r="R1519" i="2"/>
  <c r="R1518" i="2"/>
  <c r="R1517" i="2"/>
  <c r="R1516" i="2"/>
  <c r="R1515" i="2"/>
  <c r="R1514" i="2"/>
  <c r="R1513" i="2"/>
  <c r="R1512" i="2"/>
  <c r="R1511" i="2"/>
  <c r="R1510" i="2"/>
  <c r="R1509" i="2"/>
  <c r="R1508" i="2"/>
  <c r="R1507" i="2"/>
  <c r="R1506" i="2"/>
  <c r="R1505" i="2"/>
  <c r="R1504" i="2"/>
  <c r="R1503" i="2"/>
  <c r="R1502" i="2"/>
  <c r="R1501" i="2"/>
  <c r="R1500" i="2"/>
  <c r="R1499" i="2"/>
  <c r="R1498" i="2"/>
  <c r="R1497" i="2"/>
  <c r="R1496" i="2"/>
  <c r="R1495" i="2"/>
  <c r="R1494" i="2"/>
  <c r="R1493" i="2"/>
  <c r="R1492" i="2"/>
  <c r="R1491" i="2"/>
  <c r="R1490" i="2"/>
  <c r="R1489" i="2"/>
  <c r="R1488" i="2"/>
  <c r="R1487" i="2"/>
  <c r="R1486" i="2"/>
  <c r="R1485" i="2"/>
  <c r="R1484" i="2"/>
  <c r="R1483" i="2"/>
  <c r="R1482" i="2"/>
  <c r="R1481" i="2"/>
  <c r="R1480" i="2"/>
  <c r="R1479" i="2"/>
  <c r="R1478" i="2"/>
  <c r="R1477" i="2"/>
  <c r="R1476" i="2"/>
  <c r="R1475" i="2"/>
  <c r="R1474" i="2"/>
  <c r="R1473" i="2"/>
  <c r="R1472" i="2"/>
  <c r="R1471" i="2"/>
  <c r="R1470" i="2"/>
  <c r="R1469" i="2"/>
  <c r="R1468" i="2"/>
  <c r="R1467" i="2"/>
  <c r="R1466" i="2"/>
  <c r="R1465" i="2"/>
  <c r="R1464" i="2"/>
  <c r="R1463" i="2"/>
  <c r="R1462" i="2"/>
  <c r="R1461" i="2"/>
  <c r="R1460" i="2"/>
  <c r="R1459" i="2"/>
  <c r="R1458" i="2"/>
  <c r="R1457" i="2"/>
  <c r="R1456" i="2"/>
  <c r="R1455" i="2"/>
  <c r="R1454" i="2"/>
  <c r="R1453" i="2"/>
  <c r="R1452" i="2"/>
  <c r="R1451" i="2"/>
  <c r="R1450" i="2"/>
  <c r="R1449" i="2"/>
  <c r="R1448" i="2"/>
  <c r="R1447" i="2"/>
  <c r="R1446" i="2"/>
  <c r="R1445" i="2"/>
  <c r="R1444" i="2"/>
  <c r="R1443" i="2"/>
  <c r="R1442" i="2"/>
  <c r="R1441" i="2"/>
  <c r="R1440" i="2"/>
  <c r="R1439" i="2"/>
  <c r="R1438" i="2"/>
  <c r="R1437" i="2"/>
  <c r="R1436" i="2"/>
  <c r="R1435" i="2"/>
  <c r="R1434" i="2"/>
  <c r="R1433" i="2"/>
  <c r="R1432" i="2"/>
  <c r="R1431" i="2"/>
  <c r="R1430" i="2"/>
  <c r="R1429" i="2"/>
  <c r="R1428" i="2"/>
  <c r="R1427" i="2"/>
  <c r="R1426" i="2"/>
  <c r="R1425" i="2"/>
  <c r="R1424" i="2"/>
  <c r="R1423" i="2"/>
  <c r="R1422" i="2"/>
  <c r="R1421" i="2"/>
  <c r="R1420" i="2"/>
  <c r="R1419" i="2"/>
  <c r="R1418" i="2"/>
  <c r="R1417" i="2"/>
  <c r="R1416" i="2"/>
  <c r="R1415" i="2"/>
  <c r="R1414" i="2"/>
  <c r="R1413" i="2"/>
  <c r="R1412" i="2"/>
  <c r="R1411" i="2"/>
  <c r="R1410" i="2"/>
  <c r="R1409" i="2"/>
  <c r="R1408" i="2"/>
  <c r="R1407" i="2"/>
  <c r="R1406" i="2"/>
  <c r="R1405" i="2"/>
  <c r="R1404" i="2"/>
  <c r="R1403" i="2"/>
  <c r="R1402" i="2"/>
  <c r="R1401" i="2"/>
  <c r="R1400" i="2"/>
  <c r="R1399" i="2"/>
  <c r="R1398" i="2"/>
  <c r="R1397" i="2"/>
  <c r="R1396" i="2"/>
  <c r="R1395" i="2"/>
  <c r="R1394" i="2"/>
  <c r="R1393" i="2"/>
  <c r="R1392" i="2"/>
  <c r="R1391" i="2"/>
  <c r="R1390" i="2"/>
  <c r="R1389" i="2"/>
  <c r="R1388" i="2"/>
  <c r="R1387" i="2"/>
  <c r="R1386" i="2"/>
  <c r="R1385" i="2"/>
  <c r="R1384" i="2"/>
  <c r="R1383" i="2"/>
  <c r="R1382" i="2"/>
  <c r="R1381" i="2"/>
  <c r="R1380" i="2"/>
  <c r="R1379" i="2"/>
  <c r="R1378" i="2"/>
  <c r="R1377" i="2"/>
  <c r="R1376" i="2"/>
  <c r="R1375" i="2"/>
  <c r="R1374" i="2"/>
  <c r="R1373" i="2"/>
  <c r="R1372" i="2"/>
  <c r="R1371" i="2"/>
  <c r="R1370" i="2"/>
  <c r="R1369" i="2"/>
  <c r="R1368" i="2"/>
  <c r="R1367" i="2"/>
  <c r="R1366" i="2"/>
  <c r="R1365" i="2"/>
  <c r="R1364" i="2"/>
  <c r="R1363" i="2"/>
  <c r="R1362" i="2"/>
  <c r="R1361" i="2"/>
  <c r="R1360" i="2"/>
  <c r="R1359" i="2"/>
  <c r="R1358" i="2"/>
  <c r="R1357" i="2"/>
  <c r="R1356" i="2"/>
  <c r="R1355" i="2"/>
  <c r="R1354" i="2"/>
  <c r="R1353" i="2"/>
  <c r="R1352" i="2"/>
  <c r="R1351" i="2"/>
  <c r="R1350" i="2"/>
  <c r="R1349" i="2"/>
  <c r="R1348" i="2"/>
  <c r="R1347" i="2"/>
  <c r="R1346" i="2"/>
  <c r="R1345" i="2"/>
  <c r="R1344" i="2"/>
  <c r="R1343" i="2"/>
  <c r="R1342" i="2"/>
  <c r="R1341" i="2"/>
  <c r="R1340" i="2"/>
  <c r="R1339" i="2"/>
  <c r="R1338" i="2"/>
  <c r="R1337" i="2"/>
  <c r="R1336" i="2"/>
  <c r="R1335" i="2"/>
  <c r="R1334" i="2"/>
  <c r="R1333" i="2"/>
  <c r="R1332" i="2"/>
  <c r="R1331" i="2"/>
  <c r="R1330" i="2"/>
  <c r="R1329" i="2"/>
  <c r="R1328" i="2"/>
  <c r="R1327" i="2"/>
  <c r="R1326" i="2"/>
  <c r="R1325" i="2"/>
  <c r="R1324" i="2"/>
  <c r="R1323" i="2"/>
  <c r="R1322" i="2"/>
  <c r="R1321" i="2"/>
  <c r="R1320" i="2"/>
  <c r="R1319" i="2"/>
  <c r="R1318" i="2"/>
  <c r="R1317" i="2"/>
  <c r="R1316" i="2"/>
  <c r="R1315" i="2"/>
  <c r="R1314" i="2"/>
  <c r="R1313" i="2"/>
  <c r="R1312" i="2"/>
  <c r="R1311" i="2"/>
  <c r="R1310" i="2"/>
  <c r="R1309" i="2"/>
  <c r="R1308" i="2"/>
  <c r="R1307" i="2"/>
  <c r="R1306" i="2"/>
  <c r="R1305" i="2"/>
  <c r="R1304" i="2"/>
  <c r="R1303" i="2"/>
  <c r="R1302" i="2"/>
  <c r="R1301" i="2"/>
  <c r="R1300" i="2"/>
  <c r="R1299" i="2"/>
  <c r="R1298" i="2"/>
  <c r="R1297" i="2"/>
  <c r="R1296" i="2"/>
  <c r="R1295" i="2"/>
  <c r="R1294" i="2"/>
  <c r="R1293" i="2"/>
  <c r="R1292" i="2"/>
  <c r="R1291" i="2"/>
  <c r="R1290" i="2"/>
  <c r="R1289" i="2"/>
  <c r="R1288" i="2"/>
  <c r="R1287" i="2"/>
  <c r="R1286" i="2"/>
  <c r="R1285" i="2"/>
  <c r="R1284" i="2"/>
  <c r="R1283" i="2"/>
  <c r="R1282" i="2"/>
  <c r="R1281" i="2"/>
  <c r="R1280" i="2"/>
  <c r="R1279" i="2"/>
  <c r="R1278" i="2"/>
  <c r="R1277" i="2"/>
  <c r="R1276" i="2"/>
  <c r="R1275" i="2"/>
  <c r="R1274" i="2"/>
  <c r="R1273" i="2"/>
  <c r="R1272" i="2"/>
  <c r="R1271" i="2"/>
  <c r="R1270" i="2"/>
  <c r="R1269" i="2"/>
  <c r="R1268" i="2"/>
  <c r="R1267" i="2"/>
  <c r="R1266" i="2"/>
  <c r="R1265" i="2"/>
  <c r="R1264" i="2"/>
  <c r="R1263" i="2"/>
  <c r="R1262" i="2"/>
  <c r="R1261" i="2"/>
  <c r="R1260" i="2"/>
  <c r="R1259" i="2"/>
  <c r="R1258" i="2"/>
  <c r="R1257" i="2"/>
  <c r="R1256" i="2"/>
  <c r="R1255" i="2"/>
  <c r="R1254" i="2"/>
  <c r="R1253" i="2"/>
  <c r="R1252" i="2"/>
  <c r="R1251" i="2"/>
  <c r="R1250" i="2"/>
  <c r="R1249" i="2"/>
  <c r="R1248" i="2"/>
  <c r="R1247" i="2"/>
  <c r="R1246" i="2"/>
  <c r="R1245" i="2"/>
  <c r="R1244" i="2"/>
  <c r="R1243" i="2"/>
  <c r="R1242" i="2"/>
  <c r="R1241" i="2"/>
  <c r="R1240" i="2"/>
  <c r="R1239" i="2"/>
  <c r="R1238" i="2"/>
  <c r="R1237" i="2"/>
  <c r="R1236" i="2"/>
  <c r="R1235" i="2"/>
  <c r="R1234" i="2"/>
  <c r="R1233" i="2"/>
  <c r="R1232" i="2"/>
  <c r="R1231" i="2"/>
  <c r="R1230" i="2"/>
  <c r="R1229" i="2"/>
  <c r="R1228" i="2"/>
  <c r="R1227" i="2"/>
  <c r="R1226" i="2"/>
  <c r="R1225" i="2"/>
  <c r="R1224" i="2"/>
  <c r="R1223" i="2"/>
  <c r="R1222" i="2"/>
  <c r="R1221" i="2"/>
  <c r="R1220" i="2"/>
  <c r="R1219" i="2"/>
  <c r="R1218" i="2"/>
  <c r="R1217" i="2"/>
  <c r="R1216" i="2"/>
  <c r="R1215" i="2"/>
  <c r="R1214" i="2"/>
  <c r="R1213" i="2"/>
  <c r="R1212" i="2"/>
  <c r="R1211" i="2"/>
  <c r="R1210" i="2"/>
  <c r="R1209" i="2"/>
  <c r="R1208" i="2"/>
  <c r="R1207" i="2"/>
  <c r="R1206" i="2"/>
  <c r="R1205" i="2"/>
  <c r="R1204" i="2"/>
  <c r="R1203" i="2"/>
  <c r="R1202" i="2"/>
  <c r="R1201" i="2"/>
  <c r="R1200" i="2"/>
  <c r="R1199" i="2"/>
  <c r="R1198" i="2"/>
  <c r="R1197" i="2"/>
  <c r="R1196" i="2"/>
  <c r="R1195" i="2"/>
  <c r="R1194" i="2"/>
  <c r="R1193" i="2"/>
  <c r="R1192" i="2"/>
  <c r="R1191" i="2"/>
  <c r="R1190" i="2"/>
  <c r="R1189" i="2"/>
  <c r="R1188" i="2"/>
  <c r="R1187" i="2"/>
  <c r="R1186" i="2"/>
  <c r="R1185" i="2"/>
  <c r="R1184" i="2"/>
  <c r="R1183" i="2"/>
  <c r="R1182" i="2"/>
  <c r="R1181" i="2"/>
  <c r="R1180" i="2"/>
  <c r="R1179" i="2"/>
  <c r="R1178" i="2"/>
  <c r="R1177" i="2"/>
  <c r="R1176" i="2"/>
  <c r="R1175" i="2"/>
  <c r="R1174" i="2"/>
  <c r="R1173" i="2"/>
  <c r="R1172" i="2"/>
  <c r="R1171" i="2"/>
  <c r="R1170" i="2"/>
  <c r="R1169" i="2"/>
  <c r="R1168" i="2"/>
  <c r="R1167" i="2"/>
  <c r="R1166" i="2"/>
  <c r="R1165" i="2"/>
  <c r="R1164" i="2"/>
  <c r="R1163" i="2"/>
  <c r="R1162" i="2"/>
  <c r="R1161" i="2"/>
  <c r="R1160" i="2"/>
  <c r="R1159" i="2"/>
  <c r="R1158" i="2"/>
  <c r="R1157" i="2"/>
  <c r="R1156" i="2"/>
  <c r="R1155" i="2"/>
  <c r="R1154" i="2"/>
  <c r="R1153" i="2"/>
  <c r="R1152" i="2"/>
  <c r="R1151" i="2"/>
  <c r="R1150" i="2"/>
  <c r="R1149" i="2"/>
  <c r="R1148" i="2"/>
  <c r="R1147" i="2"/>
  <c r="R1146" i="2"/>
  <c r="R1145" i="2"/>
  <c r="R1144" i="2"/>
  <c r="R1143" i="2"/>
  <c r="R1142" i="2"/>
  <c r="R1141" i="2"/>
  <c r="R1140" i="2"/>
  <c r="R1139" i="2"/>
  <c r="R1138" i="2"/>
  <c r="R1137" i="2"/>
  <c r="R1136" i="2"/>
  <c r="R1135" i="2"/>
  <c r="R1134" i="2"/>
  <c r="R1133" i="2"/>
  <c r="R1132" i="2"/>
  <c r="R1131" i="2"/>
  <c r="R1130" i="2"/>
  <c r="R1129" i="2"/>
  <c r="R1128" i="2"/>
  <c r="R1127" i="2"/>
  <c r="R1126" i="2"/>
  <c r="R1125" i="2"/>
  <c r="R1124" i="2"/>
  <c r="R1123" i="2"/>
  <c r="R1122" i="2"/>
  <c r="R1121" i="2"/>
  <c r="R1120" i="2"/>
  <c r="R1119" i="2"/>
  <c r="R1118" i="2"/>
  <c r="R1117" i="2"/>
  <c r="R1116" i="2"/>
  <c r="R1115" i="2"/>
  <c r="R1114" i="2"/>
  <c r="R1113" i="2"/>
  <c r="R1112" i="2"/>
  <c r="R1111" i="2"/>
  <c r="R1110" i="2"/>
  <c r="R1109" i="2"/>
  <c r="R1108" i="2"/>
  <c r="R1107" i="2"/>
  <c r="R1106" i="2"/>
  <c r="R1105" i="2"/>
  <c r="R1104" i="2"/>
  <c r="R1103" i="2"/>
  <c r="R1102" i="2"/>
  <c r="R1101" i="2"/>
  <c r="R1100" i="2"/>
  <c r="R1099" i="2"/>
  <c r="R1098" i="2"/>
  <c r="R1097" i="2"/>
  <c r="R1096" i="2"/>
  <c r="R1095" i="2"/>
  <c r="R1094" i="2"/>
  <c r="R1093" i="2"/>
  <c r="R1092" i="2"/>
  <c r="R1091" i="2"/>
  <c r="R1090" i="2"/>
  <c r="R1089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2853" i="2"/>
  <c r="Q2852" i="2"/>
  <c r="Q2851" i="2"/>
  <c r="Q2850" i="2"/>
  <c r="Q2849" i="2"/>
  <c r="Q2848" i="2"/>
  <c r="Q2847" i="2"/>
  <c r="Q2846" i="2"/>
  <c r="Q2845" i="2"/>
  <c r="Q2844" i="2"/>
  <c r="Q2843" i="2"/>
  <c r="Q2842" i="2"/>
  <c r="Q2841" i="2"/>
  <c r="Q2840" i="2"/>
  <c r="Q2839" i="2"/>
  <c r="Q2838" i="2"/>
  <c r="Q2837" i="2"/>
  <c r="Q2836" i="2"/>
  <c r="Q2835" i="2"/>
  <c r="Q2834" i="2"/>
  <c r="Q2833" i="2"/>
  <c r="Q2832" i="2"/>
  <c r="Q2831" i="2"/>
  <c r="Q2830" i="2"/>
  <c r="Q2829" i="2"/>
  <c r="Q2828" i="2"/>
  <c r="Q2827" i="2"/>
  <c r="Q2826" i="2"/>
  <c r="Q2825" i="2"/>
  <c r="Q2824" i="2"/>
  <c r="Q2823" i="2"/>
  <c r="Q2822" i="2"/>
  <c r="Q2821" i="2"/>
  <c r="Q2820" i="2"/>
  <c r="Q2819" i="2"/>
  <c r="Q2818" i="2"/>
  <c r="Q2817" i="2"/>
  <c r="Q2816" i="2"/>
  <c r="Q2815" i="2"/>
  <c r="Q2814" i="2"/>
  <c r="Q2813" i="2"/>
  <c r="Q2812" i="2"/>
  <c r="Q2811" i="2"/>
  <c r="Q2810" i="2"/>
  <c r="Q2809" i="2"/>
  <c r="Q2808" i="2"/>
  <c r="Q2807" i="2"/>
  <c r="Q2806" i="2"/>
  <c r="Q2805" i="2"/>
  <c r="Q2804" i="2"/>
  <c r="Q2803" i="2"/>
  <c r="Q2802" i="2"/>
  <c r="Q2801" i="2"/>
  <c r="Q2800" i="2"/>
  <c r="Q2799" i="2"/>
  <c r="Q2798" i="2"/>
  <c r="Q2797" i="2"/>
  <c r="Q2796" i="2"/>
  <c r="Q2795" i="2"/>
  <c r="Q2794" i="2"/>
  <c r="Q2793" i="2"/>
  <c r="Q2792" i="2"/>
  <c r="Q2791" i="2"/>
  <c r="Q2790" i="2"/>
  <c r="Q2789" i="2"/>
  <c r="Q2788" i="2"/>
  <c r="Q2787" i="2"/>
  <c r="Q2786" i="2"/>
  <c r="Q2785" i="2"/>
  <c r="Q2784" i="2"/>
  <c r="Q2783" i="2"/>
  <c r="Q2782" i="2"/>
  <c r="Q2781" i="2"/>
  <c r="Q2780" i="2"/>
  <c r="Q2779" i="2"/>
  <c r="Q2778" i="2"/>
  <c r="Q2777" i="2"/>
  <c r="Q2776" i="2"/>
  <c r="Q2775" i="2"/>
  <c r="Q2774" i="2"/>
  <c r="Q2773" i="2"/>
  <c r="Q2772" i="2"/>
  <c r="Q2771" i="2"/>
  <c r="Q2770" i="2"/>
  <c r="Q2769" i="2"/>
  <c r="Q2768" i="2"/>
  <c r="Q2767" i="2"/>
  <c r="Q2766" i="2"/>
  <c r="Q2765" i="2"/>
  <c r="Q2764" i="2"/>
  <c r="Q2763" i="2"/>
  <c r="Q2762" i="2"/>
  <c r="Q2761" i="2"/>
  <c r="Q2760" i="2"/>
  <c r="Q2759" i="2"/>
  <c r="Q2758" i="2"/>
  <c r="Q2757" i="2"/>
  <c r="Q2756" i="2"/>
  <c r="Q2755" i="2"/>
  <c r="Q2754" i="2"/>
  <c r="Q2753" i="2"/>
  <c r="Q2752" i="2"/>
  <c r="Q2751" i="2"/>
  <c r="Q2750" i="2"/>
  <c r="Q2749" i="2"/>
  <c r="Q2748" i="2"/>
  <c r="Q2747" i="2"/>
  <c r="Q2746" i="2"/>
  <c r="Q2745" i="2"/>
  <c r="Q2744" i="2"/>
  <c r="Q2743" i="2"/>
  <c r="Q2742" i="2"/>
  <c r="Q2741" i="2"/>
  <c r="Q2740" i="2"/>
  <c r="Q2739" i="2"/>
  <c r="Q2738" i="2"/>
  <c r="Q2737" i="2"/>
  <c r="Q2736" i="2"/>
  <c r="Q2735" i="2"/>
  <c r="Q2734" i="2"/>
  <c r="Q2733" i="2"/>
  <c r="Q2732" i="2"/>
  <c r="Q2731" i="2"/>
  <c r="Q2730" i="2"/>
  <c r="Q2729" i="2"/>
  <c r="Q2728" i="2"/>
  <c r="Q2727" i="2"/>
  <c r="Q2726" i="2"/>
  <c r="Q2725" i="2"/>
  <c r="Q2724" i="2"/>
  <c r="Q2723" i="2"/>
  <c r="Q2722" i="2"/>
  <c r="Q2721" i="2"/>
  <c r="Q2720" i="2"/>
  <c r="Q2719" i="2"/>
  <c r="Q2718" i="2"/>
  <c r="Q2717" i="2"/>
  <c r="Q2716" i="2"/>
  <c r="Q2715" i="2"/>
  <c r="Q2714" i="2"/>
  <c r="Q2713" i="2"/>
  <c r="Q2712" i="2"/>
  <c r="Q2711" i="2"/>
  <c r="Q2710" i="2"/>
  <c r="Q2709" i="2"/>
  <c r="Q2708" i="2"/>
  <c r="Q2707" i="2"/>
  <c r="Q2706" i="2"/>
  <c r="Q2705" i="2"/>
  <c r="Q2704" i="2"/>
  <c r="Q2703" i="2"/>
  <c r="Q2702" i="2"/>
  <c r="Q2701" i="2"/>
  <c r="Q2700" i="2"/>
  <c r="Q2699" i="2"/>
  <c r="Q2698" i="2"/>
  <c r="Q2697" i="2"/>
  <c r="Q2696" i="2"/>
  <c r="Q2695" i="2"/>
  <c r="Q2694" i="2"/>
  <c r="Q2693" i="2"/>
  <c r="Q2692" i="2"/>
  <c r="Q2691" i="2"/>
  <c r="Q2690" i="2"/>
  <c r="Q2689" i="2"/>
  <c r="Q2688" i="2"/>
  <c r="Q2687" i="2"/>
  <c r="Q2686" i="2"/>
  <c r="Q2685" i="2"/>
  <c r="Q2684" i="2"/>
  <c r="Q2683" i="2"/>
  <c r="Q2682" i="2"/>
  <c r="Q2681" i="2"/>
  <c r="Q2680" i="2"/>
  <c r="Q2679" i="2"/>
  <c r="Q2678" i="2"/>
  <c r="Q2677" i="2"/>
  <c r="Q2676" i="2"/>
  <c r="Q2675" i="2"/>
  <c r="Q2674" i="2"/>
  <c r="Q2673" i="2"/>
  <c r="Q2672" i="2"/>
  <c r="Q2671" i="2"/>
  <c r="Q2670" i="2"/>
  <c r="Q2669" i="2"/>
  <c r="Q2668" i="2"/>
  <c r="Q2667" i="2"/>
  <c r="Q2666" i="2"/>
  <c r="Q2665" i="2"/>
  <c r="Q2664" i="2"/>
  <c r="Q2663" i="2"/>
  <c r="Q2662" i="2"/>
  <c r="Q2661" i="2"/>
  <c r="Q2660" i="2"/>
  <c r="Q2659" i="2"/>
  <c r="Q2658" i="2"/>
  <c r="Q2657" i="2"/>
  <c r="Q2656" i="2"/>
  <c r="Q2655" i="2"/>
  <c r="Q2654" i="2"/>
  <c r="Q2653" i="2"/>
  <c r="Q2652" i="2"/>
  <c r="Q2651" i="2"/>
  <c r="Q2650" i="2"/>
  <c r="Q2649" i="2"/>
  <c r="Q2648" i="2"/>
  <c r="Q2647" i="2"/>
  <c r="Q2646" i="2"/>
  <c r="Q2645" i="2"/>
  <c r="Q2644" i="2"/>
  <c r="Q2643" i="2"/>
  <c r="Q2642" i="2"/>
  <c r="Q2641" i="2"/>
  <c r="Q2640" i="2"/>
  <c r="Q2639" i="2"/>
  <c r="Q2638" i="2"/>
  <c r="Q2637" i="2"/>
  <c r="Q2636" i="2"/>
  <c r="Q2635" i="2"/>
  <c r="Q2634" i="2"/>
  <c r="Q2633" i="2"/>
  <c r="Q2632" i="2"/>
  <c r="Q2631" i="2"/>
  <c r="Q2630" i="2"/>
  <c r="Q2629" i="2"/>
  <c r="Q2628" i="2"/>
  <c r="Q2627" i="2"/>
  <c r="Q2626" i="2"/>
  <c r="Q2625" i="2"/>
  <c r="Q2624" i="2"/>
  <c r="Q2623" i="2"/>
  <c r="Q2622" i="2"/>
  <c r="Q2621" i="2"/>
  <c r="Q2620" i="2"/>
  <c r="Q2619" i="2"/>
  <c r="Q2618" i="2"/>
  <c r="Q2617" i="2"/>
  <c r="Q2616" i="2"/>
  <c r="Q2615" i="2"/>
  <c r="Q2614" i="2"/>
  <c r="Q2613" i="2"/>
  <c r="Q2612" i="2"/>
  <c r="Q2611" i="2"/>
  <c r="Q2610" i="2"/>
  <c r="Q2609" i="2"/>
  <c r="Q2608" i="2"/>
  <c r="Q2607" i="2"/>
  <c r="Q2606" i="2"/>
  <c r="Q2605" i="2"/>
  <c r="Q2604" i="2"/>
  <c r="Q2603" i="2"/>
  <c r="Q2602" i="2"/>
  <c r="Q2601" i="2"/>
  <c r="Q2600" i="2"/>
  <c r="Q2599" i="2"/>
  <c r="Q2598" i="2"/>
  <c r="Q2597" i="2"/>
  <c r="Q2596" i="2"/>
  <c r="Q2595" i="2"/>
  <c r="Q2594" i="2"/>
  <c r="Q2593" i="2"/>
  <c r="Q2592" i="2"/>
  <c r="Q2591" i="2"/>
  <c r="Q2590" i="2"/>
  <c r="Q2589" i="2"/>
  <c r="Q2588" i="2"/>
  <c r="Q2587" i="2"/>
  <c r="Q2586" i="2"/>
  <c r="Q2585" i="2"/>
  <c r="Q2584" i="2"/>
  <c r="Q2583" i="2"/>
  <c r="Q2582" i="2"/>
  <c r="Q2581" i="2"/>
  <c r="Q2580" i="2"/>
  <c r="Q2579" i="2"/>
  <c r="Q2578" i="2"/>
  <c r="Q2577" i="2"/>
  <c r="Q2576" i="2"/>
  <c r="Q2575" i="2"/>
  <c r="Q2574" i="2"/>
  <c r="Q2573" i="2"/>
  <c r="Q2572" i="2"/>
  <c r="Q2571" i="2"/>
  <c r="Q2570" i="2"/>
  <c r="Q2569" i="2"/>
  <c r="Q2568" i="2"/>
  <c r="Q2567" i="2"/>
  <c r="Q2566" i="2"/>
  <c r="Q2565" i="2"/>
  <c r="Q2564" i="2"/>
  <c r="Q2563" i="2"/>
  <c r="Q2562" i="2"/>
  <c r="Q2561" i="2"/>
  <c r="Q2560" i="2"/>
  <c r="Q2559" i="2"/>
  <c r="Q2558" i="2"/>
  <c r="Q2557" i="2"/>
  <c r="Q2556" i="2"/>
  <c r="Q2555" i="2"/>
  <c r="Q2554" i="2"/>
  <c r="Q2553" i="2"/>
  <c r="Q2552" i="2"/>
  <c r="Q2551" i="2"/>
  <c r="Q2550" i="2"/>
  <c r="Q2549" i="2"/>
  <c r="Q2548" i="2"/>
  <c r="Q2547" i="2"/>
  <c r="Q2546" i="2"/>
  <c r="Q2545" i="2"/>
  <c r="Q2544" i="2"/>
  <c r="Q2543" i="2"/>
  <c r="Q2542" i="2"/>
  <c r="Q2541" i="2"/>
  <c r="Q2540" i="2"/>
  <c r="Q2539" i="2"/>
  <c r="Q2538" i="2"/>
  <c r="Q2537" i="2"/>
  <c r="Q2536" i="2"/>
  <c r="Q2535" i="2"/>
  <c r="Q2534" i="2"/>
  <c r="Q2533" i="2"/>
  <c r="Q2532" i="2"/>
  <c r="Q2531" i="2"/>
  <c r="Q2530" i="2"/>
  <c r="Q2529" i="2"/>
  <c r="Q2528" i="2"/>
  <c r="Q2527" i="2"/>
  <c r="Q2526" i="2"/>
  <c r="Q2525" i="2"/>
  <c r="Q2524" i="2"/>
  <c r="Q2523" i="2"/>
  <c r="Q2522" i="2"/>
  <c r="Q2521" i="2"/>
  <c r="Q2520" i="2"/>
  <c r="Q2519" i="2"/>
  <c r="Q2518" i="2"/>
  <c r="Q2517" i="2"/>
  <c r="Q2516" i="2"/>
  <c r="Q2515" i="2"/>
  <c r="Q2514" i="2"/>
  <c r="Q2513" i="2"/>
  <c r="Q2512" i="2"/>
  <c r="Q2511" i="2"/>
  <c r="Q2510" i="2"/>
  <c r="Q2509" i="2"/>
  <c r="Q2508" i="2"/>
  <c r="Q2507" i="2"/>
  <c r="Q2506" i="2"/>
  <c r="Q2505" i="2"/>
  <c r="Q2504" i="2"/>
  <c r="Q2503" i="2"/>
  <c r="Q2502" i="2"/>
  <c r="Q2501" i="2"/>
  <c r="Q2500" i="2"/>
  <c r="Q2499" i="2"/>
  <c r="Q2498" i="2"/>
  <c r="Q2497" i="2"/>
  <c r="Q2496" i="2"/>
  <c r="Q2495" i="2"/>
  <c r="Q2494" i="2"/>
  <c r="Q2493" i="2"/>
  <c r="Q2492" i="2"/>
  <c r="Q2491" i="2"/>
  <c r="Q2490" i="2"/>
  <c r="Q2489" i="2"/>
  <c r="Q2488" i="2"/>
  <c r="Q2487" i="2"/>
  <c r="Q2486" i="2"/>
  <c r="Q2485" i="2"/>
  <c r="Q2484" i="2"/>
  <c r="Q2483" i="2"/>
  <c r="Q2482" i="2"/>
  <c r="Q2481" i="2"/>
  <c r="Q2480" i="2"/>
  <c r="Q2479" i="2"/>
  <c r="Q2478" i="2"/>
  <c r="Q2477" i="2"/>
  <c r="Q2476" i="2"/>
  <c r="Q2475" i="2"/>
  <c r="Q2474" i="2"/>
  <c r="Q2473" i="2"/>
  <c r="Q2472" i="2"/>
  <c r="Q2471" i="2"/>
  <c r="Q2470" i="2"/>
  <c r="Q2469" i="2"/>
  <c r="Q2468" i="2"/>
  <c r="Q2467" i="2"/>
  <c r="Q2466" i="2"/>
  <c r="Q2465" i="2"/>
  <c r="Q2464" i="2"/>
  <c r="Q2463" i="2"/>
  <c r="Q2462" i="2"/>
  <c r="Q2461" i="2"/>
  <c r="Q2460" i="2"/>
  <c r="Q2459" i="2"/>
  <c r="Q2458" i="2"/>
  <c r="Q2457" i="2"/>
  <c r="Q2456" i="2"/>
  <c r="Q2455" i="2"/>
  <c r="Q2454" i="2"/>
  <c r="Q2453" i="2"/>
  <c r="Q2452" i="2"/>
  <c r="Q2451" i="2"/>
  <c r="Q2450" i="2"/>
  <c r="Q2449" i="2"/>
  <c r="Q2448" i="2"/>
  <c r="Q2447" i="2"/>
  <c r="Q2446" i="2"/>
  <c r="Q2445" i="2"/>
  <c r="Q2444" i="2"/>
  <c r="Q2443" i="2"/>
  <c r="Q2442" i="2"/>
  <c r="Q2441" i="2"/>
  <c r="Q2440" i="2"/>
  <c r="Q2439" i="2"/>
  <c r="Q2438" i="2"/>
  <c r="Q2437" i="2"/>
  <c r="Q2436" i="2"/>
  <c r="Q2435" i="2"/>
  <c r="Q2434" i="2"/>
  <c r="Q2433" i="2"/>
  <c r="Q2432" i="2"/>
  <c r="Q2431" i="2"/>
  <c r="Q2430" i="2"/>
  <c r="Q2429" i="2"/>
  <c r="Q2428" i="2"/>
  <c r="Q2427" i="2"/>
  <c r="Q2426" i="2"/>
  <c r="Q2425" i="2"/>
  <c r="Q2424" i="2"/>
  <c r="Q2423" i="2"/>
  <c r="Q2422" i="2"/>
  <c r="Q2421" i="2"/>
  <c r="Q2420" i="2"/>
  <c r="Q2419" i="2"/>
  <c r="Q2418" i="2"/>
  <c r="Q2417" i="2"/>
  <c r="Q2416" i="2"/>
  <c r="Q2415" i="2"/>
  <c r="Q2414" i="2"/>
  <c r="Q2413" i="2"/>
  <c r="Q2412" i="2"/>
  <c r="Q2411" i="2"/>
  <c r="Q2410" i="2"/>
  <c r="Q2409" i="2"/>
  <c r="Q2408" i="2"/>
  <c r="Q2407" i="2"/>
  <c r="Q2406" i="2"/>
  <c r="Q2405" i="2"/>
  <c r="Q2404" i="2"/>
  <c r="Q2403" i="2"/>
  <c r="Q2402" i="2"/>
  <c r="Q2401" i="2"/>
  <c r="Q2400" i="2"/>
  <c r="Q2399" i="2"/>
  <c r="Q2398" i="2"/>
  <c r="Q2397" i="2"/>
  <c r="Q2396" i="2"/>
  <c r="Q2395" i="2"/>
  <c r="Q2394" i="2"/>
  <c r="Q2393" i="2"/>
  <c r="Q2392" i="2"/>
  <c r="Q2391" i="2"/>
  <c r="Q2390" i="2"/>
  <c r="Q2389" i="2"/>
  <c r="Q2388" i="2"/>
  <c r="Q2387" i="2"/>
  <c r="Q2386" i="2"/>
  <c r="Q2385" i="2"/>
  <c r="Q2384" i="2"/>
  <c r="Q2383" i="2"/>
  <c r="Q2382" i="2"/>
  <c r="Q2381" i="2"/>
  <c r="Q2380" i="2"/>
  <c r="Q2379" i="2"/>
  <c r="Q2378" i="2"/>
  <c r="Q2377" i="2"/>
  <c r="Q2376" i="2"/>
  <c r="Q2375" i="2"/>
  <c r="Q2374" i="2"/>
  <c r="Q2373" i="2"/>
  <c r="Q2372" i="2"/>
  <c r="Q2371" i="2"/>
  <c r="Q2370" i="2"/>
  <c r="Q2369" i="2"/>
  <c r="Q2368" i="2"/>
  <c r="Q2367" i="2"/>
  <c r="Q2366" i="2"/>
  <c r="Q2365" i="2"/>
  <c r="Q2364" i="2"/>
  <c r="Q2363" i="2"/>
  <c r="Q2362" i="2"/>
  <c r="Q2361" i="2"/>
  <c r="Q2360" i="2"/>
  <c r="Q2359" i="2"/>
  <c r="Q2358" i="2"/>
  <c r="Q2357" i="2"/>
  <c r="Q2356" i="2"/>
  <c r="Q2355" i="2"/>
  <c r="Q2354" i="2"/>
  <c r="Q2353" i="2"/>
  <c r="Q2352" i="2"/>
  <c r="Q2351" i="2"/>
  <c r="Q2350" i="2"/>
  <c r="Q2349" i="2"/>
  <c r="Q2348" i="2"/>
  <c r="Q2347" i="2"/>
  <c r="Q2346" i="2"/>
  <c r="Q2345" i="2"/>
  <c r="Q2344" i="2"/>
  <c r="Q2343" i="2"/>
  <c r="Q2342" i="2"/>
  <c r="Q2341" i="2"/>
  <c r="Q2340" i="2"/>
  <c r="Q2339" i="2"/>
  <c r="Q2338" i="2"/>
  <c r="Q2337" i="2"/>
  <c r="Q2336" i="2"/>
  <c r="Q2335" i="2"/>
  <c r="Q2334" i="2"/>
  <c r="Q2333" i="2"/>
  <c r="Q2332" i="2"/>
  <c r="Q2331" i="2"/>
  <c r="Q2330" i="2"/>
  <c r="Q2329" i="2"/>
  <c r="Q2328" i="2"/>
  <c r="Q2327" i="2"/>
  <c r="Q2326" i="2"/>
  <c r="Q2325" i="2"/>
  <c r="Q2324" i="2"/>
  <c r="Q2323" i="2"/>
  <c r="Q2322" i="2"/>
  <c r="Q2321" i="2"/>
  <c r="Q2320" i="2"/>
  <c r="Q2319" i="2"/>
  <c r="Q2318" i="2"/>
  <c r="Q2317" i="2"/>
  <c r="Q2316" i="2"/>
  <c r="Q2315" i="2"/>
  <c r="Q2314" i="2"/>
  <c r="Q2313" i="2"/>
  <c r="Q2312" i="2"/>
  <c r="Q2311" i="2"/>
  <c r="Q2310" i="2"/>
  <c r="Q2309" i="2"/>
  <c r="Q2308" i="2"/>
  <c r="Q2307" i="2"/>
  <c r="Q2306" i="2"/>
  <c r="Q2305" i="2"/>
  <c r="Q2304" i="2"/>
  <c r="Q2303" i="2"/>
  <c r="Q2302" i="2"/>
  <c r="Q2301" i="2"/>
  <c r="Q2300" i="2"/>
  <c r="Q2299" i="2"/>
  <c r="Q2298" i="2"/>
  <c r="Q2297" i="2"/>
  <c r="Q2296" i="2"/>
  <c r="Q2295" i="2"/>
  <c r="Q2294" i="2"/>
  <c r="Q2293" i="2"/>
  <c r="Q2292" i="2"/>
  <c r="Q2291" i="2"/>
  <c r="Q2290" i="2"/>
  <c r="Q2289" i="2"/>
  <c r="Q2288" i="2"/>
  <c r="Q2287" i="2"/>
  <c r="Q2286" i="2"/>
  <c r="Q2285" i="2"/>
  <c r="Q2284" i="2"/>
  <c r="Q2283" i="2"/>
  <c r="Q2282" i="2"/>
  <c r="Q2281" i="2"/>
  <c r="Q2280" i="2"/>
  <c r="Q2279" i="2"/>
  <c r="Q2278" i="2"/>
  <c r="Q2277" i="2"/>
  <c r="Q2276" i="2"/>
  <c r="Q2275" i="2"/>
  <c r="Q2274" i="2"/>
  <c r="Q2273" i="2"/>
  <c r="Q2272" i="2"/>
  <c r="Q2271" i="2"/>
  <c r="Q2270" i="2"/>
  <c r="Q2269" i="2"/>
  <c r="Q2268" i="2"/>
  <c r="Q2267" i="2"/>
  <c r="Q2266" i="2"/>
  <c r="Q2265" i="2"/>
  <c r="Q2264" i="2"/>
  <c r="Q2263" i="2"/>
  <c r="Q2262" i="2"/>
  <c r="Q2261" i="2"/>
  <c r="Q2260" i="2"/>
  <c r="Q2259" i="2"/>
  <c r="Q2258" i="2"/>
  <c r="Q2257" i="2"/>
  <c r="Q2256" i="2"/>
  <c r="Q2255" i="2"/>
  <c r="Q2254" i="2"/>
  <c r="Q2253" i="2"/>
  <c r="Q2252" i="2"/>
  <c r="Q2251" i="2"/>
  <c r="Q2250" i="2"/>
  <c r="Q2249" i="2"/>
  <c r="Q2248" i="2"/>
  <c r="Q2247" i="2"/>
  <c r="Q2246" i="2"/>
  <c r="Q2245" i="2"/>
  <c r="Q2244" i="2"/>
  <c r="Q2243" i="2"/>
  <c r="Q2242" i="2"/>
  <c r="Q2241" i="2"/>
  <c r="Q2240" i="2"/>
  <c r="Q2239" i="2"/>
  <c r="Q2238" i="2"/>
  <c r="Q2237" i="2"/>
  <c r="Q2236" i="2"/>
  <c r="Q2235" i="2"/>
  <c r="Q2234" i="2"/>
  <c r="Q2233" i="2"/>
  <c r="Q2232" i="2"/>
  <c r="Q2231" i="2"/>
  <c r="Q2230" i="2"/>
  <c r="Q2229" i="2"/>
  <c r="Q2228" i="2"/>
  <c r="Q2227" i="2"/>
  <c r="Q2226" i="2"/>
  <c r="Q2225" i="2"/>
  <c r="Q2224" i="2"/>
  <c r="Q2223" i="2"/>
  <c r="Q2222" i="2"/>
  <c r="Q2221" i="2"/>
  <c r="Q2220" i="2"/>
  <c r="Q2219" i="2"/>
  <c r="Q2218" i="2"/>
  <c r="Q2217" i="2"/>
  <c r="Q2216" i="2"/>
  <c r="Q2215" i="2"/>
  <c r="Q2214" i="2"/>
  <c r="Q2213" i="2"/>
  <c r="Q2212" i="2"/>
  <c r="Q2211" i="2"/>
  <c r="Q2210" i="2"/>
  <c r="Q2209" i="2"/>
  <c r="Q2208" i="2"/>
  <c r="Q2207" i="2"/>
  <c r="Q2206" i="2"/>
  <c r="Q2205" i="2"/>
  <c r="Q2204" i="2"/>
  <c r="Q2203" i="2"/>
  <c r="Q2202" i="2"/>
  <c r="Q2201" i="2"/>
  <c r="Q2200" i="2"/>
  <c r="Q2199" i="2"/>
  <c r="Q2198" i="2"/>
  <c r="Q2197" i="2"/>
  <c r="Q2196" i="2"/>
  <c r="Q2195" i="2"/>
  <c r="Q2194" i="2"/>
  <c r="Q2193" i="2"/>
  <c r="Q2192" i="2"/>
  <c r="Q2191" i="2"/>
  <c r="Q2190" i="2"/>
  <c r="Q2189" i="2"/>
  <c r="Q2188" i="2"/>
  <c r="Q2187" i="2"/>
  <c r="Q2186" i="2"/>
  <c r="Q2185" i="2"/>
  <c r="Q2184" i="2"/>
  <c r="Q2183" i="2"/>
  <c r="Q2182" i="2"/>
  <c r="Q2181" i="2"/>
  <c r="Q2180" i="2"/>
  <c r="Q2179" i="2"/>
  <c r="Q2178" i="2"/>
  <c r="Q2177" i="2"/>
  <c r="Q2176" i="2"/>
  <c r="Q2175" i="2"/>
  <c r="Q2174" i="2"/>
  <c r="Q2173" i="2"/>
  <c r="Q2172" i="2"/>
  <c r="Q2171" i="2"/>
  <c r="Q2170" i="2"/>
  <c r="Q2169" i="2"/>
  <c r="Q2168" i="2"/>
  <c r="Q2167" i="2"/>
  <c r="Q2166" i="2"/>
  <c r="Q2165" i="2"/>
  <c r="Q2164" i="2"/>
  <c r="Q2163" i="2"/>
  <c r="Q2162" i="2"/>
  <c r="Q2161" i="2"/>
  <c r="Q2160" i="2"/>
  <c r="Q2159" i="2"/>
  <c r="Q2158" i="2"/>
  <c r="Q2157" i="2"/>
  <c r="Q2156" i="2"/>
  <c r="Q2155" i="2"/>
  <c r="Q2154" i="2"/>
  <c r="Q2153" i="2"/>
  <c r="Q2152" i="2"/>
  <c r="Q2151" i="2"/>
  <c r="Q2150" i="2"/>
  <c r="Q2149" i="2"/>
  <c r="Q2148" i="2"/>
  <c r="Q2147" i="2"/>
  <c r="Q2146" i="2"/>
  <c r="Q2145" i="2"/>
  <c r="Q2144" i="2"/>
  <c r="Q2143" i="2"/>
  <c r="Q2142" i="2"/>
  <c r="Q2141" i="2"/>
  <c r="Q2140" i="2"/>
  <c r="Q2139" i="2"/>
  <c r="Q2138" i="2"/>
  <c r="Q2137" i="2"/>
  <c r="Q2136" i="2"/>
  <c r="Q2135" i="2"/>
  <c r="Q2134" i="2"/>
  <c r="Q2133" i="2"/>
  <c r="Q2132" i="2"/>
  <c r="Q2131" i="2"/>
  <c r="Q2130" i="2"/>
  <c r="Q2129" i="2"/>
  <c r="Q2128" i="2"/>
  <c r="Q2127" i="2"/>
  <c r="Q2126" i="2"/>
  <c r="Q2125" i="2"/>
  <c r="Q2124" i="2"/>
  <c r="Q2123" i="2"/>
  <c r="Q2122" i="2"/>
  <c r="Q2121" i="2"/>
  <c r="Q2120" i="2"/>
  <c r="Q2119" i="2"/>
  <c r="Q2118" i="2"/>
  <c r="Q2117" i="2"/>
  <c r="Q2116" i="2"/>
  <c r="Q2115" i="2"/>
  <c r="Q2114" i="2"/>
  <c r="Q2113" i="2"/>
  <c r="Q2112" i="2"/>
  <c r="Q2111" i="2"/>
  <c r="Q2110" i="2"/>
  <c r="Q2109" i="2"/>
  <c r="Q2108" i="2"/>
  <c r="Q2107" i="2"/>
  <c r="Q2106" i="2"/>
  <c r="Q2105" i="2"/>
  <c r="Q2104" i="2"/>
  <c r="Q2103" i="2"/>
  <c r="Q2102" i="2"/>
  <c r="Q2101" i="2"/>
  <c r="Q2100" i="2"/>
  <c r="Q2099" i="2"/>
  <c r="Q2098" i="2"/>
  <c r="Q2097" i="2"/>
  <c r="Q2096" i="2"/>
  <c r="Q2095" i="2"/>
  <c r="Q2094" i="2"/>
  <c r="Q2093" i="2"/>
  <c r="Q2092" i="2"/>
  <c r="Q2091" i="2"/>
  <c r="Q2090" i="2"/>
  <c r="Q2089" i="2"/>
  <c r="Q2088" i="2"/>
  <c r="Q2087" i="2"/>
  <c r="Q2086" i="2"/>
  <c r="Q2085" i="2"/>
  <c r="Q2084" i="2"/>
  <c r="Q2083" i="2"/>
  <c r="Q2082" i="2"/>
  <c r="Q2081" i="2"/>
  <c r="Q2080" i="2"/>
  <c r="Q2079" i="2"/>
  <c r="Q2078" i="2"/>
  <c r="Q2077" i="2"/>
  <c r="Q2076" i="2"/>
  <c r="Q2075" i="2"/>
  <c r="Q2074" i="2"/>
  <c r="Q2073" i="2"/>
  <c r="Q2072" i="2"/>
  <c r="Q2071" i="2"/>
  <c r="Q2070" i="2"/>
  <c r="Q2069" i="2"/>
  <c r="Q2068" i="2"/>
  <c r="Q2067" i="2"/>
  <c r="Q2066" i="2"/>
  <c r="Q2065" i="2"/>
  <c r="Q2064" i="2"/>
  <c r="Q2063" i="2"/>
  <c r="Q2062" i="2"/>
  <c r="Q2061" i="2"/>
  <c r="Q2060" i="2"/>
  <c r="Q2059" i="2"/>
  <c r="Q2058" i="2"/>
  <c r="Q2057" i="2"/>
  <c r="Q2056" i="2"/>
  <c r="Q2055" i="2"/>
  <c r="Q2054" i="2"/>
  <c r="Q2053" i="2"/>
  <c r="Q2052" i="2"/>
  <c r="Q2051" i="2"/>
  <c r="Q2050" i="2"/>
  <c r="Q2049" i="2"/>
  <c r="Q2048" i="2"/>
  <c r="Q2047" i="2"/>
  <c r="Q2046" i="2"/>
  <c r="Q2045" i="2"/>
  <c r="Q2044" i="2"/>
  <c r="Q2043" i="2"/>
  <c r="Q2042" i="2"/>
  <c r="Q2041" i="2"/>
  <c r="Q2040" i="2"/>
  <c r="Q2039" i="2"/>
  <c r="Q2038" i="2"/>
  <c r="Q2037" i="2"/>
  <c r="Q2036" i="2"/>
  <c r="Q2035" i="2"/>
  <c r="Q2034" i="2"/>
  <c r="Q2033" i="2"/>
  <c r="Q2032" i="2"/>
  <c r="Q2031" i="2"/>
  <c r="Q2030" i="2"/>
  <c r="Q2029" i="2"/>
  <c r="Q2028" i="2"/>
  <c r="Q2027" i="2"/>
  <c r="Q2026" i="2"/>
  <c r="Q2025" i="2"/>
  <c r="Q2024" i="2"/>
  <c r="Q2023" i="2"/>
  <c r="Q2022" i="2"/>
  <c r="Q2021" i="2"/>
  <c r="Q2020" i="2"/>
  <c r="Q2019" i="2"/>
  <c r="Q2018" i="2"/>
  <c r="Q2017" i="2"/>
  <c r="Q2016" i="2"/>
  <c r="Q2015" i="2"/>
  <c r="Q2014" i="2"/>
  <c r="Q2013" i="2"/>
  <c r="Q2012" i="2"/>
  <c r="Q2011" i="2"/>
  <c r="Q2010" i="2"/>
  <c r="Q2009" i="2"/>
  <c r="Q2008" i="2"/>
  <c r="Q2007" i="2"/>
  <c r="Q2006" i="2"/>
  <c r="Q2005" i="2"/>
  <c r="Q2004" i="2"/>
  <c r="Q2003" i="2"/>
  <c r="Q2002" i="2"/>
  <c r="Q2001" i="2"/>
  <c r="Q2000" i="2"/>
  <c r="Q1999" i="2"/>
  <c r="Q1998" i="2"/>
  <c r="Q1997" i="2"/>
  <c r="Q1996" i="2"/>
  <c r="Q1995" i="2"/>
  <c r="Q1994" i="2"/>
  <c r="Q1993" i="2"/>
  <c r="Q1992" i="2"/>
  <c r="Q1991" i="2"/>
  <c r="Q1990" i="2"/>
  <c r="Q1989" i="2"/>
  <c r="Q1988" i="2"/>
  <c r="Q1987" i="2"/>
  <c r="Q1986" i="2"/>
  <c r="Q1985" i="2"/>
  <c r="Q1984" i="2"/>
  <c r="Q1983" i="2"/>
  <c r="Q1982" i="2"/>
  <c r="Q1981" i="2"/>
  <c r="Q1980" i="2"/>
  <c r="Q1979" i="2"/>
  <c r="Q1978" i="2"/>
  <c r="Q1977" i="2"/>
  <c r="Q1976" i="2"/>
  <c r="Q1975" i="2"/>
  <c r="Q1974" i="2"/>
  <c r="Q1973" i="2"/>
  <c r="Q1972" i="2"/>
  <c r="Q1971" i="2"/>
  <c r="Q1970" i="2"/>
  <c r="Q1969" i="2"/>
  <c r="Q1968" i="2"/>
  <c r="Q1967" i="2"/>
  <c r="Q1966" i="2"/>
  <c r="Q1965" i="2"/>
  <c r="Q1964" i="2"/>
  <c r="Q1963" i="2"/>
  <c r="Q1962" i="2"/>
  <c r="Q1961" i="2"/>
  <c r="Q1960" i="2"/>
  <c r="Q1959" i="2"/>
  <c r="Q1958" i="2"/>
  <c r="Q1957" i="2"/>
  <c r="Q1956" i="2"/>
  <c r="Q1955" i="2"/>
  <c r="Q1954" i="2"/>
  <c r="Q1953" i="2"/>
  <c r="Q1952" i="2"/>
  <c r="Q1951" i="2"/>
  <c r="Q1950" i="2"/>
  <c r="Q1949" i="2"/>
  <c r="Q1948" i="2"/>
  <c r="Q1947" i="2"/>
  <c r="Q1946" i="2"/>
  <c r="Q1945" i="2"/>
  <c r="Q1944" i="2"/>
  <c r="Q1943" i="2"/>
  <c r="Q1942" i="2"/>
  <c r="Q1941" i="2"/>
  <c r="Q1940" i="2"/>
  <c r="Q1939" i="2"/>
  <c r="Q1938" i="2"/>
  <c r="Q1937" i="2"/>
  <c r="Q1936" i="2"/>
  <c r="Q1935" i="2"/>
  <c r="Q1934" i="2"/>
  <c r="Q1933" i="2"/>
  <c r="Q1932" i="2"/>
  <c r="Q1931" i="2"/>
  <c r="Q1930" i="2"/>
  <c r="Q1929" i="2"/>
  <c r="Q1928" i="2"/>
  <c r="Q1927" i="2"/>
  <c r="Q1926" i="2"/>
  <c r="Q1925" i="2"/>
  <c r="Q1924" i="2"/>
  <c r="Q1923" i="2"/>
  <c r="Q1922" i="2"/>
  <c r="Q1921" i="2"/>
  <c r="Q1920" i="2"/>
  <c r="Q1919" i="2"/>
  <c r="Q1918" i="2"/>
  <c r="Q1917" i="2"/>
  <c r="Q1916" i="2"/>
  <c r="Q1915" i="2"/>
  <c r="Q1914" i="2"/>
  <c r="Q1913" i="2"/>
  <c r="Q1912" i="2"/>
  <c r="Q1911" i="2"/>
  <c r="Q1910" i="2"/>
  <c r="Q1909" i="2"/>
  <c r="Q1908" i="2"/>
  <c r="Q1907" i="2"/>
  <c r="Q1906" i="2"/>
  <c r="Q1905" i="2"/>
  <c r="Q1904" i="2"/>
  <c r="Q1903" i="2"/>
  <c r="Q1902" i="2"/>
  <c r="Q1901" i="2"/>
  <c r="Q1900" i="2"/>
  <c r="Q1899" i="2"/>
  <c r="Q1898" i="2"/>
  <c r="Q1897" i="2"/>
  <c r="Q1896" i="2"/>
  <c r="Q1895" i="2"/>
  <c r="Q1894" i="2"/>
  <c r="Q1893" i="2"/>
  <c r="Q1892" i="2"/>
  <c r="Q1891" i="2"/>
  <c r="Q1890" i="2"/>
  <c r="Q1889" i="2"/>
  <c r="Q1888" i="2"/>
  <c r="Q1887" i="2"/>
  <c r="Q1886" i="2"/>
  <c r="Q1885" i="2"/>
  <c r="Q1884" i="2"/>
  <c r="Q1883" i="2"/>
  <c r="Q1882" i="2"/>
  <c r="Q1881" i="2"/>
  <c r="Q1880" i="2"/>
  <c r="Q1879" i="2"/>
  <c r="Q1878" i="2"/>
  <c r="Q1877" i="2"/>
  <c r="Q1876" i="2"/>
  <c r="Q1875" i="2"/>
  <c r="Q1874" i="2"/>
  <c r="Q1873" i="2"/>
  <c r="Q1872" i="2"/>
  <c r="Q1871" i="2"/>
  <c r="Q1870" i="2"/>
  <c r="Q1869" i="2"/>
  <c r="Q1868" i="2"/>
  <c r="Q1867" i="2"/>
  <c r="Q1866" i="2"/>
  <c r="Q1865" i="2"/>
  <c r="Q1864" i="2"/>
  <c r="Q1863" i="2"/>
  <c r="Q1862" i="2"/>
  <c r="Q1861" i="2"/>
  <c r="Q1860" i="2"/>
  <c r="Q1859" i="2"/>
  <c r="Q1858" i="2"/>
  <c r="Q1857" i="2"/>
  <c r="Q1856" i="2"/>
  <c r="Q1855" i="2"/>
  <c r="Q1854" i="2"/>
  <c r="Q1853" i="2"/>
  <c r="Q1852" i="2"/>
  <c r="Q1851" i="2"/>
  <c r="Q1850" i="2"/>
  <c r="Q1849" i="2"/>
  <c r="Q1848" i="2"/>
  <c r="Q1847" i="2"/>
  <c r="Q1846" i="2"/>
  <c r="Q1845" i="2"/>
  <c r="Q1844" i="2"/>
  <c r="Q1843" i="2"/>
  <c r="Q1842" i="2"/>
  <c r="Q1841" i="2"/>
  <c r="Q1840" i="2"/>
  <c r="Q1839" i="2"/>
  <c r="Q1838" i="2"/>
  <c r="Q1837" i="2"/>
  <c r="Q1836" i="2"/>
  <c r="Q1835" i="2"/>
  <c r="Q1834" i="2"/>
  <c r="Q1833" i="2"/>
  <c r="Q1832" i="2"/>
  <c r="Q1831" i="2"/>
  <c r="Q1830" i="2"/>
  <c r="Q1829" i="2"/>
  <c r="Q1828" i="2"/>
  <c r="Q1827" i="2"/>
  <c r="Q1826" i="2"/>
  <c r="Q1825" i="2"/>
  <c r="Q1824" i="2"/>
  <c r="Q1823" i="2"/>
  <c r="Q1822" i="2"/>
  <c r="Q1821" i="2"/>
  <c r="Q1820" i="2"/>
  <c r="Q1819" i="2"/>
  <c r="Q1818" i="2"/>
  <c r="Q1817" i="2"/>
  <c r="Q1816" i="2"/>
  <c r="Q1815" i="2"/>
  <c r="Q1814" i="2"/>
  <c r="Q1813" i="2"/>
  <c r="Q1812" i="2"/>
  <c r="Q1811" i="2"/>
  <c r="Q1810" i="2"/>
  <c r="Q1809" i="2"/>
  <c r="Q1808" i="2"/>
  <c r="Q1807" i="2"/>
  <c r="Q1806" i="2"/>
  <c r="Q1805" i="2"/>
  <c r="Q1804" i="2"/>
  <c r="Q1803" i="2"/>
  <c r="Q1802" i="2"/>
  <c r="Q1801" i="2"/>
  <c r="Q1800" i="2"/>
  <c r="Q1799" i="2"/>
  <c r="Q1798" i="2"/>
  <c r="Q1797" i="2"/>
  <c r="Q1796" i="2"/>
  <c r="Q1795" i="2"/>
  <c r="Q1794" i="2"/>
  <c r="Q1793" i="2"/>
  <c r="Q1792" i="2"/>
  <c r="Q1791" i="2"/>
  <c r="Q1790" i="2"/>
  <c r="Q1789" i="2"/>
  <c r="Q1788" i="2"/>
  <c r="Q1787" i="2"/>
  <c r="Q1786" i="2"/>
  <c r="Q1785" i="2"/>
  <c r="Q1784" i="2"/>
  <c r="Q1783" i="2"/>
  <c r="Q1782" i="2"/>
  <c r="Q1781" i="2"/>
  <c r="Q1780" i="2"/>
  <c r="Q1779" i="2"/>
  <c r="Q1778" i="2"/>
  <c r="Q1777" i="2"/>
  <c r="Q1776" i="2"/>
  <c r="Q1775" i="2"/>
  <c r="Q1774" i="2"/>
  <c r="Q1773" i="2"/>
  <c r="Q1772" i="2"/>
  <c r="Q1771" i="2"/>
  <c r="Q1770" i="2"/>
  <c r="Q1769" i="2"/>
  <c r="Q1768" i="2"/>
  <c r="Q1767" i="2"/>
  <c r="Q1766" i="2"/>
  <c r="Q1765" i="2"/>
  <c r="Q1764" i="2"/>
  <c r="Q1763" i="2"/>
  <c r="Q1762" i="2"/>
  <c r="Q1761" i="2"/>
  <c r="Q1760" i="2"/>
  <c r="Q1759" i="2"/>
  <c r="Q1758" i="2"/>
  <c r="Q1757" i="2"/>
  <c r="Q1756" i="2"/>
  <c r="Q1755" i="2"/>
  <c r="Q1754" i="2"/>
  <c r="Q1753" i="2"/>
  <c r="Q1752" i="2"/>
  <c r="Q1751" i="2"/>
  <c r="Q1750" i="2"/>
  <c r="Q1749" i="2"/>
  <c r="Q1748" i="2"/>
  <c r="Q1747" i="2"/>
  <c r="Q1746" i="2"/>
  <c r="Q1745" i="2"/>
  <c r="Q1744" i="2"/>
  <c r="Q1743" i="2"/>
  <c r="Q1742" i="2"/>
  <c r="Q1741" i="2"/>
  <c r="Q1740" i="2"/>
  <c r="Q1739" i="2"/>
  <c r="Q1738" i="2"/>
  <c r="Q1737" i="2"/>
  <c r="Q1736" i="2"/>
  <c r="Q1735" i="2"/>
  <c r="Q1734" i="2"/>
  <c r="Q1733" i="2"/>
  <c r="Q1732" i="2"/>
  <c r="Q1731" i="2"/>
  <c r="Q1730" i="2"/>
  <c r="Q1729" i="2"/>
  <c r="Q1728" i="2"/>
  <c r="Q1727" i="2"/>
  <c r="Q1726" i="2"/>
  <c r="Q1725" i="2"/>
  <c r="Q1724" i="2"/>
  <c r="Q1723" i="2"/>
  <c r="Q1722" i="2"/>
  <c r="Q1721" i="2"/>
  <c r="Q1720" i="2"/>
  <c r="Q1719" i="2"/>
  <c r="Q1718" i="2"/>
  <c r="Q1717" i="2"/>
  <c r="Q1716" i="2"/>
  <c r="Q1715" i="2"/>
  <c r="Q1714" i="2"/>
  <c r="Q1713" i="2"/>
  <c r="Q1712" i="2"/>
  <c r="Q1711" i="2"/>
  <c r="Q1710" i="2"/>
  <c r="Q1709" i="2"/>
  <c r="Q1708" i="2"/>
  <c r="Q1707" i="2"/>
  <c r="Q1706" i="2"/>
  <c r="Q1705" i="2"/>
  <c r="Q1704" i="2"/>
  <c r="Q1703" i="2"/>
  <c r="Q1702" i="2"/>
  <c r="Q1701" i="2"/>
  <c r="Q1700" i="2"/>
  <c r="Q1699" i="2"/>
  <c r="Q1698" i="2"/>
  <c r="Q1697" i="2"/>
  <c r="Q1696" i="2"/>
  <c r="Q1695" i="2"/>
  <c r="Q1694" i="2"/>
  <c r="Q1693" i="2"/>
  <c r="Q1692" i="2"/>
  <c r="Q1691" i="2"/>
  <c r="Q1690" i="2"/>
  <c r="Q1689" i="2"/>
  <c r="Q1688" i="2"/>
  <c r="Q1687" i="2"/>
  <c r="Q1686" i="2"/>
  <c r="Q1685" i="2"/>
  <c r="Q1684" i="2"/>
  <c r="Q1683" i="2"/>
  <c r="Q1682" i="2"/>
  <c r="Q1681" i="2"/>
  <c r="Q1680" i="2"/>
  <c r="Q1679" i="2"/>
  <c r="Q1678" i="2"/>
  <c r="Q1677" i="2"/>
  <c r="Q1676" i="2"/>
  <c r="Q1675" i="2"/>
  <c r="Q1674" i="2"/>
  <c r="Q1673" i="2"/>
  <c r="Q1672" i="2"/>
  <c r="Q1671" i="2"/>
  <c r="Q1670" i="2"/>
  <c r="Q1669" i="2"/>
  <c r="Q1668" i="2"/>
  <c r="Q1667" i="2"/>
  <c r="Q1666" i="2"/>
  <c r="Q1665" i="2"/>
  <c r="Q1664" i="2"/>
  <c r="Q1663" i="2"/>
  <c r="Q1662" i="2"/>
  <c r="Q1661" i="2"/>
  <c r="Q1660" i="2"/>
  <c r="Q1659" i="2"/>
  <c r="Q1658" i="2"/>
  <c r="Q1657" i="2"/>
  <c r="Q1656" i="2"/>
  <c r="Q1655" i="2"/>
  <c r="Q1654" i="2"/>
  <c r="Q1653" i="2"/>
  <c r="Q1652" i="2"/>
  <c r="Q1651" i="2"/>
  <c r="Q1650" i="2"/>
  <c r="Q1649" i="2"/>
  <c r="Q1648" i="2"/>
  <c r="Q1647" i="2"/>
  <c r="Q1646" i="2"/>
  <c r="Q1645" i="2"/>
  <c r="Q1644" i="2"/>
  <c r="Q1643" i="2"/>
  <c r="Q1642" i="2"/>
  <c r="Q1641" i="2"/>
  <c r="Q1640" i="2"/>
  <c r="Q1639" i="2"/>
  <c r="Q1638" i="2"/>
  <c r="Q1637" i="2"/>
  <c r="Q1636" i="2"/>
  <c r="Q1635" i="2"/>
  <c r="Q1634" i="2"/>
  <c r="Q1633" i="2"/>
  <c r="Q1632" i="2"/>
  <c r="Q1631" i="2"/>
  <c r="Q1630" i="2"/>
  <c r="Q1629" i="2"/>
  <c r="Q1628" i="2"/>
  <c r="Q1627" i="2"/>
  <c r="Q1626" i="2"/>
  <c r="Q1625" i="2"/>
  <c r="Q1624" i="2"/>
  <c r="Q1623" i="2"/>
  <c r="Q1622" i="2"/>
  <c r="Q1621" i="2"/>
  <c r="Q1620" i="2"/>
  <c r="Q1619" i="2"/>
  <c r="Q1618" i="2"/>
  <c r="Q1617" i="2"/>
  <c r="Q1616" i="2"/>
  <c r="Q1615" i="2"/>
  <c r="Q1614" i="2"/>
  <c r="Q1613" i="2"/>
  <c r="Q1612" i="2"/>
  <c r="Q1611" i="2"/>
  <c r="Q1610" i="2"/>
  <c r="Q1609" i="2"/>
  <c r="Q1608" i="2"/>
  <c r="Q1607" i="2"/>
  <c r="Q1606" i="2"/>
  <c r="Q1605" i="2"/>
  <c r="Q1604" i="2"/>
  <c r="Q1603" i="2"/>
  <c r="Q1602" i="2"/>
  <c r="Q1601" i="2"/>
  <c r="Q1600" i="2"/>
  <c r="Q1599" i="2"/>
  <c r="Q1598" i="2"/>
  <c r="Q1597" i="2"/>
  <c r="Q1596" i="2"/>
  <c r="Q1595" i="2"/>
  <c r="Q1594" i="2"/>
  <c r="Q1593" i="2"/>
  <c r="Q1592" i="2"/>
  <c r="Q1591" i="2"/>
  <c r="Q1590" i="2"/>
  <c r="Q1589" i="2"/>
  <c r="Q1588" i="2"/>
  <c r="Q1587" i="2"/>
  <c r="Q1586" i="2"/>
  <c r="Q1585" i="2"/>
  <c r="Q1584" i="2"/>
  <c r="Q1583" i="2"/>
  <c r="Q1582" i="2"/>
  <c r="Q1581" i="2"/>
  <c r="Q1580" i="2"/>
  <c r="Q1579" i="2"/>
  <c r="Q1578" i="2"/>
  <c r="Q1577" i="2"/>
  <c r="Q1576" i="2"/>
  <c r="Q1575" i="2"/>
  <c r="Q1574" i="2"/>
  <c r="Q1573" i="2"/>
  <c r="Q1572" i="2"/>
  <c r="Q1571" i="2"/>
  <c r="Q1570" i="2"/>
  <c r="Q1569" i="2"/>
  <c r="Q1568" i="2"/>
  <c r="Q1567" i="2"/>
  <c r="Q1566" i="2"/>
  <c r="Q1565" i="2"/>
  <c r="Q1564" i="2"/>
  <c r="Q1563" i="2"/>
  <c r="Q1562" i="2"/>
  <c r="Q1561" i="2"/>
  <c r="Q1560" i="2"/>
  <c r="Q1559" i="2"/>
  <c r="Q1558" i="2"/>
  <c r="Q1557" i="2"/>
  <c r="Q1556" i="2"/>
  <c r="Q1555" i="2"/>
  <c r="Q1554" i="2"/>
  <c r="Q1553" i="2"/>
  <c r="Q1552" i="2"/>
  <c r="Q1551" i="2"/>
  <c r="Q1550" i="2"/>
  <c r="Q1549" i="2"/>
  <c r="Q1548" i="2"/>
  <c r="Q1547" i="2"/>
  <c r="Q1546" i="2"/>
  <c r="Q1545" i="2"/>
  <c r="Q1544" i="2"/>
  <c r="Q1543" i="2"/>
  <c r="Q1542" i="2"/>
  <c r="Q1541" i="2"/>
  <c r="Q1540" i="2"/>
  <c r="Q1539" i="2"/>
  <c r="Q1538" i="2"/>
  <c r="Q1537" i="2"/>
  <c r="Q1536" i="2"/>
  <c r="Q1535" i="2"/>
  <c r="Q1534" i="2"/>
  <c r="Q1533" i="2"/>
  <c r="Q1532" i="2"/>
  <c r="Q1531" i="2"/>
  <c r="Q1530" i="2"/>
  <c r="Q1529" i="2"/>
  <c r="Q1528" i="2"/>
  <c r="Q1527" i="2"/>
  <c r="Q1526" i="2"/>
  <c r="Q1525" i="2"/>
  <c r="Q1524" i="2"/>
  <c r="Q1523" i="2"/>
  <c r="Q1522" i="2"/>
  <c r="Q1521" i="2"/>
  <c r="Q1520" i="2"/>
  <c r="Q1519" i="2"/>
  <c r="Q1518" i="2"/>
  <c r="Q1517" i="2"/>
  <c r="Q1516" i="2"/>
  <c r="Q1515" i="2"/>
  <c r="Q1514" i="2"/>
  <c r="Q1513" i="2"/>
  <c r="Q1512" i="2"/>
  <c r="Q1511" i="2"/>
  <c r="Q1510" i="2"/>
  <c r="Q1509" i="2"/>
  <c r="Q1508" i="2"/>
  <c r="Q1507" i="2"/>
  <c r="Q1506" i="2"/>
  <c r="Q1505" i="2"/>
  <c r="Q1504" i="2"/>
  <c r="Q1503" i="2"/>
  <c r="Q1502" i="2"/>
  <c r="Q1501" i="2"/>
  <c r="Q1500" i="2"/>
  <c r="Q1499" i="2"/>
  <c r="Q1498" i="2"/>
  <c r="Q1497" i="2"/>
  <c r="Q1496" i="2"/>
  <c r="Q1495" i="2"/>
  <c r="Q1494" i="2"/>
  <c r="Q1493" i="2"/>
  <c r="Q1492" i="2"/>
  <c r="Q1491" i="2"/>
  <c r="Q1490" i="2"/>
  <c r="Q1489" i="2"/>
  <c r="Q1488" i="2"/>
  <c r="Q1487" i="2"/>
  <c r="Q1486" i="2"/>
  <c r="Q1485" i="2"/>
  <c r="Q1484" i="2"/>
  <c r="Q1483" i="2"/>
  <c r="Q1482" i="2"/>
  <c r="Q1481" i="2"/>
  <c r="Q1480" i="2"/>
  <c r="Q1479" i="2"/>
  <c r="Q1478" i="2"/>
  <c r="Q1477" i="2"/>
  <c r="Q1476" i="2"/>
  <c r="Q1475" i="2"/>
  <c r="Q1474" i="2"/>
  <c r="Q1473" i="2"/>
  <c r="Q1472" i="2"/>
  <c r="Q1471" i="2"/>
  <c r="Q1470" i="2"/>
  <c r="Q1469" i="2"/>
  <c r="Q1468" i="2"/>
  <c r="Q1467" i="2"/>
  <c r="Q1466" i="2"/>
  <c r="Q1465" i="2"/>
  <c r="Q1464" i="2"/>
  <c r="Q1463" i="2"/>
  <c r="Q1462" i="2"/>
  <c r="Q1461" i="2"/>
  <c r="Q1460" i="2"/>
  <c r="Q1459" i="2"/>
  <c r="Q1458" i="2"/>
  <c r="Q1457" i="2"/>
  <c r="Q1456" i="2"/>
  <c r="Q1455" i="2"/>
  <c r="Q1454" i="2"/>
  <c r="Q1453" i="2"/>
  <c r="Q1452" i="2"/>
  <c r="Q1451" i="2"/>
  <c r="Q1450" i="2"/>
  <c r="Q1449" i="2"/>
  <c r="Q1448" i="2"/>
  <c r="Q1447" i="2"/>
  <c r="Q1446" i="2"/>
  <c r="Q1445" i="2"/>
  <c r="Q1444" i="2"/>
  <c r="Q1443" i="2"/>
  <c r="Q1442" i="2"/>
  <c r="Q1441" i="2"/>
  <c r="Q1440" i="2"/>
  <c r="Q1439" i="2"/>
  <c r="Q1438" i="2"/>
  <c r="Q1437" i="2"/>
  <c r="Q1436" i="2"/>
  <c r="Q1435" i="2"/>
  <c r="Q1434" i="2"/>
  <c r="Q1433" i="2"/>
  <c r="Q1432" i="2"/>
  <c r="Q1431" i="2"/>
  <c r="Q1430" i="2"/>
  <c r="Q1429" i="2"/>
  <c r="Q1428" i="2"/>
  <c r="Q1427" i="2"/>
  <c r="Q1426" i="2"/>
  <c r="Q1425" i="2"/>
  <c r="Q1424" i="2"/>
  <c r="Q1423" i="2"/>
  <c r="Q1422" i="2"/>
  <c r="Q1421" i="2"/>
  <c r="Q1420" i="2"/>
  <c r="Q1419" i="2"/>
  <c r="Q1418" i="2"/>
  <c r="Q1417" i="2"/>
  <c r="Q1416" i="2"/>
  <c r="Q1415" i="2"/>
  <c r="Q1414" i="2"/>
  <c r="Q1413" i="2"/>
  <c r="Q1412" i="2"/>
  <c r="Q1411" i="2"/>
  <c r="Q1410" i="2"/>
  <c r="Q1409" i="2"/>
  <c r="Q1408" i="2"/>
  <c r="Q1407" i="2"/>
  <c r="Q1406" i="2"/>
  <c r="Q1405" i="2"/>
  <c r="Q1404" i="2"/>
  <c r="Q1403" i="2"/>
  <c r="Q1402" i="2"/>
  <c r="Q1401" i="2"/>
  <c r="Q1400" i="2"/>
  <c r="Q1399" i="2"/>
  <c r="Q1398" i="2"/>
  <c r="Q1397" i="2"/>
  <c r="Q1396" i="2"/>
  <c r="Q1395" i="2"/>
  <c r="Q1394" i="2"/>
  <c r="Q1393" i="2"/>
  <c r="Q1392" i="2"/>
  <c r="Q1391" i="2"/>
  <c r="Q1390" i="2"/>
  <c r="Q1389" i="2"/>
  <c r="Q1388" i="2"/>
  <c r="Q1387" i="2"/>
  <c r="Q1386" i="2"/>
  <c r="Q1385" i="2"/>
  <c r="Q1384" i="2"/>
  <c r="Q1383" i="2"/>
  <c r="Q1382" i="2"/>
  <c r="Q1381" i="2"/>
  <c r="Q1380" i="2"/>
  <c r="Q1379" i="2"/>
  <c r="Q1378" i="2"/>
  <c r="Q1377" i="2"/>
  <c r="Q1376" i="2"/>
  <c r="Q1375" i="2"/>
  <c r="Q1374" i="2"/>
  <c r="Q1373" i="2"/>
  <c r="Q1372" i="2"/>
  <c r="Q1371" i="2"/>
  <c r="Q1370" i="2"/>
  <c r="Q1369" i="2"/>
  <c r="Q1368" i="2"/>
  <c r="Q1367" i="2"/>
  <c r="Q1366" i="2"/>
  <c r="Q1365" i="2"/>
  <c r="Q1364" i="2"/>
  <c r="Q1363" i="2"/>
  <c r="Q1362" i="2"/>
  <c r="Q1361" i="2"/>
  <c r="Q1360" i="2"/>
  <c r="Q1359" i="2"/>
  <c r="Q1358" i="2"/>
  <c r="Q1357" i="2"/>
  <c r="Q1356" i="2"/>
  <c r="Q1355" i="2"/>
  <c r="Q1354" i="2"/>
  <c r="Q1353" i="2"/>
  <c r="Q1352" i="2"/>
  <c r="Q1351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AO2852" i="2" l="1"/>
  <c r="AN2852" i="2"/>
  <c r="AO2851" i="2"/>
  <c r="AN2851" i="2"/>
  <c r="AO2850" i="2"/>
  <c r="AN2850" i="2"/>
  <c r="AO2849" i="2"/>
  <c r="AN2849" i="2"/>
  <c r="AO2848" i="2"/>
  <c r="AN2848" i="2"/>
  <c r="AO2847" i="2"/>
  <c r="AN2847" i="2"/>
  <c r="AO2846" i="2"/>
  <c r="AN2846" i="2"/>
  <c r="AO2845" i="2"/>
  <c r="AN2845" i="2"/>
  <c r="AO2844" i="2"/>
  <c r="AN2844" i="2"/>
  <c r="AO2843" i="2"/>
  <c r="AN2843" i="2"/>
  <c r="AO2842" i="2"/>
  <c r="AN2842" i="2"/>
  <c r="AO2841" i="2"/>
  <c r="AN2841" i="2"/>
  <c r="AO2840" i="2"/>
  <c r="AN2840" i="2"/>
  <c r="AO2839" i="2"/>
  <c r="AN2839" i="2"/>
  <c r="AO2838" i="2"/>
  <c r="AN2838" i="2"/>
  <c r="AO2837" i="2"/>
  <c r="AN2837" i="2"/>
  <c r="AO2836" i="2"/>
  <c r="AN2836" i="2"/>
  <c r="AO2835" i="2"/>
  <c r="AN2835" i="2"/>
  <c r="AO2834" i="2"/>
  <c r="AN2834" i="2"/>
  <c r="AO2833" i="2"/>
  <c r="AN2833" i="2"/>
  <c r="AO2832" i="2"/>
  <c r="AN2832" i="2"/>
  <c r="AO2831" i="2"/>
  <c r="AN2831" i="2"/>
  <c r="AO2830" i="2"/>
  <c r="AN2830" i="2"/>
  <c r="AO2829" i="2"/>
  <c r="AN2829" i="2"/>
  <c r="AO2828" i="2"/>
  <c r="AN2828" i="2"/>
  <c r="AO2827" i="2"/>
  <c r="AN2827" i="2"/>
  <c r="AO2826" i="2"/>
  <c r="AN2826" i="2"/>
  <c r="AO2825" i="2"/>
  <c r="AN2825" i="2"/>
  <c r="AO2824" i="2"/>
  <c r="AN2824" i="2"/>
  <c r="AO2823" i="2"/>
  <c r="AN2823" i="2"/>
  <c r="AO2822" i="2"/>
  <c r="AN2822" i="2"/>
  <c r="AO2821" i="2"/>
  <c r="AN2821" i="2"/>
  <c r="AO2820" i="2"/>
  <c r="AN2820" i="2"/>
  <c r="AO2819" i="2"/>
  <c r="AN2819" i="2"/>
  <c r="AO2818" i="2"/>
  <c r="AN2818" i="2"/>
  <c r="AO2817" i="2"/>
  <c r="AN2817" i="2"/>
  <c r="AO2816" i="2"/>
  <c r="AN2816" i="2"/>
  <c r="AO2815" i="2"/>
  <c r="AN2815" i="2"/>
  <c r="AO2814" i="2"/>
  <c r="AN2814" i="2"/>
  <c r="AO2813" i="2"/>
  <c r="AN2813" i="2"/>
  <c r="AO2812" i="2"/>
  <c r="AN2812" i="2"/>
  <c r="AO2811" i="2"/>
  <c r="AN2811" i="2"/>
  <c r="AO2810" i="2"/>
  <c r="AN2810" i="2"/>
  <c r="AO2809" i="2"/>
  <c r="AN2809" i="2"/>
  <c r="AO2808" i="2"/>
  <c r="AN2808" i="2"/>
  <c r="AO2807" i="2"/>
  <c r="AN2807" i="2"/>
  <c r="AO2806" i="2"/>
  <c r="AN2806" i="2"/>
  <c r="AO2805" i="2"/>
  <c r="AN2805" i="2"/>
  <c r="AO2804" i="2"/>
  <c r="AN2804" i="2"/>
  <c r="AO2803" i="2"/>
  <c r="AN2803" i="2"/>
  <c r="AO2802" i="2"/>
  <c r="AN2802" i="2"/>
  <c r="AO2801" i="2"/>
  <c r="AN2801" i="2"/>
  <c r="AO2800" i="2" l="1"/>
  <c r="AN2800" i="2"/>
  <c r="AO25" i="2"/>
  <c r="AN25" i="2"/>
  <c r="AO23" i="2"/>
  <c r="AN23" i="2"/>
  <c r="AO2799" i="2"/>
  <c r="AN2799" i="2"/>
  <c r="C2881" i="2"/>
  <c r="C2873" i="2" l="1"/>
  <c r="C2893" i="2"/>
  <c r="AO2797" i="2"/>
  <c r="AN2797" i="2"/>
  <c r="AO2796" i="2"/>
  <c r="AN2796" i="2"/>
  <c r="AO6" i="2"/>
  <c r="AN6" i="2"/>
  <c r="AO182" i="2" l="1"/>
  <c r="AN182" i="2"/>
  <c r="AO181" i="2"/>
  <c r="AN181" i="2"/>
  <c r="AO180" i="2"/>
  <c r="AN180" i="2"/>
  <c r="AO179" i="2"/>
  <c r="AN179" i="2"/>
  <c r="AO178" i="2"/>
  <c r="AN178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4" i="2"/>
  <c r="AN24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O15" i="2"/>
  <c r="AN15" i="2"/>
  <c r="C2897" i="2"/>
  <c r="H2905" i="2"/>
  <c r="D2905" i="2"/>
  <c r="C2905" i="2"/>
  <c r="AO14" i="2"/>
  <c r="AN14" i="2"/>
  <c r="AO13" i="2"/>
  <c r="AN13" i="2"/>
  <c r="AO12" i="2"/>
  <c r="AN12" i="2"/>
  <c r="AO11" i="2"/>
  <c r="AN11" i="2"/>
  <c r="AO10" i="2"/>
  <c r="AN10" i="2"/>
  <c r="AO9" i="2"/>
  <c r="AN9" i="2"/>
  <c r="C2862" i="2" l="1"/>
  <c r="C2884" i="2"/>
  <c r="C2883" i="2"/>
  <c r="C2863" i="2"/>
  <c r="H2881" i="2" l="1"/>
  <c r="D2881" i="2"/>
  <c r="C2864" i="2"/>
  <c r="C2889" i="2"/>
  <c r="AO8" i="2"/>
  <c r="AO7" i="2"/>
  <c r="AN8" i="2"/>
  <c r="AN7" i="2"/>
  <c r="C2872" i="2"/>
  <c r="C2867" i="2"/>
  <c r="C2895" i="2"/>
  <c r="C2903" i="2"/>
  <c r="C2899" i="2"/>
  <c r="C2898" i="2"/>
  <c r="C2865" i="2"/>
  <c r="AO2798" i="2" l="1"/>
  <c r="AN2798" i="2"/>
  <c r="AG2798" i="2"/>
  <c r="AF2798" i="2"/>
  <c r="AB2798" i="2"/>
  <c r="AA2798" i="2"/>
  <c r="AO2794" i="2"/>
  <c r="AN2794" i="2"/>
  <c r="AG2794" i="2"/>
  <c r="AF2794" i="2"/>
  <c r="AB2794" i="2"/>
  <c r="AA2794" i="2"/>
  <c r="A2861" i="2"/>
  <c r="A2866" i="2" s="1"/>
  <c r="A2868" i="2" s="1"/>
  <c r="A2869" i="2" s="1"/>
  <c r="A2870" i="2" s="1"/>
  <c r="A2871" i="2" s="1"/>
  <c r="A2874" i="2" s="1"/>
  <c r="A2875" i="2" s="1"/>
  <c r="A2876" i="2" s="1"/>
  <c r="A2877" i="2" s="1"/>
  <c r="A2878" i="2" s="1"/>
  <c r="A2879" i="2" s="1"/>
  <c r="A2880" i="2" s="1"/>
  <c r="A2882" i="2" s="1"/>
  <c r="A2885" i="2" s="1"/>
  <c r="A2886" i="2" s="1"/>
  <c r="A2887" i="2" s="1"/>
  <c r="A2888" i="2" s="1"/>
  <c r="A2890" i="2" s="1"/>
  <c r="A2891" i="2" s="1"/>
  <c r="A2892" i="2" s="1"/>
  <c r="A2894" i="2" s="1"/>
  <c r="A2896" i="2" s="1"/>
  <c r="A2900" i="2" s="1"/>
  <c r="A2901" i="2" s="1"/>
  <c r="A2902" i="2" s="1"/>
  <c r="A2903" i="2" s="1"/>
  <c r="A2904" i="2" s="1"/>
  <c r="A2905" i="2" s="1"/>
  <c r="A2906" i="2" s="1"/>
  <c r="C2877" i="2"/>
  <c r="C2892" i="2"/>
  <c r="C2891" i="2"/>
  <c r="D2904" i="2"/>
  <c r="C2904" i="2"/>
  <c r="C2888" i="2"/>
  <c r="C2860" i="2"/>
  <c r="H2893" i="2" l="1"/>
  <c r="D2893" i="2"/>
  <c r="H2873" i="2"/>
  <c r="D2873" i="2"/>
  <c r="H2897" i="2"/>
  <c r="D2897" i="2"/>
  <c r="H2862" i="2"/>
  <c r="D2862" i="2"/>
  <c r="D2884" i="2"/>
  <c r="H2884" i="2"/>
  <c r="H2863" i="2"/>
  <c r="H2883" i="2"/>
  <c r="D2883" i="2"/>
  <c r="D2863" i="2"/>
  <c r="H2864" i="2"/>
  <c r="D2864" i="2"/>
  <c r="H2889" i="2"/>
  <c r="D2889" i="2"/>
  <c r="H2867" i="2"/>
  <c r="H2872" i="2"/>
  <c r="D2872" i="2"/>
  <c r="D2867" i="2"/>
  <c r="H2895" i="2" l="1"/>
  <c r="D2895" i="2"/>
  <c r="H2899" i="2"/>
  <c r="D2903" i="2" l="1"/>
  <c r="H2903" i="2"/>
  <c r="H2898" i="2"/>
  <c r="D2898" i="2"/>
  <c r="D2899" i="2"/>
  <c r="H2865" i="2"/>
  <c r="D2865" i="2"/>
  <c r="C32" i="18" l="1"/>
  <c r="C33" i="18"/>
  <c r="C35" i="18"/>
  <c r="C34" i="18"/>
  <c r="H2904" i="2"/>
  <c r="M6" i="19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H2888" i="2" l="1"/>
  <c r="D2877" i="2"/>
  <c r="H2877" i="2"/>
  <c r="H2892" i="2"/>
  <c r="D2892" i="2"/>
  <c r="H2891" i="2"/>
  <c r="D2891" i="2"/>
  <c r="D2888" i="2"/>
  <c r="H2860" i="2"/>
  <c r="D2860" i="2"/>
  <c r="C2866" i="2" l="1"/>
  <c r="C2876" i="2" l="1"/>
  <c r="C2874" i="2" l="1"/>
  <c r="C2870" i="2"/>
  <c r="C2861" i="2"/>
  <c r="C2868" i="2"/>
  <c r="C2869" i="2"/>
  <c r="C2901" i="2"/>
  <c r="C2875" i="2"/>
  <c r="D2876" i="2" l="1"/>
  <c r="H2876" i="2"/>
  <c r="I6" i="19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2886" i="2"/>
  <c r="C2886" i="2"/>
  <c r="I2882" i="2"/>
  <c r="C2882" i="2"/>
  <c r="I2887" i="2"/>
  <c r="C2887" i="2"/>
  <c r="I2896" i="2"/>
  <c r="H2896" i="2"/>
  <c r="C2896" i="2"/>
  <c r="I2869" i="2"/>
  <c r="I2880" i="2"/>
  <c r="C2880" i="2"/>
  <c r="H2870" i="2" l="1"/>
  <c r="D2870" i="2"/>
  <c r="H2861" i="2"/>
  <c r="D2868" i="2"/>
  <c r="H2868" i="2"/>
  <c r="D2861" i="2"/>
  <c r="I2906" i="2"/>
  <c r="C2906" i="2"/>
  <c r="I2871" i="2"/>
  <c r="C2871" i="2"/>
  <c r="I2894" i="2"/>
  <c r="C2894" i="2"/>
  <c r="I2905" i="2"/>
  <c r="I2879" i="2"/>
  <c r="C2879" i="2"/>
  <c r="I2878" i="2"/>
  <c r="C2878" i="2"/>
  <c r="I2874" i="2"/>
  <c r="I2902" i="2"/>
  <c r="C2902" i="2"/>
  <c r="I2900" i="2"/>
  <c r="C2900" i="2"/>
  <c r="I2890" i="2"/>
  <c r="C2890" i="2"/>
  <c r="I2885" i="2"/>
  <c r="C2885" i="2"/>
  <c r="AB2853" i="2"/>
  <c r="AA2853" i="2"/>
  <c r="D2866" i="2" l="1"/>
  <c r="H2866" i="2"/>
  <c r="D2901" i="2"/>
  <c r="H2901" i="2"/>
  <c r="D2875" i="2"/>
  <c r="H2875" i="2"/>
  <c r="C2908" i="2"/>
  <c r="AO2853" i="2" l="1"/>
  <c r="AN2853" i="2"/>
  <c r="AG2853" i="2"/>
  <c r="AF2853" i="2"/>
  <c r="C2854" i="2"/>
  <c r="V2885" i="2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C19" i="18" l="1"/>
  <c r="C9" i="18"/>
  <c r="C13" i="18"/>
  <c r="C16" i="18"/>
  <c r="B19" i="18"/>
  <c r="C10" i="18"/>
  <c r="B13" i="18"/>
  <c r="B16" i="18"/>
  <c r="C18" i="18"/>
  <c r="B10" i="18"/>
  <c r="B14" i="18"/>
  <c r="C12" i="18"/>
  <c r="C15" i="18"/>
  <c r="B18" i="18"/>
  <c r="B15" i="18"/>
  <c r="C8" i="18"/>
  <c r="B12" i="18"/>
  <c r="B9" i="18"/>
  <c r="B17" i="18"/>
  <c r="C17" i="18"/>
  <c r="C14" i="18"/>
  <c r="C11" i="18"/>
  <c r="B11" i="18"/>
  <c r="B8" i="18"/>
  <c r="N55" i="19"/>
  <c r="N17" i="19"/>
  <c r="N56" i="19"/>
  <c r="N48" i="19"/>
  <c r="N20" i="19"/>
  <c r="N43" i="19"/>
  <c r="N40" i="19"/>
  <c r="N32" i="19"/>
  <c r="N24" i="19"/>
  <c r="N8" i="19"/>
  <c r="N31" i="19"/>
  <c r="N51" i="19"/>
  <c r="N5" i="19"/>
  <c r="N12" i="19"/>
  <c r="N29" i="19"/>
  <c r="N19" i="19"/>
  <c r="N39" i="19"/>
  <c r="N52" i="19"/>
  <c r="N47" i="19"/>
  <c r="N28" i="19"/>
  <c r="N7" i="19"/>
  <c r="N27" i="19"/>
  <c r="N50" i="19"/>
  <c r="N35" i="19"/>
  <c r="N16" i="19"/>
  <c r="N11" i="19"/>
  <c r="N54" i="19"/>
  <c r="N15" i="19"/>
  <c r="N38" i="19"/>
  <c r="N42" i="19"/>
  <c r="N36" i="19"/>
  <c r="N26" i="19"/>
  <c r="N34" i="19"/>
  <c r="N30" i="19"/>
  <c r="N23" i="19"/>
  <c r="N14" i="19"/>
  <c r="N22" i="19"/>
  <c r="N18" i="19"/>
  <c r="N46" i="19"/>
  <c r="N49" i="19"/>
  <c r="N45" i="19"/>
  <c r="N33" i="19"/>
  <c r="N6" i="19"/>
  <c r="N10" i="19"/>
  <c r="N37" i="19"/>
  <c r="N53" i="19"/>
  <c r="N57" i="19"/>
  <c r="N25" i="19"/>
  <c r="N9" i="19"/>
  <c r="N13" i="19"/>
  <c r="N41" i="19"/>
  <c r="N21" i="19"/>
  <c r="N44" i="19"/>
  <c r="C36" i="18"/>
  <c r="C29" i="18"/>
  <c r="B36" i="18"/>
  <c r="B34" i="18"/>
  <c r="B29" i="18"/>
  <c r="B27" i="18"/>
  <c r="B35" i="18"/>
  <c r="C38" i="18"/>
  <c r="B38" i="18"/>
  <c r="C28" i="18"/>
  <c r="B28" i="18"/>
  <c r="C37" i="18"/>
  <c r="B33" i="18"/>
  <c r="B31" i="18"/>
  <c r="C27" i="18"/>
  <c r="C30" i="18"/>
  <c r="B30" i="18"/>
  <c r="B32" i="18"/>
  <c r="C31" i="18"/>
  <c r="B37" i="18"/>
  <c r="H2886" i="2"/>
  <c r="D2886" i="2"/>
  <c r="V2890" i="2"/>
  <c r="D2896" i="2"/>
  <c r="B39" i="18" l="1"/>
  <c r="C39" i="18"/>
  <c r="N58" i="19"/>
  <c r="U2854" i="2"/>
  <c r="J57" i="19"/>
  <c r="J45" i="19"/>
  <c r="J33" i="19"/>
  <c r="J21" i="19"/>
  <c r="J9" i="19"/>
  <c r="J56" i="19"/>
  <c r="J44" i="19"/>
  <c r="J32" i="19"/>
  <c r="J20" i="19"/>
  <c r="J8" i="19"/>
  <c r="J55" i="19"/>
  <c r="J43" i="19"/>
  <c r="J31" i="19"/>
  <c r="J19" i="19"/>
  <c r="J7" i="19"/>
  <c r="J54" i="19"/>
  <c r="J42" i="19"/>
  <c r="J30" i="19"/>
  <c r="J18" i="19"/>
  <c r="J6" i="19"/>
  <c r="J53" i="19"/>
  <c r="J41" i="19"/>
  <c r="J29" i="19"/>
  <c r="J17" i="19"/>
  <c r="J5" i="19"/>
  <c r="J22" i="19"/>
  <c r="J52" i="19"/>
  <c r="J40" i="19"/>
  <c r="J28" i="19"/>
  <c r="J16" i="19"/>
  <c r="J51" i="19"/>
  <c r="J39" i="19"/>
  <c r="J27" i="19"/>
  <c r="J15" i="19"/>
  <c r="J50" i="19"/>
  <c r="J38" i="19"/>
  <c r="J26" i="19"/>
  <c r="J14" i="19"/>
  <c r="J34" i="19"/>
  <c r="J49" i="19"/>
  <c r="J37" i="19"/>
  <c r="J25" i="19"/>
  <c r="J13" i="19"/>
  <c r="J10" i="19"/>
  <c r="J48" i="19"/>
  <c r="J36" i="19"/>
  <c r="J24" i="19"/>
  <c r="J12" i="19"/>
  <c r="J46" i="19"/>
  <c r="J47" i="19"/>
  <c r="J35" i="19"/>
  <c r="J23" i="19"/>
  <c r="J11" i="19"/>
  <c r="H2880" i="2"/>
  <c r="D2887" i="2"/>
  <c r="H2887" i="2"/>
  <c r="D2882" i="2"/>
  <c r="H2882" i="2"/>
  <c r="H2869" i="2"/>
  <c r="D2869" i="2"/>
  <c r="D2879" i="2"/>
  <c r="H2879" i="2"/>
  <c r="D2880" i="2"/>
  <c r="D2874" i="2"/>
  <c r="H2874" i="2"/>
  <c r="H2900" i="2"/>
  <c r="A63" i="19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Z5" i="2"/>
  <c r="C7" i="17"/>
  <c r="B9" i="17"/>
  <c r="B24" i="17"/>
  <c r="C29" i="17"/>
  <c r="C26" i="17"/>
  <c r="B63" i="19"/>
  <c r="C2911" i="2"/>
  <c r="C2913" i="2"/>
  <c r="C2919" i="2"/>
  <c r="H2919" i="2" s="1"/>
  <c r="I2919" i="2"/>
  <c r="L2919" i="2"/>
  <c r="M2919" i="2"/>
  <c r="C2920" i="2"/>
  <c r="H2920" i="2" s="1"/>
  <c r="I2920" i="2"/>
  <c r="L2920" i="2"/>
  <c r="M2920" i="2"/>
  <c r="C2921" i="2"/>
  <c r="H2921" i="2" s="1"/>
  <c r="I2921" i="2"/>
  <c r="L2921" i="2"/>
  <c r="M2921" i="2"/>
  <c r="C2922" i="2"/>
  <c r="H2922" i="2" s="1"/>
  <c r="D2922" i="2"/>
  <c r="I2922" i="2"/>
  <c r="L2922" i="2"/>
  <c r="M2922" i="2"/>
  <c r="C2923" i="2"/>
  <c r="H2923" i="2" s="1"/>
  <c r="I2923" i="2"/>
  <c r="L2923" i="2"/>
  <c r="M2923" i="2"/>
  <c r="C2924" i="2"/>
  <c r="H2924" i="2" s="1"/>
  <c r="I2924" i="2"/>
  <c r="L2924" i="2"/>
  <c r="M2924" i="2"/>
  <c r="C2925" i="2"/>
  <c r="H2925" i="2" s="1"/>
  <c r="I2925" i="2"/>
  <c r="L2925" i="2"/>
  <c r="M2925" i="2"/>
  <c r="C2926" i="2"/>
  <c r="H2926" i="2" s="1"/>
  <c r="I2926" i="2"/>
  <c r="L2926" i="2"/>
  <c r="M2926" i="2"/>
  <c r="C2927" i="2"/>
  <c r="H2927" i="2" s="1"/>
  <c r="D2927" i="2"/>
  <c r="I2927" i="2"/>
  <c r="L2927" i="2"/>
  <c r="M2927" i="2"/>
  <c r="C2928" i="2"/>
  <c r="H2928" i="2" s="1"/>
  <c r="D2928" i="2"/>
  <c r="I2928" i="2"/>
  <c r="L2928" i="2"/>
  <c r="M2928" i="2"/>
  <c r="C2929" i="2"/>
  <c r="H2929" i="2" s="1"/>
  <c r="D2929" i="2"/>
  <c r="I2929" i="2"/>
  <c r="L2929" i="2"/>
  <c r="M2929" i="2"/>
  <c r="C2930" i="2"/>
  <c r="H2930" i="2" s="1"/>
  <c r="D2930" i="2"/>
  <c r="I2930" i="2"/>
  <c r="L2930" i="2"/>
  <c r="M2930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D2919" i="2"/>
  <c r="J58" i="19" l="1"/>
  <c r="B20" i="18"/>
  <c r="B47" i="18" s="1"/>
  <c r="C20" i="18"/>
  <c r="C47" i="18" s="1"/>
  <c r="H2894" i="2"/>
  <c r="H2885" i="2"/>
  <c r="H2890" i="2"/>
  <c r="D2902" i="2"/>
  <c r="H2902" i="2"/>
  <c r="H2878" i="2"/>
  <c r="D2878" i="2"/>
  <c r="D2885" i="2"/>
  <c r="D2890" i="2"/>
  <c r="D2894" i="2"/>
  <c r="D2900" i="2"/>
  <c r="D2926" i="2"/>
  <c r="C39" i="4"/>
  <c r="C40" i="4" s="1"/>
  <c r="M2854" i="2"/>
  <c r="C63" i="19"/>
  <c r="F46" i="19"/>
  <c r="F34" i="19"/>
  <c r="F22" i="19"/>
  <c r="F10" i="19"/>
  <c r="F57" i="19"/>
  <c r="F45" i="19"/>
  <c r="F33" i="19"/>
  <c r="F21" i="19"/>
  <c r="F9" i="19"/>
  <c r="F55" i="19"/>
  <c r="F43" i="19"/>
  <c r="F31" i="19"/>
  <c r="F19" i="19"/>
  <c r="F7" i="19"/>
  <c r="F54" i="19"/>
  <c r="F42" i="19"/>
  <c r="F30" i="19"/>
  <c r="F18" i="19"/>
  <c r="F6" i="19"/>
  <c r="F32" i="19"/>
  <c r="F53" i="19"/>
  <c r="F41" i="19"/>
  <c r="F29" i="19"/>
  <c r="F17" i="19"/>
  <c r="F5" i="19"/>
  <c r="F52" i="19"/>
  <c r="F40" i="19"/>
  <c r="F28" i="19"/>
  <c r="F16" i="19"/>
  <c r="F51" i="19"/>
  <c r="F39" i="19"/>
  <c r="F27" i="19"/>
  <c r="F15" i="19"/>
  <c r="F56" i="19"/>
  <c r="F44" i="19"/>
  <c r="F8" i="19"/>
  <c r="F50" i="19"/>
  <c r="F38" i="19"/>
  <c r="F26" i="19"/>
  <c r="F14" i="19"/>
  <c r="F49" i="19"/>
  <c r="F37" i="19"/>
  <c r="F25" i="19"/>
  <c r="F13" i="19"/>
  <c r="F48" i="19"/>
  <c r="F36" i="19"/>
  <c r="F24" i="19"/>
  <c r="F12" i="19"/>
  <c r="F20" i="19"/>
  <c r="F47" i="19"/>
  <c r="F35" i="19"/>
  <c r="F23" i="19"/>
  <c r="F11" i="19"/>
  <c r="C34" i="11"/>
  <c r="C36" i="11" s="1"/>
  <c r="D2925" i="2"/>
  <c r="C26" i="11"/>
  <c r="C27" i="11"/>
  <c r="C28" i="11" s="1"/>
  <c r="R56" i="3"/>
  <c r="Q62" i="3" s="1"/>
  <c r="Q63" i="3" s="1"/>
  <c r="Q64" i="3" s="1"/>
  <c r="C2914" i="2"/>
  <c r="C42" i="4"/>
  <c r="U52" i="12"/>
  <c r="D49" i="4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Q69" i="3"/>
  <c r="Q71" i="3" s="1"/>
  <c r="R7" i="3"/>
  <c r="D7" i="11" s="1"/>
  <c r="D34" i="11" s="1"/>
  <c r="D36" i="11" s="1"/>
  <c r="Q61" i="3"/>
  <c r="D2920" i="2"/>
  <c r="B48" i="19"/>
  <c r="D2924" i="2"/>
  <c r="B11" i="19"/>
  <c r="B44" i="19"/>
  <c r="B19" i="19"/>
  <c r="B40" i="19"/>
  <c r="B39" i="19"/>
  <c r="P69" i="3"/>
  <c r="P71" i="3" s="1"/>
  <c r="B34" i="19"/>
  <c r="B56" i="19"/>
  <c r="B53" i="19"/>
  <c r="B22" i="19"/>
  <c r="B38" i="19"/>
  <c r="B14" i="19"/>
  <c r="B13" i="19"/>
  <c r="B12" i="19"/>
  <c r="B36" i="19"/>
  <c r="B55" i="19"/>
  <c r="B35" i="19"/>
  <c r="B21" i="19"/>
  <c r="B29" i="19"/>
  <c r="B46" i="19"/>
  <c r="B32" i="19"/>
  <c r="B47" i="19"/>
  <c r="B52" i="19"/>
  <c r="B16" i="19"/>
  <c r="B18" i="19"/>
  <c r="D2921" i="2"/>
  <c r="C37" i="17"/>
  <c r="B24" i="19"/>
  <c r="C50" i="18"/>
  <c r="B7" i="19"/>
  <c r="B30" i="19"/>
  <c r="D2923" i="2"/>
  <c r="B50" i="19"/>
  <c r="B9" i="19"/>
  <c r="B17" i="19"/>
  <c r="B51" i="19"/>
  <c r="B25" i="19"/>
  <c r="B6" i="19"/>
  <c r="B49" i="19"/>
  <c r="B8" i="19"/>
  <c r="B54" i="19"/>
  <c r="B33" i="19"/>
  <c r="B37" i="19"/>
  <c r="B41" i="19"/>
  <c r="B57" i="19"/>
  <c r="B28" i="19"/>
  <c r="B5" i="19"/>
  <c r="B45" i="19"/>
  <c r="B15" i="19"/>
  <c r="B26" i="19"/>
  <c r="B10" i="19"/>
  <c r="B20" i="19"/>
  <c r="B31" i="19"/>
  <c r="B43" i="19"/>
  <c r="B42" i="19"/>
  <c r="B27" i="19"/>
  <c r="C2909" i="2"/>
  <c r="C2912" i="2"/>
  <c r="B23" i="19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M2931" i="2"/>
  <c r="M9" i="12"/>
  <c r="H2931" i="2"/>
  <c r="I2931" i="2"/>
  <c r="L2931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C2931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C29" i="11" l="1"/>
  <c r="B50" i="18"/>
  <c r="D2871" i="2"/>
  <c r="H2871" i="2"/>
  <c r="I2908" i="2" s="1"/>
  <c r="D2906" i="2"/>
  <c r="H2906" i="2"/>
  <c r="Y5" i="2"/>
  <c r="AH5" i="2" s="1"/>
  <c r="R70" i="3"/>
  <c r="F58" i="19"/>
  <c r="R69" i="3"/>
  <c r="D81" i="15"/>
  <c r="C2934" i="2"/>
  <c r="C2935" i="2" s="1"/>
  <c r="D2931" i="2"/>
  <c r="B58" i="19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5" i="2"/>
  <c r="T16" i="15"/>
  <c r="W16" i="15" s="1"/>
  <c r="X16" i="15" s="1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C291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52" i="18" l="1"/>
  <c r="C46" i="18" s="1"/>
  <c r="D2908" i="2"/>
  <c r="H2908" i="2"/>
  <c r="R71" i="3"/>
  <c r="D3" i="19"/>
  <c r="E63" i="19"/>
  <c r="D2918" i="2"/>
  <c r="X52" i="12"/>
  <c r="X52" i="13"/>
  <c r="X45" i="15"/>
  <c r="X52" i="16"/>
  <c r="X52" i="14"/>
  <c r="B52" i="18" l="1"/>
  <c r="B46" i="18" s="1"/>
</calcChain>
</file>

<file path=xl/sharedStrings.xml><?xml version="1.0" encoding="utf-8"?>
<sst xmlns="http://schemas.openxmlformats.org/spreadsheetml/2006/main" count="1384" uniqueCount="359">
  <si>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</si>
  <si>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</si>
  <si>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</si>
  <si>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</si>
  <si>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</si>
  <si>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</si>
  <si>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</si>
  <si>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</si>
  <si>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</si>
  <si>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</si>
  <si>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</si>
  <si>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</si>
  <si>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</si>
  <si>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</si>
  <si>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</si>
  <si>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</si>
  <si>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</si>
  <si>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</si>
  <si>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</si>
  <si>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</si>
  <si>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</si>
  <si>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</si>
  <si>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</si>
  <si>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</si>
  <si>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</si>
  <si>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</si>
  <si>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</si>
  <si>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</si>
  <si>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</si>
  <si>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</si>
  <si>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</si>
  <si>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</si>
  <si>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</si>
  <si>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</si>
  <si>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</si>
  <si>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</si>
  <si>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</si>
  <si>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</si>
  <si>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</si>
  <si>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</si>
  <si>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</si>
  <si>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</si>
  <si>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</si>
  <si>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</si>
  <si>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</si>
  <si>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</si>
  <si>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</si>
  <si>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</si>
  <si>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</si>
  <si>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</si>
  <si>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</si>
  <si>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</si>
  <si>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</si>
  <si>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</si>
  <si>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</si>
  <si>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</si>
  <si>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</si>
  <si>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</si>
  <si>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</si>
  <si>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</si>
  <si>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</si>
  <si>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</si>
  <si>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</si>
  <si>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</si>
  <si>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</si>
  <si>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</si>
  <si>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</si>
  <si>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</si>
  <si>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</si>
  <si>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</si>
  <si>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</si>
  <si>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</si>
  <si>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</si>
  <si>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</si>
  <si>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</si>
  <si>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</si>
  <si>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</si>
  <si>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</si>
  <si>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</si>
  <si>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</si>
  <si>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</si>
  <si>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</si>
  <si>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</si>
  <si>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</si>
  <si>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</si>
  <si>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</si>
  <si>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</si>
  <si>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</si>
  <si>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</si>
  <si>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</si>
  <si>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</si>
  <si>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</si>
  <si>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</si>
  <si>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</si>
  <si>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</si>
  <si>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</si>
  <si>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</si>
  <si>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</si>
  <si>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</si>
  <si>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</si>
  <si>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</si>
  <si>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</si>
  <si>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</si>
  <si>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</si>
  <si>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</si>
  <si>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</si>
  <si>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</si>
  <si>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</si>
  <si>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</si>
  <si>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</si>
  <si>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</si>
  <si>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</si>
  <si>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</si>
  <si>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</si>
  <si>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</si>
  <si>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</si>
  <si>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</si>
  <si>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</si>
  <si>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</si>
  <si>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</si>
  <si>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</si>
  <si>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</si>
  <si>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</si>
  <si>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</si>
  <si>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</si>
  <si>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</si>
  <si>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</si>
  <si>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</si>
  <si>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</si>
  <si>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</si>
  <si>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</si>
  <si>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</si>
  <si>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</si>
  <si>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</si>
  <si>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</si>
  <si>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</si>
  <si>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</si>
  <si>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</si>
  <si>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</si>
  <si>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</si>
  <si>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</si>
  <si>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</si>
  <si>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</si>
  <si>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</si>
  <si>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</si>
  <si>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</si>
  <si>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</si>
  <si>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</si>
  <si>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</si>
  <si>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</si>
  <si>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</si>
  <si>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</si>
  <si>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</si>
  <si>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</si>
  <si>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</si>
  <si>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</si>
  <si>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</si>
  <si>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</si>
  <si>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</si>
  <si>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</si>
  <si>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</si>
  <si>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Commissioni Elast</t>
  </si>
  <si>
    <t>Commissioni KM</t>
  </si>
  <si>
    <t>Commissioni Masolini</t>
  </si>
  <si>
    <t>Commissioni MG</t>
  </si>
  <si>
    <t>Commissioni Fenaroli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</si>
  <si>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</si>
  <si>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</si>
  <si>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</si>
  <si>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</si>
  <si>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</si>
  <si>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</si>
  <si>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</si>
  <si>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</si>
  <si>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</si>
  <si>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</si>
  <si>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</si>
  <si>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</si>
  <si>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</si>
  <si>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</si>
  <si>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</si>
  <si>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</si>
  <si>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</si>
  <si>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Totale</t>
  </si>
  <si>
    <t>percentuale</t>
  </si>
  <si>
    <t>kg</t>
  </si>
  <si>
    <t>Kg * %</t>
  </si>
  <si>
    <t>Commissioni Mace</t>
  </si>
  <si>
    <t>Commissioni Elettr. Colombo</t>
  </si>
  <si>
    <t>Commissioni ABB</t>
  </si>
  <si>
    <t>0,45 mm</t>
  </si>
  <si>
    <t>0,55 mm</t>
  </si>
  <si>
    <t>Clienti totali</t>
  </si>
  <si>
    <t>Clienti movimentati</t>
  </si>
  <si>
    <t>Clienti persi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</si>
  <si>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</si>
  <si>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</si>
  <si>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</si>
  <si>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</si>
  <si>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</si>
  <si>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</si>
  <si>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</si>
  <si>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</si>
  <si>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</si>
  <si>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</si>
  <si>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</si>
  <si>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</si>
  <si>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</si>
  <si>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</si>
  <si>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</si>
  <si>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</si>
  <si>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</si>
  <si>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</si>
  <si>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</si>
  <si>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Commissioni OK</t>
  </si>
  <si>
    <t>Totale kg</t>
  </si>
  <si>
    <t>Kg OK</t>
  </si>
  <si>
    <t>0,65 mm</t>
  </si>
  <si>
    <t>0,85 mm</t>
  </si>
  <si>
    <t>1,25 mm</t>
  </si>
  <si>
    <t>1,60 mm</t>
  </si>
  <si>
    <t>1,70 mm</t>
  </si>
  <si>
    <t>1,80 mm</t>
  </si>
  <si>
    <t>1,90 mm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</si>
  <si>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</si>
  <si>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</si>
  <si>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</si>
  <si>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</si>
  <si>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</si>
  <si>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</si>
  <si>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</si>
  <si>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</si>
  <si>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</si>
  <si>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</si>
  <si>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</si>
  <si>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</si>
  <si>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</si>
  <si>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</si>
  <si>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Totale da fatturare</t>
  </si>
  <si>
    <t>Consegna</t>
  </si>
  <si>
    <t>Euro</t>
  </si>
  <si>
    <t>TOTALE</t>
  </si>
  <si>
    <t>Settimana</t>
  </si>
  <si>
    <t>ANNO 2022</t>
  </si>
  <si>
    <t xml:space="preserve">Kg Rimanenti (max Kg </t>
  </si>
  <si>
    <t>Kg senza data</t>
  </si>
  <si>
    <t>Kg totali</t>
  </si>
  <si>
    <t>Kg in conegna</t>
  </si>
  <si>
    <t>Ordine/DDT</t>
  </si>
  <si>
    <t>ANNO 2023</t>
  </si>
  <si>
    <t>Delta</t>
  </si>
  <si>
    <t>Totale provv variabile</t>
  </si>
  <si>
    <t>Totalone</t>
  </si>
  <si>
    <t>CIT</t>
  </si>
  <si>
    <t>CIT €/Kg</t>
  </si>
  <si>
    <t>Gauss</t>
  </si>
  <si>
    <t>PREZZO ACQUISTO</t>
  </si>
  <si>
    <t>Lavorazione</t>
  </si>
  <si>
    <t>Base</t>
  </si>
  <si>
    <t>PREZZO VENDITA</t>
  </si>
  <si>
    <t>Mec</t>
  </si>
  <si>
    <t>Tmc</t>
  </si>
  <si>
    <t>Elettromil</t>
  </si>
  <si>
    <t>Sgm</t>
  </si>
  <si>
    <t>Cemel</t>
  </si>
  <si>
    <t>Ftm</t>
  </si>
  <si>
    <t>Ebg</t>
  </si>
  <si>
    <t>Percentuale delta</t>
  </si>
  <si>
    <t>Gbe</t>
  </si>
  <si>
    <t>CTS</t>
  </si>
  <si>
    <t>Lef</t>
  </si>
  <si>
    <t>Power</t>
  </si>
  <si>
    <t>Jara</t>
  </si>
  <si>
    <t>ANNO 2024</t>
  </si>
  <si>
    <t>Tesar</t>
  </si>
  <si>
    <t>Elettromil Sk</t>
  </si>
  <si>
    <t>Avelto</t>
  </si>
  <si>
    <t>Gritti</t>
  </si>
  <si>
    <t>DSR</t>
  </si>
  <si>
    <t>Elpicast</t>
  </si>
  <si>
    <t>Brioschi</t>
  </si>
  <si>
    <t>Intermagnetics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</si>
  <si>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</si>
  <si>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</si>
  <si>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</si>
  <si>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</si>
  <si>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</si>
  <si>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</si>
  <si>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</si>
  <si>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</si>
  <si>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</si>
  <si>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</si>
  <si>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</si>
  <si>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</si>
  <si>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Trasfem</t>
  </si>
  <si>
    <t>Altrafo</t>
  </si>
  <si>
    <t>ANNO 2025</t>
  </si>
  <si>
    <t>Mgs</t>
  </si>
  <si>
    <t>Merx</t>
  </si>
  <si>
    <t>Lo Spaccio</t>
  </si>
  <si>
    <t>Espa</t>
  </si>
  <si>
    <t>Trafocoop</t>
  </si>
  <si>
    <t>Sea</t>
  </si>
  <si>
    <t>Robotti</t>
  </si>
  <si>
    <t>Bermar</t>
  </si>
  <si>
    <t>Nuova</t>
  </si>
  <si>
    <t>Cem</t>
  </si>
  <si>
    <t>Efc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</si>
  <si>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</si>
  <si>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</si>
  <si>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</si>
  <si>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</si>
  <si>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</si>
  <si>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</si>
  <si>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</si>
  <si>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</si>
  <si>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</si>
  <si>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</si>
  <si>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</si>
  <si>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</si>
  <si>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Madim</t>
  </si>
  <si>
    <t>Belelli</t>
  </si>
  <si>
    <t>Banchi</t>
  </si>
  <si>
    <t>Ice</t>
  </si>
  <si>
    <t>Acm</t>
  </si>
  <si>
    <t>Intercoil</t>
  </si>
  <si>
    <t>1/38281</t>
  </si>
  <si>
    <t>Re Italo</t>
  </si>
  <si>
    <t>Vallee</t>
  </si>
  <si>
    <t>COMMISSIONI SYSTEMP 2026 PER CALKOS</t>
  </si>
  <si>
    <t>1/38560</t>
  </si>
  <si>
    <t>1/38531</t>
  </si>
  <si>
    <t>1/38624</t>
  </si>
  <si>
    <t>1/38740</t>
  </si>
  <si>
    <t>1/38760</t>
  </si>
  <si>
    <t>1/38758</t>
  </si>
  <si>
    <t>POSIZIONE FATTURATA</t>
  </si>
  <si>
    <t>FATTURARE</t>
  </si>
  <si>
    <t>Elettromagneti</t>
  </si>
  <si>
    <t>FINE_TABELLA</t>
  </si>
  <si>
    <t>Minimotor</t>
  </si>
  <si>
    <t>1/37413</t>
  </si>
  <si>
    <t>1/38896</t>
  </si>
  <si>
    <t>1/38864</t>
  </si>
  <si>
    <t>1/38800</t>
  </si>
  <si>
    <t>1/38878</t>
  </si>
  <si>
    <t>Gen Set</t>
  </si>
  <si>
    <t>saldo</t>
  </si>
  <si>
    <t>99/799</t>
  </si>
  <si>
    <t>OK</t>
  </si>
  <si>
    <t>Govoni</t>
  </si>
  <si>
    <t>1/38994/99/803</t>
  </si>
  <si>
    <t>1/38897/99/812</t>
  </si>
  <si>
    <t>1/38990/99/820</t>
  </si>
  <si>
    <t>1/39008/99/821</t>
  </si>
  <si>
    <t>1/38878/99/822</t>
  </si>
  <si>
    <t>mancano kg 400</t>
  </si>
  <si>
    <t>Bonacina</t>
  </si>
  <si>
    <t>Simel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</si>
</sst>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  <numFmt numFmtId="167" formatCode="#,##0.00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indexed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/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 style="medium">
        <color indexed="64"/>
      </left>
      <right style="dashDotDot">
        <color indexed="64"/>
      </right>
      <top/>
      <bottom style="medium">
        <color indexed="64"/>
      </bottom>
      <diagonal/>
    </border>
    <border>
      <left/>
      <right style="dashDotDot">
        <color indexed="64"/>
      </right>
      <top/>
      <bottom style="medium">
        <color indexed="64"/>
      </bottom>
      <diagonal/>
    </border>
    <border>
      <left style="dashDotDot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27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7" fillId="0" borderId="0" xfId="0" applyFont="1"/>
    <xf numFmtId="0" fontId="27" fillId="0" borderId="7" xfId="0" applyFont="1" applyBorder="1"/>
    <xf numFmtId="0" fontId="27" fillId="0" borderId="8" xfId="0" applyFont="1" applyBorder="1"/>
    <xf numFmtId="0" fontId="27" fillId="0" borderId="13" xfId="0" applyFont="1" applyBorder="1"/>
    <xf numFmtId="0" fontId="27" fillId="0" borderId="52" xfId="0" quotePrefix="1" applyFont="1" applyBorder="1"/>
    <xf numFmtId="4" fontId="27" fillId="0" borderId="53" xfId="0" applyNumberFormat="1" applyFont="1" applyBorder="1"/>
    <xf numFmtId="165" fontId="27" fillId="0" borderId="58" xfId="1" applyFont="1" applyBorder="1"/>
    <xf numFmtId="0" fontId="27" fillId="0" borderId="29" xfId="0" quotePrefix="1" applyFont="1" applyBorder="1"/>
    <xf numFmtId="4" fontId="27" fillId="0" borderId="1" xfId="0" applyNumberFormat="1" applyFont="1" applyBorder="1"/>
    <xf numFmtId="165" fontId="27" fillId="0" borderId="21" xfId="1" applyFont="1" applyBorder="1"/>
    <xf numFmtId="0" fontId="27" fillId="0" borderId="29" xfId="0" applyFont="1" applyBorder="1"/>
    <xf numFmtId="0" fontId="27" fillId="0" borderId="5" xfId="0" quotePrefix="1" applyFont="1" applyBorder="1"/>
    <xf numFmtId="4" fontId="27" fillId="0" borderId="73" xfId="0" applyNumberFormat="1" applyFont="1" applyBorder="1"/>
    <xf numFmtId="165" fontId="27" fillId="0" borderId="33" xfId="1" applyFont="1" applyBorder="1"/>
    <xf numFmtId="4" fontId="26" fillId="0" borderId="84" xfId="0" applyNumberFormat="1" applyFont="1" applyBorder="1"/>
    <xf numFmtId="165" fontId="26" fillId="0" borderId="85" xfId="1" applyFont="1" applyBorder="1"/>
    <xf numFmtId="2" fontId="0" fillId="0" borderId="92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0" fillId="0" borderId="0" xfId="0" applyFont="1"/>
    <xf numFmtId="0" fontId="30" fillId="0" borderId="7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81" xfId="0" applyFont="1" applyBorder="1" applyAlignment="1">
      <alignment horizontal="center"/>
    </xf>
    <xf numFmtId="4" fontId="30" fillId="0" borderId="48" xfId="0" applyNumberFormat="1" applyFont="1" applyBorder="1"/>
    <xf numFmtId="165" fontId="30" fillId="0" borderId="47" xfId="0" applyNumberFormat="1" applyFont="1" applyBorder="1"/>
    <xf numFmtId="0" fontId="27" fillId="0" borderId="52" xfId="0" quotePrefix="1" applyFont="1" applyBorder="1" applyAlignment="1">
      <alignment horizontal="center"/>
    </xf>
    <xf numFmtId="165" fontId="27" fillId="0" borderId="53" xfId="1" applyFont="1" applyBorder="1"/>
    <xf numFmtId="4" fontId="27" fillId="0" borderId="58" xfId="0" applyNumberFormat="1" applyFont="1" applyBorder="1"/>
    <xf numFmtId="0" fontId="27" fillId="0" borderId="29" xfId="0" quotePrefix="1" applyFont="1" applyBorder="1" applyAlignment="1">
      <alignment horizontal="center"/>
    </xf>
    <xf numFmtId="165" fontId="27" fillId="0" borderId="1" xfId="1" applyFont="1" applyBorder="1"/>
    <xf numFmtId="4" fontId="27" fillId="0" borderId="21" xfId="0" applyNumberFormat="1" applyFont="1" applyBorder="1"/>
    <xf numFmtId="0" fontId="27" fillId="0" borderId="5" xfId="0" quotePrefix="1" applyFont="1" applyBorder="1" applyAlignment="1">
      <alignment horizontal="center"/>
    </xf>
    <xf numFmtId="165" fontId="27" fillId="0" borderId="73" xfId="1" applyFont="1" applyBorder="1"/>
    <xf numFmtId="4" fontId="27" fillId="0" borderId="33" xfId="0" applyNumberFormat="1" applyFont="1" applyBorder="1"/>
    <xf numFmtId="0" fontId="30" fillId="0" borderId="93" xfId="0" applyFont="1" applyBorder="1" applyAlignment="1">
      <alignment horizontal="center"/>
    </xf>
    <xf numFmtId="165" fontId="30" fillId="0" borderId="28" xfId="0" applyNumberFormat="1" applyFont="1" applyBorder="1"/>
    <xf numFmtId="4" fontId="30" fillId="0" borderId="31" xfId="0" applyNumberFormat="1" applyFont="1" applyBorder="1"/>
    <xf numFmtId="4" fontId="25" fillId="0" borderId="45" xfId="0" applyNumberFormat="1" applyFont="1" applyBorder="1"/>
    <xf numFmtId="0" fontId="27" fillId="0" borderId="36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7" fillId="0" borderId="60" xfId="0" applyNumberFormat="1" applyFont="1" applyBorder="1"/>
    <xf numFmtId="4" fontId="27" fillId="0" borderId="18" xfId="0" applyNumberFormat="1" applyFont="1" applyBorder="1"/>
    <xf numFmtId="4" fontId="27" fillId="0" borderId="94" xfId="0" applyNumberFormat="1" applyFont="1" applyBorder="1"/>
    <xf numFmtId="4" fontId="27" fillId="0" borderId="17" xfId="0" applyNumberFormat="1" applyFont="1" applyBorder="1"/>
    <xf numFmtId="4" fontId="27" fillId="0" borderId="51" xfId="0" applyNumberFormat="1" applyFont="1" applyBorder="1"/>
    <xf numFmtId="0" fontId="26" fillId="0" borderId="13" xfId="0" applyFont="1" applyBorder="1" applyAlignment="1">
      <alignment horizontal="center" wrapText="1"/>
    </xf>
    <xf numFmtId="165" fontId="0" fillId="0" borderId="0" xfId="1" applyFont="1"/>
    <xf numFmtId="9" fontId="0" fillId="0" borderId="0" xfId="2" applyFont="1"/>
    <xf numFmtId="17" fontId="27" fillId="0" borderId="5" xfId="0" quotePrefix="1" applyNumberFormat="1" applyFont="1" applyBorder="1" applyAlignment="1">
      <alignment horizontal="center"/>
    </xf>
    <xf numFmtId="0" fontId="21" fillId="0" borderId="70" xfId="0" applyFont="1" applyBorder="1"/>
    <xf numFmtId="0" fontId="21" fillId="0" borderId="73" xfId="0" applyFont="1" applyBorder="1"/>
    <xf numFmtId="0" fontId="21" fillId="0" borderId="77" xfId="0" applyFont="1" applyBorder="1"/>
    <xf numFmtId="14" fontId="21" fillId="0" borderId="78" xfId="0" applyNumberFormat="1" applyFont="1" applyBorder="1"/>
    <xf numFmtId="14" fontId="0" fillId="0" borderId="82" xfId="0" applyNumberFormat="1" applyBorder="1"/>
    <xf numFmtId="14" fontId="0" fillId="0" borderId="0" xfId="0" applyNumberFormat="1"/>
    <xf numFmtId="0" fontId="0" fillId="0" borderId="0" xfId="0" applyProtection="1">
      <protection locked="0"/>
    </xf>
    <xf numFmtId="0" fontId="21" fillId="0" borderId="70" xfId="0" applyFont="1" applyBorder="1" applyProtection="1">
      <protection locked="0"/>
    </xf>
    <xf numFmtId="0" fontId="21" fillId="0" borderId="73" xfId="0" applyFont="1" applyBorder="1" applyProtection="1">
      <protection locked="0"/>
    </xf>
    <xf numFmtId="0" fontId="21" fillId="0" borderId="77" xfId="0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14" fontId="0" fillId="0" borderId="82" xfId="0" applyNumberFormat="1" applyBorder="1" applyProtection="1">
      <protection locked="0"/>
    </xf>
    <xf numFmtId="14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21" fillId="0" borderId="5" xfId="0" applyFont="1" applyBorder="1" applyProtection="1">
      <protection locked="0"/>
    </xf>
    <xf numFmtId="0" fontId="21" fillId="0" borderId="6" xfId="0" applyFont="1" applyBorder="1" applyProtection="1">
      <protection locked="0"/>
    </xf>
    <xf numFmtId="0" fontId="21" fillId="0" borderId="65" xfId="0" applyFont="1" applyBorder="1" applyProtection="1">
      <protection locked="0"/>
    </xf>
    <xf numFmtId="14" fontId="21" fillId="0" borderId="67" xfId="0" applyNumberFormat="1" applyFont="1" applyBorder="1" applyProtection="1">
      <protection locked="0"/>
    </xf>
    <xf numFmtId="14" fontId="0" fillId="0" borderId="96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165" fontId="5" fillId="0" borderId="0" xfId="1" applyFont="1" applyBorder="1" applyProtection="1">
      <protection locked="0"/>
    </xf>
    <xf numFmtId="165" fontId="5" fillId="0" borderId="45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6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89" xfId="0" applyNumberFormat="1" applyFont="1" applyBorder="1" applyProtection="1">
      <protection locked="0"/>
    </xf>
    <xf numFmtId="0" fontId="21" fillId="0" borderId="29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0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0" fontId="22" fillId="0" borderId="29" xfId="0" applyFont="1" applyBorder="1" applyProtection="1">
      <protection locked="0"/>
    </xf>
    <xf numFmtId="4" fontId="22" fillId="0" borderId="1" xfId="0" applyNumberFormat="1" applyFont="1" applyBorder="1" applyProtection="1">
      <protection locked="0"/>
    </xf>
    <xf numFmtId="0" fontId="22" fillId="0" borderId="18" xfId="0" applyFont="1" applyBorder="1" applyProtection="1">
      <protection locked="0"/>
    </xf>
    <xf numFmtId="165" fontId="22" fillId="0" borderId="21" xfId="0" applyNumberFormat="1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0" fontId="2" fillId="0" borderId="29" xfId="0" applyFont="1" applyBorder="1" applyProtection="1">
      <protection locked="0"/>
    </xf>
    <xf numFmtId="165" fontId="2" fillId="0" borderId="18" xfId="1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17" fillId="0" borderId="18" xfId="1" applyFont="1" applyBorder="1" applyProtection="1">
      <protection locked="0"/>
    </xf>
    <xf numFmtId="4" fontId="28" fillId="0" borderId="90" xfId="0" applyNumberFormat="1" applyFont="1" applyBorder="1" applyProtection="1">
      <protection locked="0"/>
    </xf>
    <xf numFmtId="0" fontId="2" fillId="0" borderId="70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7" xfId="0" applyNumberFormat="1" applyFont="1" applyBorder="1" applyProtection="1">
      <protection locked="0"/>
    </xf>
    <xf numFmtId="0" fontId="28" fillId="0" borderId="33" xfId="0" applyFont="1" applyBorder="1" applyProtection="1">
      <protection locked="0"/>
    </xf>
    <xf numFmtId="4" fontId="28" fillId="0" borderId="91" xfId="0" applyNumberFormat="1" applyFont="1" applyBorder="1" applyProtection="1">
      <protection locked="0"/>
    </xf>
    <xf numFmtId="4" fontId="28" fillId="0" borderId="0" xfId="0" applyNumberFormat="1" applyFont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29" fillId="0" borderId="83" xfId="0" applyNumberFormat="1" applyFont="1" applyBorder="1" applyProtection="1">
      <protection locked="0"/>
    </xf>
    <xf numFmtId="4" fontId="26" fillId="0" borderId="48" xfId="0" applyNumberFormat="1" applyFont="1" applyBorder="1" applyProtection="1">
      <protection locked="0"/>
    </xf>
    <xf numFmtId="4" fontId="26" fillId="0" borderId="0" xfId="0" applyNumberFormat="1" applyFont="1" applyProtection="1">
      <protection locked="0"/>
    </xf>
    <xf numFmtId="0" fontId="26" fillId="0" borderId="14" xfId="0" applyFont="1" applyBorder="1" applyProtection="1">
      <protection locked="0"/>
    </xf>
    <xf numFmtId="4" fontId="27" fillId="0" borderId="16" xfId="0" applyNumberFormat="1" applyFont="1" applyBorder="1" applyAlignment="1" applyProtection="1">
      <alignment horizontal="left"/>
      <protection locked="0"/>
    </xf>
    <xf numFmtId="0" fontId="26" fillId="0" borderId="70" xfId="0" applyFont="1" applyBorder="1" applyProtection="1">
      <protection locked="0"/>
    </xf>
    <xf numFmtId="4" fontId="27" fillId="0" borderId="33" xfId="0" applyNumberFormat="1" applyFont="1" applyBorder="1" applyAlignment="1" applyProtection="1">
      <alignment horizontal="left"/>
      <protection locked="0"/>
    </xf>
    <xf numFmtId="0" fontId="26" fillId="0" borderId="5" xfId="0" applyFont="1" applyBorder="1" applyProtection="1">
      <protection locked="0"/>
    </xf>
    <xf numFmtId="4" fontId="27" fillId="0" borderId="17" xfId="0" applyNumberFormat="1" applyFont="1" applyBorder="1" applyAlignment="1" applyProtection="1">
      <alignment horizontal="left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 applyProtection="1">
      <alignment horizontal="center" vertical="center" wrapText="1"/>
      <protection locked="0"/>
    </xf>
    <xf numFmtId="0" fontId="26" fillId="0" borderId="99" xfId="0" applyFont="1" applyBorder="1" applyAlignment="1" applyProtection="1">
      <alignment horizontal="center" vertical="center" wrapText="1"/>
      <protection locked="0"/>
    </xf>
    <xf numFmtId="0" fontId="26" fillId="0" borderId="81" xfId="0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7" fillId="0" borderId="52" xfId="0" applyFont="1" applyBorder="1" applyAlignment="1" applyProtection="1">
      <alignment horizontal="center" vertical="center" wrapText="1"/>
      <protection locked="0"/>
    </xf>
    <xf numFmtId="4" fontId="27" fillId="0" borderId="53" xfId="0" applyNumberFormat="1" applyFont="1" applyBorder="1" applyAlignment="1" applyProtection="1">
      <alignment horizontal="center" vertical="center" wrapText="1"/>
      <protection locked="0"/>
    </xf>
    <xf numFmtId="165" fontId="27" fillId="0" borderId="53" xfId="1" applyFont="1" applyBorder="1" applyAlignment="1" applyProtection="1">
      <alignment horizontal="center" vertical="center" wrapText="1"/>
      <protection locked="0"/>
    </xf>
    <xf numFmtId="165" fontId="27" fillId="0" borderId="60" xfId="1" applyFont="1" applyBorder="1" applyAlignment="1" applyProtection="1">
      <alignment horizontal="center" vertical="center" wrapText="1"/>
      <protection locked="0"/>
    </xf>
    <xf numFmtId="165" fontId="27" fillId="0" borderId="58" xfId="1" applyFont="1" applyBorder="1" applyAlignment="1" applyProtection="1">
      <alignment horizontal="center" vertical="center" wrapText="1"/>
      <protection locked="0"/>
    </xf>
    <xf numFmtId="4" fontId="27" fillId="0" borderId="59" xfId="0" applyNumberFormat="1" applyFont="1" applyBorder="1" applyAlignment="1" applyProtection="1">
      <alignment horizontal="center" vertical="center" wrapText="1"/>
      <protection locked="0"/>
    </xf>
    <xf numFmtId="165" fontId="27" fillId="0" borderId="0" xfId="1" applyFont="1" applyBorder="1" applyAlignment="1" applyProtection="1">
      <alignment horizontal="center" vertical="center" wrapText="1"/>
      <protection locked="0"/>
    </xf>
    <xf numFmtId="4" fontId="26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4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Border="1" applyAlignment="1" applyProtection="1">
      <alignment horizontal="center" vertical="center"/>
      <protection locked="0"/>
    </xf>
    <xf numFmtId="165" fontId="27" fillId="0" borderId="72" xfId="1" applyFont="1" applyBorder="1" applyAlignment="1" applyProtection="1">
      <alignment horizontal="center" vertical="center"/>
      <protection locked="0"/>
    </xf>
    <xf numFmtId="165" fontId="27" fillId="0" borderId="51" xfId="1" applyFont="1" applyBorder="1" applyAlignment="1" applyProtection="1">
      <alignment horizontal="center" vertical="center"/>
      <protection locked="0"/>
    </xf>
    <xf numFmtId="4" fontId="27" fillId="0" borderId="37" xfId="0" applyNumberFormat="1" applyFont="1" applyBorder="1" applyAlignment="1" applyProtection="1">
      <alignment horizontal="center" vertical="center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165" fontId="27" fillId="0" borderId="0" xfId="1" applyFont="1" applyBorder="1" applyAlignment="1" applyProtection="1">
      <alignment horizontal="center" vertical="center"/>
      <protection locked="0"/>
    </xf>
    <xf numFmtId="4" fontId="26" fillId="0" borderId="29" xfId="0" applyNumberFormat="1" applyFont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 applyProtection="1">
      <alignment horizontal="center" vertical="center"/>
      <protection locked="0"/>
    </xf>
    <xf numFmtId="165" fontId="27" fillId="0" borderId="1" xfId="1" applyFont="1" applyBorder="1" applyAlignment="1" applyProtection="1">
      <alignment horizontal="center" vertical="center"/>
      <protection locked="0"/>
    </xf>
    <xf numFmtId="165" fontId="27" fillId="0" borderId="18" xfId="1" applyFont="1" applyBorder="1" applyAlignment="1" applyProtection="1">
      <alignment horizontal="center" vertical="center"/>
      <protection locked="0"/>
    </xf>
    <xf numFmtId="165" fontId="27" fillId="0" borderId="21" xfId="1" applyFont="1" applyBorder="1" applyAlignment="1" applyProtection="1">
      <alignment horizontal="center" vertical="center"/>
      <protection locked="0"/>
    </xf>
    <xf numFmtId="4" fontId="26" fillId="0" borderId="70" xfId="0" applyNumberFormat="1" applyFont="1" applyBorder="1" applyAlignment="1" applyProtection="1">
      <alignment horizontal="center" vertical="center"/>
      <protection locked="0"/>
    </xf>
    <xf numFmtId="4" fontId="27" fillId="0" borderId="73" xfId="0" applyNumberFormat="1" applyFont="1" applyBorder="1" applyAlignment="1" applyProtection="1">
      <alignment horizontal="center" vertical="center"/>
      <protection locked="0"/>
    </xf>
    <xf numFmtId="165" fontId="27" fillId="0" borderId="73" xfId="1" applyFont="1" applyBorder="1" applyAlignment="1" applyProtection="1">
      <alignment horizontal="center" vertical="center"/>
      <protection locked="0"/>
    </xf>
    <xf numFmtId="165" fontId="27" fillId="0" borderId="87" xfId="1" applyFont="1" applyBorder="1" applyAlignment="1" applyProtection="1">
      <alignment horizontal="center" vertical="center"/>
      <protection locked="0"/>
    </xf>
    <xf numFmtId="165" fontId="27" fillId="0" borderId="33" xfId="1" applyFont="1" applyBorder="1" applyAlignment="1" applyProtection="1">
      <alignment horizontal="center" vertical="center"/>
      <protection locked="0"/>
    </xf>
    <xf numFmtId="4" fontId="27" fillId="0" borderId="64" xfId="0" applyNumberFormat="1" applyFont="1" applyBorder="1" applyAlignment="1" applyProtection="1">
      <alignment horizontal="center" vertical="center"/>
      <protection locked="0"/>
    </xf>
    <xf numFmtId="165" fontId="27" fillId="0" borderId="64" xfId="1" applyFont="1" applyBorder="1" applyAlignment="1" applyProtection="1">
      <alignment horizontal="center" vertical="center"/>
      <protection locked="0"/>
    </xf>
    <xf numFmtId="165" fontId="27" fillId="0" borderId="94" xfId="1" applyFont="1" applyBorder="1" applyAlignment="1" applyProtection="1">
      <alignment horizontal="center" vertical="center"/>
      <protection locked="0"/>
    </xf>
    <xf numFmtId="165" fontId="27" fillId="0" borderId="30" xfId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5" fillId="0" borderId="47" xfId="0" applyNumberFormat="1" applyFont="1" applyBorder="1" applyProtection="1">
      <protection locked="0"/>
    </xf>
    <xf numFmtId="165" fontId="25" fillId="0" borderId="76" xfId="0" applyNumberFormat="1" applyFont="1" applyBorder="1" applyProtection="1">
      <protection locked="0"/>
    </xf>
    <xf numFmtId="165" fontId="25" fillId="0" borderId="83" xfId="0" applyNumberFormat="1" applyFont="1" applyBorder="1" applyProtection="1">
      <protection locked="0"/>
    </xf>
    <xf numFmtId="165" fontId="25" fillId="0" borderId="48" xfId="0" applyNumberFormat="1" applyFont="1" applyBorder="1" applyProtection="1">
      <protection locked="0"/>
    </xf>
    <xf numFmtId="165" fontId="25" fillId="0" borderId="0" xfId="0" applyNumberFormat="1" applyFont="1" applyProtection="1">
      <protection locked="0"/>
    </xf>
    <xf numFmtId="166" fontId="24" fillId="0" borderId="0" xfId="1" applyNumberFormat="1" applyFont="1" applyProtection="1">
      <protection locked="0"/>
    </xf>
    <xf numFmtId="165" fontId="24" fillId="0" borderId="0" xfId="1" applyFont="1" applyProtection="1">
      <protection locked="0"/>
    </xf>
    <xf numFmtId="166" fontId="0" fillId="0" borderId="0" xfId="0" applyNumberFormat="1" applyProtection="1">
      <protection locked="0"/>
    </xf>
    <xf numFmtId="0" fontId="25" fillId="8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165" fontId="25" fillId="0" borderId="0" xfId="1" applyFont="1" applyAlignment="1" applyProtection="1">
      <alignment horizontal="center" vertical="center"/>
    </xf>
    <xf numFmtId="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20" fillId="7" borderId="50" xfId="0" applyFont="1" applyFill="1" applyBorder="1" applyAlignment="1">
      <alignment horizontal="center" vertical="center" wrapText="1"/>
    </xf>
    <xf numFmtId="0" fontId="20" fillId="7" borderId="100" xfId="0" applyFont="1" applyFill="1" applyBorder="1" applyAlignment="1">
      <alignment horizontal="center" vertical="center" wrapText="1"/>
    </xf>
    <xf numFmtId="0" fontId="20" fillId="7" borderId="101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12" fillId="0" borderId="102" xfId="0" applyFont="1" applyBorder="1" applyAlignment="1">
      <alignment horizontal="center"/>
    </xf>
    <xf numFmtId="0" fontId="12" fillId="0" borderId="103" xfId="0" applyFont="1" applyBorder="1" applyAlignment="1">
      <alignment horizontal="center"/>
    </xf>
    <xf numFmtId="0" fontId="12" fillId="0" borderId="104" xfId="0" applyFont="1" applyBorder="1" applyAlignment="1">
      <alignment horizontal="center"/>
    </xf>
    <xf numFmtId="0" fontId="8" fillId="0" borderId="95" xfId="0" applyFont="1" applyBorder="1"/>
    <xf numFmtId="0" fontId="20" fillId="0" borderId="99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 wrapText="1"/>
    </xf>
    <xf numFmtId="0" fontId="20" fillId="0" borderId="108" xfId="0" applyFont="1" applyBorder="1" applyAlignment="1">
      <alignment horizontal="center" vertical="center" wrapText="1"/>
    </xf>
    <xf numFmtId="0" fontId="20" fillId="0" borderId="109" xfId="0" applyFont="1" applyBorder="1" applyAlignment="1">
      <alignment horizontal="center" vertical="center" wrapText="1"/>
    </xf>
    <xf numFmtId="0" fontId="20" fillId="0" borderId="110" xfId="0" applyFont="1" applyBorder="1" applyAlignment="1">
      <alignment horizontal="center" vertical="center" wrapText="1"/>
    </xf>
    <xf numFmtId="0" fontId="33" fillId="11" borderId="0" xfId="0" applyFont="1" applyFill="1" applyProtection="1">
      <protection locked="0"/>
    </xf>
    <xf numFmtId="0" fontId="3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21" fillId="10" borderId="73" xfId="0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30" fillId="8" borderId="95" xfId="0" applyFon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31" fillId="8" borderId="95" xfId="0" applyFont="1" applyFill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67" fontId="21" fillId="0" borderId="73" xfId="0" applyNumberFormat="1" applyFont="1" applyBorder="1"/>
    <xf numFmtId="167" fontId="21" fillId="0" borderId="73" xfId="0" applyNumberFormat="1" applyFont="1" applyBorder="1" applyProtection="1">
      <protection locked="0"/>
    </xf>
    <xf numFmtId="167" fontId="21" fillId="10" borderId="73" xfId="0" applyNumberFormat="1" applyFont="1" applyFill="1" applyBorder="1" applyProtection="1">
      <protection locked="0"/>
    </xf>
    <xf numFmtId="167" fontId="21" fillId="12" borderId="73" xfId="0" applyNumberFormat="1" applyFont="1" applyFill="1" applyBorder="1" applyProtection="1">
      <protection locked="0"/>
    </xf>
    <xf numFmtId="167" fontId="21" fillId="0" borderId="64" xfId="0" applyNumberFormat="1" applyFont="1" applyBorder="1" applyProtection="1">
      <protection locked="0"/>
    </xf>
    <xf numFmtId="167" fontId="21" fillId="0" borderId="106" xfId="0" applyNumberFormat="1" applyFont="1" applyBorder="1"/>
    <xf numFmtId="167" fontId="21" fillId="0" borderId="97" xfId="0" applyNumberFormat="1" applyFont="1" applyBorder="1" applyProtection="1">
      <protection locked="0"/>
    </xf>
    <xf numFmtId="167" fontId="21" fillId="0" borderId="98" xfId="0" applyNumberFormat="1" applyFont="1" applyBorder="1" applyProtection="1">
      <protection locked="0"/>
    </xf>
    <xf numFmtId="167" fontId="21" fillId="0" borderId="107" xfId="0" applyNumberFormat="1" applyFont="1" applyBorder="1"/>
    <xf numFmtId="167" fontId="21" fillId="0" borderId="79" xfId="0" applyNumberFormat="1" applyFont="1" applyBorder="1" applyProtection="1">
      <protection locked="0"/>
    </xf>
    <xf numFmtId="167" fontId="21" fillId="0" borderId="66" xfId="0" applyNumberFormat="1" applyFont="1" applyBorder="1" applyProtection="1">
      <protection locked="0"/>
    </xf>
    <xf numFmtId="167" fontId="21" fillId="0" borderId="49" xfId="1" applyNumberFormat="1" applyFont="1" applyBorder="1" applyProtection="1"/>
    <xf numFmtId="167" fontId="21" fillId="0" borderId="49" xfId="1" applyNumberFormat="1" applyFont="1" applyBorder="1" applyProtection="1">
      <protection locked="0"/>
    </xf>
    <xf numFmtId="167" fontId="21" fillId="0" borderId="35" xfId="1" applyNumberFormat="1" applyFont="1" applyBorder="1" applyProtection="1">
      <protection locked="0"/>
    </xf>
    <xf numFmtId="167" fontId="21" fillId="0" borderId="73" xfId="1" applyNumberFormat="1" applyFont="1" applyFill="1" applyBorder="1" applyProtection="1"/>
    <xf numFmtId="167" fontId="21" fillId="0" borderId="73" xfId="1" applyNumberFormat="1" applyFont="1" applyFill="1" applyBorder="1" applyProtection="1">
      <protection locked="0"/>
    </xf>
    <xf numFmtId="167" fontId="21" fillId="0" borderId="6" xfId="1" applyNumberFormat="1" applyFont="1" applyFill="1" applyBorder="1" applyProtection="1">
      <protection locked="0"/>
    </xf>
    <xf numFmtId="167" fontId="21" fillId="0" borderId="64" xfId="1" applyNumberFormat="1" applyFont="1" applyFill="1" applyBorder="1" applyProtection="1">
      <protection locked="0"/>
    </xf>
    <xf numFmtId="167" fontId="21" fillId="0" borderId="92" xfId="1" applyNumberFormat="1" applyFont="1" applyFill="1" applyBorder="1" applyProtection="1"/>
    <xf numFmtId="167" fontId="21" fillId="0" borderId="92" xfId="1" applyNumberFormat="1" applyFont="1" applyBorder="1" applyProtection="1"/>
    <xf numFmtId="167" fontId="21" fillId="0" borderId="73" xfId="1" applyNumberFormat="1" applyFont="1" applyBorder="1" applyProtection="1">
      <protection locked="0"/>
    </xf>
    <xf numFmtId="167" fontId="21" fillId="0" borderId="6" xfId="1" applyNumberFormat="1" applyFont="1" applyBorder="1" applyProtection="1">
      <protection locked="0"/>
    </xf>
    <xf numFmtId="167" fontId="21" fillId="0" borderId="73" xfId="1" applyNumberFormat="1" applyFont="1" applyBorder="1" applyProtection="1"/>
    <xf numFmtId="167" fontId="21" fillId="0" borderId="73" xfId="2" applyNumberFormat="1" applyFont="1" applyBorder="1" applyAlignment="1" applyProtection="1">
      <alignment horizontal="center"/>
    </xf>
    <xf numFmtId="167" fontId="21" fillId="0" borderId="73" xfId="2" applyNumberFormat="1" applyFont="1" applyBorder="1" applyAlignment="1" applyProtection="1">
      <alignment horizontal="center"/>
      <protection locked="0"/>
    </xf>
    <xf numFmtId="167" fontId="21" fillId="0" borderId="6" xfId="2" applyNumberFormat="1" applyFont="1" applyBorder="1" applyAlignment="1" applyProtection="1">
      <alignment horizontal="center"/>
      <protection locked="0"/>
    </xf>
    <xf numFmtId="167" fontId="21" fillId="10" borderId="73" xfId="1" applyNumberFormat="1" applyFont="1" applyFill="1" applyBorder="1" applyProtection="1">
      <protection locked="0"/>
    </xf>
    <xf numFmtId="167" fontId="21" fillId="12" borderId="73" xfId="1" applyNumberFormat="1" applyFont="1" applyFill="1" applyBorder="1" applyProtection="1">
      <protection locked="0"/>
    </xf>
  </cellXfs>
  <cellStyles count="3">
    <cellStyle name="Normale" xfId="0" builtinId="0"/>
    <cellStyle name="Percentuale" xfId="2" builtinId="5"/>
    <cellStyle name="Valuta" xfId="1" builtinId="4"/>
  </cellStyles>
  <dxfs count="67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152400</xdr:rowOff>
        </xdr:from>
        <xdr:to>
          <xdr:col>1</xdr:col>
          <xdr:colOff>257175</xdr:colOff>
          <xdr:row>2</xdr:row>
          <xdr:rowOff>28575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171450</xdr:rowOff>
        </xdr:from>
        <xdr:to>
          <xdr:col>2</xdr:col>
          <xdr:colOff>600075</xdr:colOff>
          <xdr:row>2</xdr:row>
          <xdr:rowOff>38100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152400</xdr:rowOff>
        </xdr:from>
        <xdr:to>
          <xdr:col>4</xdr:col>
          <xdr:colOff>466725</xdr:colOff>
          <xdr:row>2</xdr:row>
          <xdr:rowOff>28575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0</xdr:row>
          <xdr:rowOff>133350</xdr:rowOff>
        </xdr:from>
        <xdr:to>
          <xdr:col>16</xdr:col>
          <xdr:colOff>409575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157</v>
      </c>
      <c r="B6" s="104" t="s">
        <v>135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136</v>
      </c>
      <c r="B7" s="85" t="s">
        <v>137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136</v>
      </c>
      <c r="B8" s="85" t="s">
        <v>137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138</v>
      </c>
      <c r="B6" s="104" t="s">
        <v>139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138</v>
      </c>
      <c r="B7" s="85" t="s">
        <v>139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140</v>
      </c>
      <c r="B8" s="85" t="s">
        <v>139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141</v>
      </c>
      <c r="B9" s="85" t="s">
        <v>142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143</v>
      </c>
      <c r="B10" s="85" t="s">
        <v>144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143</v>
      </c>
      <c r="B11" s="98" t="s">
        <v>144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143</v>
      </c>
      <c r="B12" s="85" t="s">
        <v>144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145</v>
      </c>
      <c r="B13" s="85" t="s">
        <v>146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156</v>
      </c>
      <c r="B14" s="85" t="s">
        <v>147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156</v>
      </c>
      <c r="B15" s="85" t="s">
        <v>147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158</v>
      </c>
      <c r="B16" s="85" t="s">
        <v>148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159</v>
      </c>
      <c r="B17" s="85" t="s">
        <v>148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149</v>
      </c>
      <c r="B18" s="85" t="s">
        <v>137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149</v>
      </c>
      <c r="B19" s="85" t="s">
        <v>137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150</v>
      </c>
      <c r="B20" s="85" t="s">
        <v>137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150</v>
      </c>
      <c r="B21" s="85" t="s">
        <v>137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151</v>
      </c>
      <c r="B22" s="85" t="s">
        <v>152</v>
      </c>
      <c r="C22" s="116">
        <v>298</v>
      </c>
      <c r="D22" s="86" t="s">
        <v>4</v>
      </c>
      <c r="E22" s="117">
        <v>1.3</v>
      </c>
      <c r="F22" s="118" t="s">
        <v>153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151</v>
      </c>
      <c r="B23" s="85" t="s">
        <v>152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151</v>
      </c>
      <c r="B24" s="85" t="s">
        <v>152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151</v>
      </c>
      <c r="B25" s="85" t="s">
        <v>152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151</v>
      </c>
      <c r="B26" s="85" t="s">
        <v>152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151</v>
      </c>
      <c r="B27" s="85" t="s">
        <v>152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151</v>
      </c>
      <c r="B28" s="85" t="s">
        <v>152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151</v>
      </c>
      <c r="B29" s="85" t="s">
        <v>152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154</v>
      </c>
      <c r="B30" s="85" t="s">
        <v>152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154</v>
      </c>
      <c r="B31" s="85" t="s">
        <v>152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154</v>
      </c>
      <c r="B32" s="85" t="s">
        <v>152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154</v>
      </c>
      <c r="B33" s="85" t="s">
        <v>152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154</v>
      </c>
      <c r="B34" s="85" t="s">
        <v>152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155</v>
      </c>
      <c r="B35" s="85" t="s">
        <v>152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130</v>
      </c>
      <c r="B6" s="104" t="s">
        <v>131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132</v>
      </c>
      <c r="B7" s="85" t="s">
        <v>133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160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134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127</v>
      </c>
      <c r="B6" s="104" t="s">
        <v>128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129</v>
      </c>
      <c r="B7" s="85" t="s">
        <v>128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F11" sqref="F11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171</v>
      </c>
      <c r="C1" s="4" t="s">
        <v>172</v>
      </c>
      <c r="D1" s="4" t="s">
        <v>173</v>
      </c>
      <c r="E1" s="4" t="s">
        <v>174</v>
      </c>
      <c r="F1" s="4"/>
      <c r="G1" s="4"/>
    </row>
    <row r="2" spans="1:7" x14ac:dyDescent="0.25">
      <c r="A2" s="163" t="s">
        <v>176</v>
      </c>
      <c r="B2" s="164"/>
      <c r="C2" s="164"/>
      <c r="D2" s="164"/>
      <c r="E2" s="164"/>
      <c r="F2" s="164"/>
      <c r="G2" s="164"/>
    </row>
    <row r="3" spans="1:7" x14ac:dyDescent="0.25">
      <c r="A3" s="163" t="s">
        <v>177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178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179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180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181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topLeftCell="A22" workbookViewId="0">
      <selection sqref="A1:E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190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191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217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236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218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235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232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233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234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219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237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224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225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226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227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220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228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221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229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222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230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223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231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4" workbookViewId="0">
      <selection activeCell="M31" sqref="M31:R31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390" t="s">
        <v>0</v>
      </c>
      <c r="B1" s="390"/>
      <c r="C1" s="390"/>
      <c r="D1" s="390"/>
      <c r="E1" s="390"/>
      <c r="F1" s="390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391" t="s">
        <v>1</v>
      </c>
      <c r="B3" s="391"/>
      <c r="C3" s="391"/>
      <c r="D3" s="391"/>
      <c r="E3" s="391"/>
      <c r="F3" s="391"/>
      <c r="H3" t="s">
        <v>4</v>
      </c>
      <c r="I3" t="s">
        <v>5</v>
      </c>
      <c r="J3" t="s">
        <v>6</v>
      </c>
      <c r="K3" t="s">
        <v>166</v>
      </c>
    </row>
    <row r="4" spans="1:19" x14ac:dyDescent="0.25">
      <c r="S4" s="5" t="s">
        <v>9</v>
      </c>
    </row>
    <row r="5" spans="1:19" x14ac:dyDescent="0.25">
      <c r="A5" s="383" t="s">
        <v>2</v>
      </c>
      <c r="B5" s="381">
        <v>7.0000000000000007E-2</v>
      </c>
      <c r="C5" s="381">
        <v>0.1</v>
      </c>
      <c r="D5" s="381">
        <v>0.18</v>
      </c>
      <c r="E5" s="384" t="s">
        <v>3</v>
      </c>
      <c r="F5" s="384"/>
      <c r="H5" s="5" t="s">
        <v>9</v>
      </c>
      <c r="I5" s="5" t="s">
        <v>10</v>
      </c>
      <c r="J5" s="5" t="s">
        <v>10</v>
      </c>
      <c r="K5" s="167" t="s">
        <v>176</v>
      </c>
      <c r="L5" s="169"/>
      <c r="S5" s="5" t="s">
        <v>11</v>
      </c>
    </row>
    <row r="6" spans="1:19" x14ac:dyDescent="0.25">
      <c r="A6" s="382"/>
      <c r="B6" s="382"/>
      <c r="C6" s="382"/>
      <c r="D6" s="382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177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178</v>
      </c>
      <c r="L7" s="169"/>
      <c r="M7" s="170" t="s">
        <v>182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179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180</v>
      </c>
      <c r="L9" s="169"/>
      <c r="M9" s="170" t="s">
        <v>182</v>
      </c>
      <c r="N9" s="4" t="s">
        <v>7</v>
      </c>
      <c r="O9" s="4" t="s">
        <v>33</v>
      </c>
      <c r="P9" s="4" t="s">
        <v>32</v>
      </c>
      <c r="S9" s="5" t="s">
        <v>190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181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182</v>
      </c>
      <c r="N11" s="4" t="s">
        <v>171</v>
      </c>
      <c r="O11" s="4" t="s">
        <v>172</v>
      </c>
      <c r="P11" s="4" t="s">
        <v>173</v>
      </c>
      <c r="Q11" s="4" t="s">
        <v>174</v>
      </c>
      <c r="S11" s="5" t="s">
        <v>191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217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217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236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218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235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232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233</v>
      </c>
    </row>
    <row r="23" spans="1:19" x14ac:dyDescent="0.25">
      <c r="A23" s="7"/>
      <c r="B23" s="8"/>
      <c r="C23" s="8"/>
      <c r="D23" s="8"/>
      <c r="E23" s="8"/>
      <c r="F23" s="8"/>
      <c r="S23" s="189" t="s">
        <v>234</v>
      </c>
    </row>
    <row r="24" spans="1:19" ht="21" x14ac:dyDescent="0.35">
      <c r="A24" s="389" t="s">
        <v>31</v>
      </c>
      <c r="B24" s="389"/>
      <c r="C24" s="389"/>
      <c r="D24" s="389"/>
      <c r="E24" s="389"/>
      <c r="F24" s="389"/>
      <c r="J24" s="4"/>
      <c r="K24" s="4"/>
      <c r="L24" s="170"/>
      <c r="S24" s="5" t="s">
        <v>26</v>
      </c>
    </row>
    <row r="25" spans="1:19" x14ac:dyDescent="0.25">
      <c r="S25" s="189" t="s">
        <v>219</v>
      </c>
    </row>
    <row r="26" spans="1:19" x14ac:dyDescent="0.25">
      <c r="A26" s="383" t="s">
        <v>2</v>
      </c>
      <c r="B26" s="381">
        <v>0.1</v>
      </c>
      <c r="C26" s="381">
        <v>0.18</v>
      </c>
      <c r="D26" s="384" t="s">
        <v>3</v>
      </c>
      <c r="E26" s="384"/>
      <c r="F26" s="384"/>
      <c r="S26" s="189" t="s">
        <v>237</v>
      </c>
    </row>
    <row r="27" spans="1:19" x14ac:dyDescent="0.25">
      <c r="A27" s="382"/>
      <c r="B27" s="382"/>
      <c r="C27" s="382"/>
      <c r="D27" s="4" t="s">
        <v>7</v>
      </c>
      <c r="E27" s="4" t="s">
        <v>33</v>
      </c>
      <c r="F27" s="4" t="s">
        <v>32</v>
      </c>
      <c r="H27" s="381">
        <v>7.0000000000000007E-2</v>
      </c>
      <c r="I27" s="381">
        <v>0.1</v>
      </c>
      <c r="J27" s="381">
        <v>0.18</v>
      </c>
      <c r="S27" s="189" t="s">
        <v>224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382"/>
      <c r="I28" s="382"/>
      <c r="J28" s="382"/>
      <c r="S28" s="189" t="s">
        <v>225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226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227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220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228</v>
      </c>
    </row>
    <row r="34" spans="1:19" x14ac:dyDescent="0.25">
      <c r="S34" s="5" t="s">
        <v>221</v>
      </c>
    </row>
    <row r="35" spans="1:19" ht="21" x14ac:dyDescent="0.35">
      <c r="A35" s="388" t="s">
        <v>34</v>
      </c>
      <c r="B35" s="388"/>
      <c r="C35" s="388"/>
      <c r="D35" s="388"/>
      <c r="E35" s="388"/>
      <c r="F35" s="388"/>
      <c r="S35" s="189" t="s">
        <v>229</v>
      </c>
    </row>
    <row r="36" spans="1:19" x14ac:dyDescent="0.25">
      <c r="S36" s="5" t="s">
        <v>222</v>
      </c>
    </row>
    <row r="37" spans="1:19" x14ac:dyDescent="0.25">
      <c r="A37" s="383" t="s">
        <v>2</v>
      </c>
      <c r="B37" s="381">
        <v>0.1</v>
      </c>
      <c r="C37" s="381">
        <v>0.18</v>
      </c>
      <c r="D37" s="384" t="s">
        <v>3</v>
      </c>
      <c r="E37" s="384"/>
      <c r="F37" s="384"/>
      <c r="S37" s="189" t="s">
        <v>230</v>
      </c>
    </row>
    <row r="38" spans="1:19" x14ac:dyDescent="0.25">
      <c r="A38" s="382"/>
      <c r="B38" s="382"/>
      <c r="C38" s="382"/>
      <c r="D38" s="4" t="s">
        <v>7</v>
      </c>
      <c r="E38" s="4" t="s">
        <v>33</v>
      </c>
      <c r="F38" s="4" t="s">
        <v>32</v>
      </c>
      <c r="S38" s="5" t="s">
        <v>223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231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385" t="s">
        <v>35</v>
      </c>
      <c r="B46" s="386"/>
      <c r="C46" s="386"/>
      <c r="D46" s="386"/>
      <c r="E46" s="386"/>
      <c r="F46" s="387"/>
    </row>
    <row r="50" spans="1:6" x14ac:dyDescent="0.25">
      <c r="B50" s="159" t="s">
        <v>167</v>
      </c>
      <c r="C50" s="377" t="s">
        <v>168</v>
      </c>
      <c r="D50" s="377"/>
      <c r="E50" s="378" t="s">
        <v>169</v>
      </c>
      <c r="F50" s="379"/>
    </row>
    <row r="51" spans="1:6" x14ac:dyDescent="0.25">
      <c r="B51" s="160" t="s">
        <v>170</v>
      </c>
      <c r="C51" s="4" t="s">
        <v>171</v>
      </c>
      <c r="D51" s="4" t="s">
        <v>172</v>
      </c>
      <c r="E51" s="4" t="s">
        <v>173</v>
      </c>
      <c r="F51" s="4" t="s">
        <v>174</v>
      </c>
    </row>
    <row r="52" spans="1:6" x14ac:dyDescent="0.25">
      <c r="A52" s="380" t="s">
        <v>175</v>
      </c>
      <c r="B52" s="380"/>
      <c r="F52" s="161"/>
    </row>
    <row r="53" spans="1:6" x14ac:dyDescent="0.25">
      <c r="A53" s="162"/>
      <c r="B53" s="163" t="s">
        <v>176</v>
      </c>
      <c r="C53" s="164"/>
      <c r="D53" s="164"/>
      <c r="E53" s="164"/>
      <c r="F53" s="164"/>
    </row>
    <row r="54" spans="1:6" x14ac:dyDescent="0.25">
      <c r="A54" s="162"/>
      <c r="B54" s="163" t="s">
        <v>177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178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179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180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181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O2941"/>
  <sheetViews>
    <sheetView tabSelected="1" topLeftCell="A37" zoomScaleNormal="100" workbookViewId="0">
      <selection activeCell="V69" sqref="V69"/>
    </sheetView>
  </sheetViews>
  <sheetFormatPr defaultRowHeight="15" x14ac:dyDescent="0.25"/>
  <cols>
    <col min="1" max="1" width="16.28515625" style="230" bestFit="1" customWidth="1"/>
    <col min="2" max="2" width="16.7109375" style="230" bestFit="1" customWidth="1"/>
    <col min="3" max="3" width="12" style="230" bestFit="1" customWidth="1"/>
    <col min="4" max="4" width="11.140625" style="230" customWidth="1"/>
    <col min="5" max="5" width="11.7109375" style="230" customWidth="1"/>
    <col min="6" max="7" width="9.7109375" style="230" customWidth="1"/>
    <col min="8" max="8" width="14.85546875" style="230" bestFit="1" customWidth="1"/>
    <col min="9" max="9" width="10.5703125" style="230" hidden="1" customWidth="1"/>
    <col min="10" max="10" width="0.140625" style="230" customWidth="1"/>
    <col min="11" max="11" width="3.85546875" style="230" hidden="1" customWidth="1"/>
    <col min="12" max="12" width="12.7109375" style="230" bestFit="1" customWidth="1"/>
    <col min="13" max="13" width="13.28515625" style="230" bestFit="1" customWidth="1"/>
    <col min="14" max="14" width="11.7109375" style="230" customWidth="1"/>
    <col min="15" max="16" width="9.7109375" style="230" customWidth="1"/>
    <col min="17" max="17" width="9.7109375" style="230" bestFit="1" customWidth="1"/>
    <col min="18" max="18" width="8.140625" style="230" bestFit="1" customWidth="1"/>
    <col min="19" max="19" width="12.7109375" style="230" bestFit="1" customWidth="1"/>
    <col min="20" max="21" width="12.140625" style="230" bestFit="1" customWidth="1"/>
    <col min="22" max="22" width="10.5703125" style="230" customWidth="1"/>
    <col min="23" max="23" width="0.28515625" style="230" hidden="1" customWidth="1"/>
    <col min="24" max="24" width="0.140625" style="230" customWidth="1"/>
    <col min="25" max="25" width="17.7109375" style="230" customWidth="1"/>
    <col min="26" max="26" width="21.7109375" style="230" bestFit="1" customWidth="1"/>
    <col min="27" max="27" width="10.7109375" style="236" bestFit="1" customWidth="1"/>
    <col min="28" max="28" width="5.85546875" style="236" bestFit="1" customWidth="1"/>
    <col min="29" max="29" width="10" style="230" customWidth="1"/>
    <col min="30" max="30" width="10.42578125" style="230" customWidth="1"/>
    <col min="31" max="31" width="7.7109375" style="230" customWidth="1"/>
    <col min="32" max="32" width="2" style="230" bestFit="1" customWidth="1"/>
    <col min="33" max="33" width="5" style="230" bestFit="1" customWidth="1"/>
    <col min="34" max="34" width="13.42578125" style="230" customWidth="1"/>
    <col min="35" max="38" width="12.28515625" style="230" customWidth="1"/>
    <col min="39" max="39" width="6.42578125" style="230" customWidth="1"/>
    <col min="40" max="40" width="3" style="230" bestFit="1" customWidth="1"/>
    <col min="41" max="41" width="5" style="230" bestFit="1" customWidth="1"/>
    <col min="42" max="16384" width="9.140625" style="230"/>
  </cols>
  <sheetData>
    <row r="1" spans="1:41" x14ac:dyDescent="0.25">
      <c r="C1" s="237"/>
    </row>
    <row r="2" spans="1:41" ht="28.5" x14ac:dyDescent="0.45">
      <c r="F2" s="373" t="s">
        <v>329</v>
      </c>
      <c r="G2" s="374"/>
      <c r="H2" s="374"/>
      <c r="I2" s="374"/>
      <c r="J2" s="374"/>
      <c r="K2" s="374"/>
      <c r="L2" s="374"/>
      <c r="M2" s="374"/>
    </row>
    <row r="3" spans="1:41" customFormat="1" ht="15.75" thickBot="1" x14ac:dyDescent="0.3">
      <c r="Y3" s="340" t="s">
        <v>337</v>
      </c>
      <c r="AA3" s="229"/>
      <c r="AB3" s="229"/>
    </row>
    <row r="4" spans="1:41" customFormat="1" ht="19.5" thickBot="1" x14ac:dyDescent="0.35">
      <c r="A4" s="11"/>
      <c r="B4" s="11"/>
      <c r="C4" s="11"/>
      <c r="D4" s="366"/>
      <c r="E4" s="357" t="s">
        <v>256</v>
      </c>
      <c r="F4" s="356"/>
      <c r="G4" s="356"/>
      <c r="H4" s="358"/>
      <c r="I4" s="366"/>
      <c r="J4" s="11"/>
      <c r="K4" s="11"/>
      <c r="L4" s="11"/>
      <c r="M4" s="11"/>
      <c r="N4" s="363" t="s">
        <v>259</v>
      </c>
      <c r="O4" s="364"/>
      <c r="P4" s="364"/>
      <c r="Q4" s="365"/>
      <c r="R4" s="11"/>
      <c r="S4" s="11"/>
      <c r="T4" s="11"/>
      <c r="U4" s="11"/>
      <c r="V4" s="11"/>
      <c r="W4" s="11"/>
      <c r="Y4" s="341" t="s">
        <v>238</v>
      </c>
      <c r="Z4" s="342" t="s">
        <v>215</v>
      </c>
      <c r="AA4" s="343"/>
      <c r="AB4" s="343"/>
    </row>
    <row r="5" spans="1:41" customFormat="1" ht="111" thickBot="1" x14ac:dyDescent="0.3">
      <c r="A5" s="344" t="s">
        <v>248</v>
      </c>
      <c r="B5" s="345" t="s">
        <v>37</v>
      </c>
      <c r="C5" s="346" t="str">
        <f>IF(C2854=C2908,"Kg","ERRORE KG")</f>
        <v>ERRORE KG</v>
      </c>
      <c r="D5" s="367" t="s">
        <v>39</v>
      </c>
      <c r="E5" s="369" t="s">
        <v>257</v>
      </c>
      <c r="F5" s="370" t="s">
        <v>258</v>
      </c>
      <c r="G5" s="370" t="s">
        <v>253</v>
      </c>
      <c r="H5" s="371" t="s">
        <v>51</v>
      </c>
      <c r="I5" s="368" t="s">
        <v>52</v>
      </c>
      <c r="J5" s="347" t="s">
        <v>254</v>
      </c>
      <c r="K5" s="347" t="s">
        <v>253</v>
      </c>
      <c r="L5" s="347" t="s">
        <v>42</v>
      </c>
      <c r="M5" s="348" t="s">
        <v>48</v>
      </c>
      <c r="N5" s="360" t="s">
        <v>257</v>
      </c>
      <c r="O5" s="361" t="s">
        <v>258</v>
      </c>
      <c r="P5" s="361" t="s">
        <v>253</v>
      </c>
      <c r="Q5" s="362" t="s">
        <v>46</v>
      </c>
      <c r="R5" s="359" t="s">
        <v>250</v>
      </c>
      <c r="S5" s="348" t="s">
        <v>267</v>
      </c>
      <c r="T5" s="348" t="s">
        <v>251</v>
      </c>
      <c r="U5" s="348" t="s">
        <v>252</v>
      </c>
      <c r="V5" s="349" t="s">
        <v>213</v>
      </c>
      <c r="W5" s="94" t="s">
        <v>47</v>
      </c>
      <c r="X5" s="20" t="s">
        <v>120</v>
      </c>
      <c r="Y5" s="350">
        <f>SUMIF(Y7:Y2853,"OK",U7:U2853)</f>
        <v>1707.7799</v>
      </c>
      <c r="Z5" s="351">
        <f>SUMIF(Y7:Y2853,"OK",C7:C2853)</f>
        <v>5030.380000000001</v>
      </c>
      <c r="AA5" s="352"/>
      <c r="AB5" s="352"/>
      <c r="AH5" s="78">
        <f>+Y5</f>
        <v>1707.7799</v>
      </c>
      <c r="AI5" s="78"/>
      <c r="AJ5" s="78"/>
      <c r="AK5" s="78"/>
      <c r="AL5" s="78"/>
    </row>
    <row r="6" spans="1:41" customFormat="1" ht="15.75" x14ac:dyDescent="0.25">
      <c r="A6" s="224"/>
      <c r="B6" s="225"/>
      <c r="C6" s="399"/>
      <c r="D6" s="226"/>
      <c r="E6" s="404"/>
      <c r="F6" s="404"/>
      <c r="G6" s="404"/>
      <c r="H6" s="407">
        <f>ROUND(+E6+F6+G6,4)</f>
        <v>0</v>
      </c>
      <c r="I6" s="227"/>
      <c r="J6" s="410"/>
      <c r="K6" s="410"/>
      <c r="L6" s="413"/>
      <c r="M6" s="413">
        <f>ROUND(+L6*C6,4)</f>
        <v>0</v>
      </c>
      <c r="N6" s="417"/>
      <c r="O6" s="417"/>
      <c r="P6" s="417"/>
      <c r="Q6" s="418">
        <f>ROUND(+N6+O6+P6,4)</f>
        <v>0</v>
      </c>
      <c r="R6" s="421">
        <f>ROUND(IF(+Q6-H6&lt;=0,0,Q6-H6),4)</f>
        <v>0</v>
      </c>
      <c r="S6" s="422"/>
      <c r="T6" s="421">
        <f>ROUND(+(R6*C6)*S6,4)</f>
        <v>0</v>
      </c>
      <c r="U6" s="421">
        <f>ROUND(+J6+M6+T6,4)</f>
        <v>0</v>
      </c>
      <c r="V6" s="228"/>
      <c r="AA6" s="229"/>
      <c r="AB6" s="229"/>
      <c r="AN6">
        <f>IF(V6="",0,MONTH(V6))</f>
        <v>0</v>
      </c>
      <c r="AO6">
        <f>IF(V6="",0,YEAR(V6))</f>
        <v>0</v>
      </c>
    </row>
    <row r="7" spans="1:41" ht="15.75" x14ac:dyDescent="0.25">
      <c r="A7" s="231" t="s">
        <v>341</v>
      </c>
      <c r="B7" s="232" t="s">
        <v>302</v>
      </c>
      <c r="C7" s="400">
        <v>750</v>
      </c>
      <c r="D7" s="233" t="s">
        <v>4</v>
      </c>
      <c r="E7" s="405"/>
      <c r="F7" s="405">
        <v>5</v>
      </c>
      <c r="G7" s="405">
        <v>0.05</v>
      </c>
      <c r="H7" s="408">
        <f>ROUND(+E7+F7+G7,4)</f>
        <v>5.05</v>
      </c>
      <c r="I7" s="234"/>
      <c r="J7" s="411"/>
      <c r="K7" s="411"/>
      <c r="L7" s="414">
        <v>0.1</v>
      </c>
      <c r="M7" s="414">
        <f>ROUND(+L7*C7,4)</f>
        <v>75</v>
      </c>
      <c r="N7" s="414"/>
      <c r="O7" s="414">
        <v>5.45</v>
      </c>
      <c r="P7" s="414">
        <v>0.05</v>
      </c>
      <c r="Q7" s="419">
        <f>ROUND(+N7+O7+P7,4)</f>
        <v>5.5</v>
      </c>
      <c r="R7" s="419">
        <f>ROUND(IF(+Q7-H7&lt;=0,0,Q7-H7),4)</f>
        <v>0.45</v>
      </c>
      <c r="S7" s="423">
        <v>0.5</v>
      </c>
      <c r="T7" s="419">
        <f>ROUND(+(R7*C7)*S7,4)</f>
        <v>168.75</v>
      </c>
      <c r="U7" s="419">
        <f>ROUND(+J7+M7+T7,4)</f>
        <v>243.75</v>
      </c>
      <c r="V7" s="235">
        <v>46203</v>
      </c>
      <c r="AN7" s="230">
        <f t="shared" ref="AN7:AN8" si="0">IF(V7="",0,MONTH(V7))</f>
        <v>6</v>
      </c>
      <c r="AO7" s="230">
        <f t="shared" ref="AO7:AO2798" si="1">IF(V7="",0,YEAR(V7))</f>
        <v>2026</v>
      </c>
    </row>
    <row r="8" spans="1:41" ht="15.75" x14ac:dyDescent="0.25">
      <c r="A8" s="231" t="s">
        <v>341</v>
      </c>
      <c r="B8" s="232" t="s">
        <v>302</v>
      </c>
      <c r="C8" s="400">
        <v>750</v>
      </c>
      <c r="D8" s="233" t="s">
        <v>4</v>
      </c>
      <c r="E8" s="405"/>
      <c r="F8" s="405">
        <v>5</v>
      </c>
      <c r="G8" s="405">
        <v>0.05</v>
      </c>
      <c r="H8" s="408">
        <f>ROUND(+E8+F8+G8,4)</f>
        <v>5.05</v>
      </c>
      <c r="I8" s="234"/>
      <c r="J8" s="411"/>
      <c r="K8" s="411"/>
      <c r="L8" s="414">
        <v>0.1</v>
      </c>
      <c r="M8" s="414">
        <f>ROUND(+L8*C8,4)</f>
        <v>75</v>
      </c>
      <c r="N8" s="414"/>
      <c r="O8" s="414">
        <v>5.45</v>
      </c>
      <c r="P8" s="414">
        <v>0.05</v>
      </c>
      <c r="Q8" s="419">
        <f>ROUND(+N8+O8+P8,4)</f>
        <v>5.5</v>
      </c>
      <c r="R8" s="419">
        <f>ROUND(IF(+Q8-H8&lt;=0,0,Q8-H8),4)</f>
        <v>0.45</v>
      </c>
      <c r="S8" s="423">
        <v>0.5</v>
      </c>
      <c r="T8" s="419">
        <f>ROUND(+(R8*C8)*S8,4)</f>
        <v>168.75</v>
      </c>
      <c r="U8" s="419">
        <f>ROUND(+J8+M8+T8,4)</f>
        <v>243.75</v>
      </c>
      <c r="V8" s="235">
        <v>46203</v>
      </c>
      <c r="AN8" s="230">
        <f t="shared" si="0"/>
        <v>6</v>
      </c>
      <c r="AO8" s="230">
        <f t="shared" si="1"/>
        <v>2026</v>
      </c>
    </row>
    <row r="9" spans="1:41" ht="15.75" x14ac:dyDescent="0.25">
      <c r="A9" s="231" t="s">
        <v>341</v>
      </c>
      <c r="B9" s="232" t="s">
        <v>302</v>
      </c>
      <c r="C9" s="400">
        <v>750</v>
      </c>
      <c r="D9" s="233" t="s">
        <v>4</v>
      </c>
      <c r="E9" s="405"/>
      <c r="F9" s="405">
        <v>5</v>
      </c>
      <c r="G9" s="405">
        <v>0.05</v>
      </c>
      <c r="H9" s="408">
        <f>ROUND(+E9+F9+G9,4)</f>
        <v>5.05</v>
      </c>
      <c r="I9" s="234"/>
      <c r="J9" s="411"/>
      <c r="K9" s="411"/>
      <c r="L9" s="414">
        <v>0.1</v>
      </c>
      <c r="M9" s="414">
        <f>ROUND(+L9*C9,4)</f>
        <v>75</v>
      </c>
      <c r="N9" s="414"/>
      <c r="O9" s="414">
        <v>5.45</v>
      </c>
      <c r="P9" s="414">
        <v>0.05</v>
      </c>
      <c r="Q9" s="419">
        <f>ROUND(+N9+O9+P9,4)</f>
        <v>5.5</v>
      </c>
      <c r="R9" s="419">
        <f>ROUND(IF(+Q9-H9&lt;=0,0,Q9-H9),4)</f>
        <v>0.45</v>
      </c>
      <c r="S9" s="423">
        <v>0.5</v>
      </c>
      <c r="T9" s="419">
        <f>ROUND(+(R9*C9)*S9,4)</f>
        <v>168.75</v>
      </c>
      <c r="U9" s="419">
        <f>ROUND(+J9+M9+T9,4)</f>
        <v>243.75</v>
      </c>
      <c r="V9" s="235">
        <v>46203</v>
      </c>
      <c r="AN9" s="230">
        <f t="shared" ref="AN9:AN12" si="2">IF(V9="",0,MONTH(V9))</f>
        <v>6</v>
      </c>
      <c r="AO9" s="230">
        <f t="shared" ref="AO9:AO12" si="3">IF(V9="",0,YEAR(V9))</f>
        <v>2026</v>
      </c>
    </row>
    <row r="10" spans="1:41" ht="15.75" x14ac:dyDescent="0.25">
      <c r="A10" s="231" t="s">
        <v>326</v>
      </c>
      <c r="B10" s="232" t="s">
        <v>302</v>
      </c>
      <c r="C10" s="400">
        <v>500</v>
      </c>
      <c r="D10" s="233" t="s">
        <v>4</v>
      </c>
      <c r="E10" s="405"/>
      <c r="F10" s="405">
        <v>5.98</v>
      </c>
      <c r="G10" s="405">
        <v>0.05</v>
      </c>
      <c r="H10" s="408">
        <f>ROUND(+E10+F10+G10,4)</f>
        <v>6.03</v>
      </c>
      <c r="I10" s="234"/>
      <c r="J10" s="411"/>
      <c r="K10" s="411"/>
      <c r="L10" s="414">
        <v>0.1</v>
      </c>
      <c r="M10" s="414">
        <f>ROUND(+L10*C10,4)</f>
        <v>50</v>
      </c>
      <c r="N10" s="414"/>
      <c r="O10" s="414">
        <v>6.55</v>
      </c>
      <c r="P10" s="414">
        <v>0.05</v>
      </c>
      <c r="Q10" s="419">
        <f>ROUND(+N10+O10+P10,4)</f>
        <v>6.6</v>
      </c>
      <c r="R10" s="419">
        <f>ROUND(IF(+Q10-H10&lt;=0,0,Q10-H10),4)</f>
        <v>0.56999999999999995</v>
      </c>
      <c r="S10" s="423">
        <v>0.5</v>
      </c>
      <c r="T10" s="419">
        <f>ROUND(+(R10*C10)*S10,4)</f>
        <v>142.5</v>
      </c>
      <c r="U10" s="419">
        <f>ROUND(+J10+M10+T10,4)</f>
        <v>192.5</v>
      </c>
      <c r="V10" s="235">
        <v>46127</v>
      </c>
      <c r="AN10" s="230">
        <f t="shared" si="2"/>
        <v>4</v>
      </c>
      <c r="AO10" s="230">
        <f t="shared" si="3"/>
        <v>2026</v>
      </c>
    </row>
    <row r="11" spans="1:41" ht="15.75" x14ac:dyDescent="0.25">
      <c r="A11" s="231" t="s">
        <v>326</v>
      </c>
      <c r="B11" s="232" t="s">
        <v>302</v>
      </c>
      <c r="C11" s="400">
        <v>500</v>
      </c>
      <c r="D11" s="233" t="s">
        <v>4</v>
      </c>
      <c r="E11" s="405"/>
      <c r="F11" s="405">
        <v>5.98</v>
      </c>
      <c r="G11" s="405">
        <v>0.05</v>
      </c>
      <c r="H11" s="408">
        <f>ROUND(+E11+F11+G11,4)</f>
        <v>6.03</v>
      </c>
      <c r="I11" s="234"/>
      <c r="J11" s="411"/>
      <c r="K11" s="411"/>
      <c r="L11" s="414">
        <v>0.1</v>
      </c>
      <c r="M11" s="414">
        <f>ROUND(+L11*C11,4)</f>
        <v>50</v>
      </c>
      <c r="N11" s="414"/>
      <c r="O11" s="414">
        <v>6.55</v>
      </c>
      <c r="P11" s="414">
        <v>0.05</v>
      </c>
      <c r="Q11" s="419">
        <f>ROUND(+N11+O11+P11,4)</f>
        <v>6.6</v>
      </c>
      <c r="R11" s="419">
        <f>ROUND(IF(+Q11-H11&lt;=0,0,Q11-H11),4)</f>
        <v>0.56999999999999995</v>
      </c>
      <c r="S11" s="423">
        <v>0.5</v>
      </c>
      <c r="T11" s="419">
        <f>ROUND(+(R11*C11)*S11,4)</f>
        <v>142.5</v>
      </c>
      <c r="U11" s="419">
        <f>ROUND(+J11+M11+T11,4)</f>
        <v>192.5</v>
      </c>
      <c r="V11" s="235">
        <v>46325</v>
      </c>
      <c r="AN11" s="230">
        <f t="shared" si="2"/>
        <v>10</v>
      </c>
      <c r="AO11" s="230">
        <f t="shared" si="3"/>
        <v>2026</v>
      </c>
    </row>
    <row r="12" spans="1:41" ht="15.75" x14ac:dyDescent="0.25">
      <c r="A12" s="231"/>
      <c r="B12" s="375" t="s">
        <v>255</v>
      </c>
      <c r="C12" s="401">
        <v>1222</v>
      </c>
      <c r="D12" s="233" t="s">
        <v>6</v>
      </c>
      <c r="E12" s="405"/>
      <c r="F12" s="405">
        <v>11.65</v>
      </c>
      <c r="G12" s="405"/>
      <c r="H12" s="408">
        <f>ROUND(+E12+F12+G12,4)</f>
        <v>11.65</v>
      </c>
      <c r="I12" s="234"/>
      <c r="J12" s="411"/>
      <c r="K12" s="411"/>
      <c r="L12" s="414">
        <v>0.1</v>
      </c>
      <c r="M12" s="414">
        <f>ROUND(+L12*C12,4)</f>
        <v>122.2</v>
      </c>
      <c r="N12" s="414"/>
      <c r="O12" s="414">
        <v>11.84</v>
      </c>
      <c r="P12" s="414"/>
      <c r="Q12" s="419">
        <f>ROUND(+N12+O12+P12,4)</f>
        <v>11.84</v>
      </c>
      <c r="R12" s="419">
        <f>ROUND(IF(+Q12-H12&lt;=0,0,Q12-H12),4)</f>
        <v>0.19</v>
      </c>
      <c r="S12" s="423">
        <v>0.5</v>
      </c>
      <c r="T12" s="419">
        <f>ROUND(+(R12*C12)*S12,4)</f>
        <v>116.09</v>
      </c>
      <c r="U12" s="425">
        <f>ROUND(+J12+M12+T12,4)</f>
        <v>238.29</v>
      </c>
      <c r="V12" s="235"/>
      <c r="Z12" s="230" t="s">
        <v>336</v>
      </c>
      <c r="AN12" s="230">
        <f t="shared" si="2"/>
        <v>0</v>
      </c>
      <c r="AO12" s="230">
        <f t="shared" si="3"/>
        <v>0</v>
      </c>
    </row>
    <row r="13" spans="1:41" ht="15.75" x14ac:dyDescent="0.25">
      <c r="A13" s="231" t="s">
        <v>331</v>
      </c>
      <c r="B13" s="232" t="s">
        <v>270</v>
      </c>
      <c r="C13" s="400">
        <v>200</v>
      </c>
      <c r="D13" s="233" t="s">
        <v>4</v>
      </c>
      <c r="E13" s="405"/>
      <c r="F13" s="405">
        <v>5.0999999999999996</v>
      </c>
      <c r="G13" s="405"/>
      <c r="H13" s="408">
        <f>ROUND(+E13+F13+G13,4)</f>
        <v>5.0999999999999996</v>
      </c>
      <c r="I13" s="234"/>
      <c r="J13" s="411"/>
      <c r="K13" s="411"/>
      <c r="L13" s="414">
        <v>0.1</v>
      </c>
      <c r="M13" s="414">
        <f>ROUND(+L13*C13,4)</f>
        <v>20</v>
      </c>
      <c r="N13" s="414"/>
      <c r="O13" s="414">
        <v>5.4</v>
      </c>
      <c r="P13" s="414"/>
      <c r="Q13" s="419">
        <f>ROUND(+N13+O13+P13,4)</f>
        <v>5.4</v>
      </c>
      <c r="R13" s="419">
        <f>ROUND(IF(+Q13-H13&lt;=0,0,Q13-H13),4)</f>
        <v>0.3</v>
      </c>
      <c r="S13" s="423">
        <v>0.5</v>
      </c>
      <c r="T13" s="419">
        <f>ROUND(+(R13*C13)*S13,4)</f>
        <v>30</v>
      </c>
      <c r="U13" s="419">
        <f>ROUND(+J13+M13+T13,4)</f>
        <v>50</v>
      </c>
      <c r="V13" s="235">
        <v>46157</v>
      </c>
      <c r="AN13" s="230">
        <f t="shared" ref="AN13:AN14" si="4">IF(V13="",0,MONTH(V13))</f>
        <v>5</v>
      </c>
      <c r="AO13" s="230">
        <f t="shared" ref="AO13:AO14" si="5">IF(V13="",0,YEAR(V13))</f>
        <v>2026</v>
      </c>
    </row>
    <row r="14" spans="1:41" ht="15.75" x14ac:dyDescent="0.25">
      <c r="A14" s="231" t="s">
        <v>330</v>
      </c>
      <c r="B14" s="232" t="s">
        <v>323</v>
      </c>
      <c r="C14" s="400">
        <v>500</v>
      </c>
      <c r="D14" s="233" t="s">
        <v>4</v>
      </c>
      <c r="E14" s="405"/>
      <c r="F14" s="405">
        <v>5.0999999999999996</v>
      </c>
      <c r="G14" s="405"/>
      <c r="H14" s="408">
        <f>ROUND(+E14+F14+G14,4)</f>
        <v>5.0999999999999996</v>
      </c>
      <c r="I14" s="234"/>
      <c r="J14" s="411"/>
      <c r="K14" s="411"/>
      <c r="L14" s="414">
        <v>0.1</v>
      </c>
      <c r="M14" s="414">
        <f>ROUND(+L14*C14,4)</f>
        <v>50</v>
      </c>
      <c r="N14" s="414"/>
      <c r="O14" s="414">
        <v>5.65</v>
      </c>
      <c r="P14" s="414"/>
      <c r="Q14" s="419">
        <f>ROUND(+N14+O14+P14,4)</f>
        <v>5.65</v>
      </c>
      <c r="R14" s="419">
        <f>ROUND(IF(+Q14-H14&lt;=0,0,Q14-H14),4)</f>
        <v>0.55000000000000004</v>
      </c>
      <c r="S14" s="423">
        <v>0.5</v>
      </c>
      <c r="T14" s="419">
        <f>ROUND(+(R14*C14)*S14,4)</f>
        <v>137.5</v>
      </c>
      <c r="U14" s="419">
        <f>ROUND(+J14+M14+T14,4)</f>
        <v>187.5</v>
      </c>
      <c r="V14" s="235">
        <v>46150</v>
      </c>
      <c r="AN14" s="230">
        <f t="shared" si="4"/>
        <v>5</v>
      </c>
      <c r="AO14" s="230">
        <f t="shared" si="5"/>
        <v>2026</v>
      </c>
    </row>
    <row r="15" spans="1:41" ht="15.75" x14ac:dyDescent="0.25">
      <c r="A15" s="231" t="s">
        <v>332</v>
      </c>
      <c r="B15" s="232" t="s">
        <v>270</v>
      </c>
      <c r="C15" s="400">
        <v>700</v>
      </c>
      <c r="D15" s="233" t="s">
        <v>4</v>
      </c>
      <c r="E15" s="405"/>
      <c r="F15" s="405">
        <v>5.0999999999999996</v>
      </c>
      <c r="G15" s="405"/>
      <c r="H15" s="408">
        <f>ROUND(+E15+F15+G15,4)</f>
        <v>5.0999999999999996</v>
      </c>
      <c r="I15" s="234"/>
      <c r="J15" s="411"/>
      <c r="K15" s="411"/>
      <c r="L15" s="414">
        <v>0.1</v>
      </c>
      <c r="M15" s="414">
        <f>ROUND(+L15*C15,4)</f>
        <v>70</v>
      </c>
      <c r="N15" s="414"/>
      <c r="O15" s="414">
        <v>5.6</v>
      </c>
      <c r="P15" s="414"/>
      <c r="Q15" s="419">
        <f>ROUND(+N15+O15+P15,4)</f>
        <v>5.6</v>
      </c>
      <c r="R15" s="419">
        <f>ROUND(IF(+Q15-H15&lt;=0,0,Q15-H15),4)</f>
        <v>0.5</v>
      </c>
      <c r="S15" s="423">
        <v>0.5</v>
      </c>
      <c r="T15" s="419">
        <f>ROUND(+(R15*C15)*S15,4)</f>
        <v>175</v>
      </c>
      <c r="U15" s="419">
        <f>ROUND(+J15+M15+T15,4)</f>
        <v>245</v>
      </c>
      <c r="V15" s="235">
        <v>46150</v>
      </c>
      <c r="AN15" s="230">
        <f t="shared" ref="AN15:AN44" si="6">IF(V15="",0,MONTH(V15))</f>
        <v>5</v>
      </c>
      <c r="AO15" s="230">
        <f t="shared" ref="AO15:AO44" si="7">IF(V15="",0,YEAR(V15))</f>
        <v>2026</v>
      </c>
    </row>
    <row r="16" spans="1:41" ht="15.75" x14ac:dyDescent="0.25">
      <c r="A16" s="231" t="s">
        <v>333</v>
      </c>
      <c r="B16" s="232" t="s">
        <v>263</v>
      </c>
      <c r="C16" s="400">
        <v>1200</v>
      </c>
      <c r="D16" s="233" t="s">
        <v>6</v>
      </c>
      <c r="E16" s="405">
        <v>4.08</v>
      </c>
      <c r="F16" s="405">
        <v>11.69</v>
      </c>
      <c r="G16" s="405">
        <v>0.05</v>
      </c>
      <c r="H16" s="408">
        <f>ROUND(+E16+F16+G16,4)</f>
        <v>15.82</v>
      </c>
      <c r="I16" s="234"/>
      <c r="J16" s="411"/>
      <c r="K16" s="411"/>
      <c r="L16" s="414">
        <v>0.1</v>
      </c>
      <c r="M16" s="414">
        <f>ROUND(+L16*C16,4)</f>
        <v>120</v>
      </c>
      <c r="N16" s="414">
        <v>5.07</v>
      </c>
      <c r="O16" s="414">
        <v>11.03</v>
      </c>
      <c r="P16" s="414">
        <v>0.05</v>
      </c>
      <c r="Q16" s="419">
        <f>ROUND(+N16+O16+P16,4)</f>
        <v>16.149999999999999</v>
      </c>
      <c r="R16" s="419">
        <f>ROUND(IF(+Q16-H16&lt;=0,0,Q16-H16),4)</f>
        <v>0.33</v>
      </c>
      <c r="S16" s="423">
        <v>0.5</v>
      </c>
      <c r="T16" s="419">
        <f>ROUND(+(R16*C16)*S16,4)</f>
        <v>198</v>
      </c>
      <c r="U16" s="419">
        <f>ROUND(+J16+M16+T16,4)</f>
        <v>318</v>
      </c>
      <c r="V16" s="235">
        <v>46144</v>
      </c>
      <c r="AN16" s="230">
        <f t="shared" si="6"/>
        <v>5</v>
      </c>
      <c r="AO16" s="230">
        <f t="shared" si="7"/>
        <v>2026</v>
      </c>
    </row>
    <row r="17" spans="1:41" ht="15.75" x14ac:dyDescent="0.25">
      <c r="A17" s="231" t="s">
        <v>335</v>
      </c>
      <c r="B17" s="232" t="s">
        <v>323</v>
      </c>
      <c r="C17" s="400">
        <v>60</v>
      </c>
      <c r="D17" s="233" t="s">
        <v>6</v>
      </c>
      <c r="E17" s="405">
        <v>1.27</v>
      </c>
      <c r="F17" s="405">
        <v>11.69</v>
      </c>
      <c r="G17" s="405"/>
      <c r="H17" s="408">
        <f>ROUND(+E17+F17+G17,4)</f>
        <v>12.96</v>
      </c>
      <c r="I17" s="234"/>
      <c r="J17" s="411"/>
      <c r="K17" s="411"/>
      <c r="L17" s="414">
        <v>0.1</v>
      </c>
      <c r="M17" s="414">
        <f>ROUND(+L17*C17,4)</f>
        <v>6</v>
      </c>
      <c r="N17" s="414">
        <v>1.94</v>
      </c>
      <c r="O17" s="414">
        <v>11.69</v>
      </c>
      <c r="P17" s="414"/>
      <c r="Q17" s="419">
        <f>ROUND(+N17+O17+P17,4)</f>
        <v>13.63</v>
      </c>
      <c r="R17" s="419">
        <f>ROUND(IF(+Q17-H17&lt;=0,0,Q17-H17),4)</f>
        <v>0.67</v>
      </c>
      <c r="S17" s="423">
        <v>0.5</v>
      </c>
      <c r="T17" s="419">
        <f>ROUND(+(R17*C17)*S17,4)</f>
        <v>20.100000000000001</v>
      </c>
      <c r="U17" s="419">
        <f>ROUND(+J17+M17+T17,4)</f>
        <v>26.1</v>
      </c>
      <c r="V17" s="235">
        <v>46153</v>
      </c>
      <c r="AN17" s="230">
        <f t="shared" si="6"/>
        <v>5</v>
      </c>
      <c r="AO17" s="230">
        <f t="shared" si="7"/>
        <v>2026</v>
      </c>
    </row>
    <row r="18" spans="1:41" ht="15.75" x14ac:dyDescent="0.25">
      <c r="A18" s="231" t="s">
        <v>335</v>
      </c>
      <c r="B18" s="232" t="s">
        <v>323</v>
      </c>
      <c r="C18" s="400">
        <v>60</v>
      </c>
      <c r="D18" s="233" t="s">
        <v>6</v>
      </c>
      <c r="E18" s="405">
        <v>1.1399999999999999</v>
      </c>
      <c r="F18" s="405">
        <v>11.69</v>
      </c>
      <c r="G18" s="405"/>
      <c r="H18" s="408">
        <f>ROUND(+E18+F18+G18,4)</f>
        <v>12.83</v>
      </c>
      <c r="I18" s="234"/>
      <c r="J18" s="411"/>
      <c r="K18" s="411"/>
      <c r="L18" s="414">
        <v>0.1</v>
      </c>
      <c r="M18" s="414">
        <f>ROUND(+L18*C18,4)</f>
        <v>6</v>
      </c>
      <c r="N18" s="414">
        <v>1.87</v>
      </c>
      <c r="O18" s="414">
        <v>11.69</v>
      </c>
      <c r="P18" s="414"/>
      <c r="Q18" s="419">
        <f>ROUND(+N18+O18+P18,4)</f>
        <v>13.56</v>
      </c>
      <c r="R18" s="419">
        <f>ROUND(IF(+Q18-H18&lt;=0,0,Q18-H18),4)</f>
        <v>0.73</v>
      </c>
      <c r="S18" s="423">
        <v>0.5</v>
      </c>
      <c r="T18" s="419">
        <f>ROUND(+(R18*C18)*S18,4)</f>
        <v>21.9</v>
      </c>
      <c r="U18" s="419">
        <f>ROUND(+J18+M18+T18,4)</f>
        <v>27.9</v>
      </c>
      <c r="V18" s="235">
        <v>46178</v>
      </c>
      <c r="AN18" s="230">
        <f t="shared" si="6"/>
        <v>6</v>
      </c>
      <c r="AO18" s="230">
        <f t="shared" si="7"/>
        <v>2026</v>
      </c>
    </row>
    <row r="19" spans="1:41" ht="15.75" x14ac:dyDescent="0.25">
      <c r="A19" s="231" t="s">
        <v>334</v>
      </c>
      <c r="B19" s="232" t="s">
        <v>302</v>
      </c>
      <c r="C19" s="400">
        <v>2100</v>
      </c>
      <c r="D19" s="233" t="s">
        <v>4</v>
      </c>
      <c r="E19" s="405"/>
      <c r="F19" s="405">
        <v>5.0999999999999996</v>
      </c>
      <c r="G19" s="405">
        <v>0.05</v>
      </c>
      <c r="H19" s="408">
        <f>ROUND(+E19+F19+G19,4)</f>
        <v>5.15</v>
      </c>
      <c r="I19" s="234"/>
      <c r="J19" s="411"/>
      <c r="K19" s="411"/>
      <c r="L19" s="414">
        <v>0.1</v>
      </c>
      <c r="M19" s="414">
        <f>ROUND(+L19*C19,4)</f>
        <v>210</v>
      </c>
      <c r="N19" s="414"/>
      <c r="O19" s="414">
        <v>5.5</v>
      </c>
      <c r="P19" s="414">
        <v>0.05</v>
      </c>
      <c r="Q19" s="419">
        <f>ROUND(+N19+O19+P19,4)</f>
        <v>5.55</v>
      </c>
      <c r="R19" s="419">
        <f>ROUND(IF(+Q19-H19&lt;=0,0,Q19-H19),4)</f>
        <v>0.4</v>
      </c>
      <c r="S19" s="423">
        <v>0.5</v>
      </c>
      <c r="T19" s="419">
        <f>ROUND(+(R19*C19)*S19,4)</f>
        <v>420</v>
      </c>
      <c r="U19" s="419">
        <f>ROUND(+J19+M19+T19,4)</f>
        <v>630</v>
      </c>
      <c r="V19" s="235">
        <v>46147</v>
      </c>
      <c r="AN19" s="230">
        <f t="shared" si="6"/>
        <v>5</v>
      </c>
      <c r="AO19" s="230">
        <f t="shared" si="7"/>
        <v>2026</v>
      </c>
    </row>
    <row r="20" spans="1:41" ht="15.75" x14ac:dyDescent="0.25">
      <c r="A20" s="231" t="s">
        <v>334</v>
      </c>
      <c r="B20" s="232" t="s">
        <v>302</v>
      </c>
      <c r="C20" s="400">
        <v>800</v>
      </c>
      <c r="D20" s="233" t="s">
        <v>4</v>
      </c>
      <c r="E20" s="405"/>
      <c r="F20" s="405">
        <v>5.0999999999999996</v>
      </c>
      <c r="G20" s="405">
        <v>0.05</v>
      </c>
      <c r="H20" s="408">
        <f>ROUND(+E20+F20+G20,4)</f>
        <v>5.15</v>
      </c>
      <c r="I20" s="234"/>
      <c r="J20" s="411"/>
      <c r="K20" s="411"/>
      <c r="L20" s="414">
        <v>0.1</v>
      </c>
      <c r="M20" s="414">
        <f>ROUND(+L20*C20,4)</f>
        <v>80</v>
      </c>
      <c r="N20" s="414"/>
      <c r="O20" s="414">
        <v>5.5</v>
      </c>
      <c r="P20" s="414">
        <v>0.05</v>
      </c>
      <c r="Q20" s="419">
        <f>ROUND(+N20+O20+P20,4)</f>
        <v>5.55</v>
      </c>
      <c r="R20" s="419">
        <f>ROUND(IF(+Q20-H20&lt;=0,0,Q20-H20),4)</f>
        <v>0.4</v>
      </c>
      <c r="S20" s="423">
        <v>0.5</v>
      </c>
      <c r="T20" s="419">
        <f>ROUND(+(R20*C20)*S20,4)</f>
        <v>160</v>
      </c>
      <c r="U20" s="419">
        <f>ROUND(+J20+M20+T20,4)</f>
        <v>240</v>
      </c>
      <c r="V20" s="235">
        <v>46147</v>
      </c>
      <c r="AN20" s="230">
        <f t="shared" si="6"/>
        <v>5</v>
      </c>
      <c r="AO20" s="230">
        <f t="shared" si="7"/>
        <v>2026</v>
      </c>
    </row>
    <row r="21" spans="1:41" ht="15.75" x14ac:dyDescent="0.25">
      <c r="A21" s="231" t="s">
        <v>344</v>
      </c>
      <c r="B21" s="232" t="s">
        <v>263</v>
      </c>
      <c r="C21" s="400">
        <v>1600</v>
      </c>
      <c r="D21" s="233" t="s">
        <v>6</v>
      </c>
      <c r="E21" s="405">
        <v>1.1399999999999999</v>
      </c>
      <c r="F21" s="405">
        <v>11.54</v>
      </c>
      <c r="G21" s="405">
        <v>0.05</v>
      </c>
      <c r="H21" s="408">
        <f>ROUND(+E21+F21+G21,4)</f>
        <v>12.73</v>
      </c>
      <c r="I21" s="234"/>
      <c r="J21" s="411"/>
      <c r="K21" s="411"/>
      <c r="L21" s="414">
        <v>0.1</v>
      </c>
      <c r="M21" s="414">
        <f>ROUND(+L21*C21,4)</f>
        <v>160</v>
      </c>
      <c r="N21" s="414">
        <v>1.51</v>
      </c>
      <c r="O21" s="414">
        <v>11.54</v>
      </c>
      <c r="P21" s="414">
        <v>0.05</v>
      </c>
      <c r="Q21" s="419">
        <f>ROUND(+N21+O21+P21,4)</f>
        <v>13.1</v>
      </c>
      <c r="R21" s="419">
        <f>ROUND(IF(+Q21-H21&lt;=0,0,Q21-H21),4)</f>
        <v>0.37</v>
      </c>
      <c r="S21" s="423">
        <v>0.5</v>
      </c>
      <c r="T21" s="419">
        <f>ROUND(+(R21*C21)*S21,4)</f>
        <v>296</v>
      </c>
      <c r="U21" s="419">
        <f>ROUND(+J21+M21+T21,4)</f>
        <v>456</v>
      </c>
      <c r="V21" s="235">
        <v>46146</v>
      </c>
      <c r="AN21" s="230">
        <f t="shared" si="6"/>
        <v>5</v>
      </c>
      <c r="AO21" s="230">
        <f t="shared" si="7"/>
        <v>2026</v>
      </c>
    </row>
    <row r="22" spans="1:41" ht="15.75" x14ac:dyDescent="0.25">
      <c r="A22" s="231" t="s">
        <v>343</v>
      </c>
      <c r="B22" s="232" t="s">
        <v>268</v>
      </c>
      <c r="C22" s="400">
        <v>500</v>
      </c>
      <c r="D22" s="233" t="s">
        <v>4</v>
      </c>
      <c r="E22" s="405"/>
      <c r="F22" s="405">
        <v>5.2</v>
      </c>
      <c r="G22" s="405">
        <v>0.1</v>
      </c>
      <c r="H22" s="408">
        <f>ROUND(+E22+F22+G22,4)</f>
        <v>5.3</v>
      </c>
      <c r="I22" s="234"/>
      <c r="J22" s="411"/>
      <c r="K22" s="411"/>
      <c r="L22" s="414">
        <v>0.1</v>
      </c>
      <c r="M22" s="414">
        <f>ROUND(+L22*C22,4)</f>
        <v>50</v>
      </c>
      <c r="N22" s="414"/>
      <c r="O22" s="414">
        <v>5.8</v>
      </c>
      <c r="P22" s="414">
        <v>0.1</v>
      </c>
      <c r="Q22" s="419">
        <f>ROUND(+N22+O22+P22,4)</f>
        <v>5.9</v>
      </c>
      <c r="R22" s="419">
        <f>ROUND(IF(+Q22-H22&lt;=0,0,Q22-H22),4)</f>
        <v>0.6</v>
      </c>
      <c r="S22" s="423">
        <v>0.5</v>
      </c>
      <c r="T22" s="419">
        <f>ROUND(+(R22*C22)*S22,4)</f>
        <v>150</v>
      </c>
      <c r="U22" s="419">
        <f>ROUND(+J22+M22+T22,4)</f>
        <v>200</v>
      </c>
      <c r="V22" s="235">
        <v>46153</v>
      </c>
      <c r="AN22" s="230">
        <f t="shared" si="6"/>
        <v>5</v>
      </c>
      <c r="AO22" s="230">
        <f t="shared" si="7"/>
        <v>2026</v>
      </c>
    </row>
    <row r="23" spans="1:41" ht="15.75" x14ac:dyDescent="0.25">
      <c r="A23" s="231" t="s">
        <v>345</v>
      </c>
      <c r="B23" s="232" t="s">
        <v>102</v>
      </c>
      <c r="C23" s="400">
        <v>1100</v>
      </c>
      <c r="D23" s="233" t="s">
        <v>4</v>
      </c>
      <c r="E23" s="405"/>
      <c r="F23" s="405">
        <v>5.2</v>
      </c>
      <c r="G23" s="405">
        <v>0.05</v>
      </c>
      <c r="H23" s="408">
        <f>ROUND(+E23+F23+G23,4)</f>
        <v>5.25</v>
      </c>
      <c r="I23" s="234"/>
      <c r="J23" s="411"/>
      <c r="K23" s="411"/>
      <c r="L23" s="414">
        <v>0.1</v>
      </c>
      <c r="M23" s="414">
        <f>ROUND(+L23*C23,4)</f>
        <v>110</v>
      </c>
      <c r="N23" s="414"/>
      <c r="O23" s="414">
        <v>5.65</v>
      </c>
      <c r="P23" s="414">
        <v>0.05</v>
      </c>
      <c r="Q23" s="419">
        <f>ROUND(+N23+O23+P23,4)</f>
        <v>5.7</v>
      </c>
      <c r="R23" s="419">
        <f>ROUND(IF(+Q23-H23&lt;=0,0,Q23-H23),4)</f>
        <v>0.45</v>
      </c>
      <c r="S23" s="423">
        <v>0.5</v>
      </c>
      <c r="T23" s="419">
        <f>ROUND(+(R23*C23)*S23,4)</f>
        <v>247.5</v>
      </c>
      <c r="U23" s="419">
        <f>ROUND(+J23+M23+T23,4)</f>
        <v>357.5</v>
      </c>
      <c r="V23" s="235">
        <v>46153</v>
      </c>
      <c r="Z23" s="230" t="s">
        <v>347</v>
      </c>
      <c r="AN23" s="230">
        <f t="shared" ref="AN23" si="8">IF(V23="",0,MONTH(V23))</f>
        <v>5</v>
      </c>
      <c r="AO23" s="230">
        <f t="shared" ref="AO23" si="9">IF(V23="",0,YEAR(V23))</f>
        <v>2026</v>
      </c>
    </row>
    <row r="24" spans="1:41" ht="15.75" x14ac:dyDescent="0.25">
      <c r="A24" s="231" t="s">
        <v>355</v>
      </c>
      <c r="B24" s="376" t="s">
        <v>102</v>
      </c>
      <c r="C24" s="402">
        <v>1514.18</v>
      </c>
      <c r="D24" s="233" t="s">
        <v>4</v>
      </c>
      <c r="E24" s="405"/>
      <c r="F24" s="405">
        <v>5.2</v>
      </c>
      <c r="G24" s="405"/>
      <c r="H24" s="408">
        <f>ROUND(+E24+F24+G24,4)</f>
        <v>5.2</v>
      </c>
      <c r="I24" s="234"/>
      <c r="J24" s="411"/>
      <c r="K24" s="411"/>
      <c r="L24" s="414">
        <v>0.1</v>
      </c>
      <c r="M24" s="414">
        <f>ROUND(+L24*C24,4)</f>
        <v>151.41800000000001</v>
      </c>
      <c r="N24" s="414"/>
      <c r="O24" s="414">
        <v>5.7</v>
      </c>
      <c r="P24" s="414"/>
      <c r="Q24" s="419">
        <f>ROUND(+N24+O24+P24,4)</f>
        <v>5.7</v>
      </c>
      <c r="R24" s="419">
        <f>ROUND(IF(+Q24-H24&lt;=0,0,Q24-H24),4)</f>
        <v>0.5</v>
      </c>
      <c r="S24" s="423">
        <v>0.5</v>
      </c>
      <c r="T24" s="419">
        <f>ROUND(+(R24*C24)*S24,4)</f>
        <v>378.54500000000002</v>
      </c>
      <c r="U24" s="426">
        <f>ROUND(+J24+M24+T24,4)</f>
        <v>529.96299999999997</v>
      </c>
      <c r="V24" s="235"/>
      <c r="Y24" s="230" t="s">
        <v>349</v>
      </c>
      <c r="AN24" s="230">
        <f t="shared" si="6"/>
        <v>0</v>
      </c>
      <c r="AO24" s="230">
        <f t="shared" si="7"/>
        <v>0</v>
      </c>
    </row>
    <row r="25" spans="1:41" ht="15.75" x14ac:dyDescent="0.25">
      <c r="A25" s="231" t="s">
        <v>345</v>
      </c>
      <c r="B25" s="232" t="s">
        <v>102</v>
      </c>
      <c r="C25" s="400">
        <v>1200</v>
      </c>
      <c r="D25" s="233" t="s">
        <v>4</v>
      </c>
      <c r="E25" s="405"/>
      <c r="F25" s="405">
        <v>5.2</v>
      </c>
      <c r="G25" s="405">
        <v>0.05</v>
      </c>
      <c r="H25" s="408">
        <f>ROUND(+E25+F25+G25,4)</f>
        <v>5.25</v>
      </c>
      <c r="I25" s="234"/>
      <c r="J25" s="411"/>
      <c r="K25" s="411"/>
      <c r="L25" s="414">
        <v>0.1</v>
      </c>
      <c r="M25" s="414">
        <f>ROUND(+L25*C25,4)</f>
        <v>120</v>
      </c>
      <c r="N25" s="414"/>
      <c r="O25" s="414">
        <v>5.65</v>
      </c>
      <c r="P25" s="414">
        <v>0.05</v>
      </c>
      <c r="Q25" s="419">
        <f>ROUND(+N25+O25+P25,4)</f>
        <v>5.7</v>
      </c>
      <c r="R25" s="419">
        <f>ROUND(IF(+Q25-H25&lt;=0,0,Q25-H25),4)</f>
        <v>0.45</v>
      </c>
      <c r="S25" s="423">
        <v>0.5</v>
      </c>
      <c r="T25" s="419">
        <f>ROUND(+(R25*C25)*S25,4)</f>
        <v>270</v>
      </c>
      <c r="U25" s="419">
        <f>ROUND(+J25+M25+T25,4)</f>
        <v>390</v>
      </c>
      <c r="V25" s="235">
        <v>46153</v>
      </c>
      <c r="Z25" s="230" t="s">
        <v>347</v>
      </c>
      <c r="AN25" s="230">
        <f t="shared" ref="AN25" si="10">IF(V25="",0,MONTH(V25))</f>
        <v>5</v>
      </c>
      <c r="AO25" s="230">
        <f t="shared" ref="AO25" si="11">IF(V25="",0,YEAR(V25))</f>
        <v>2026</v>
      </c>
    </row>
    <row r="26" spans="1:41" ht="15.75" x14ac:dyDescent="0.25">
      <c r="A26" s="231" t="s">
        <v>345</v>
      </c>
      <c r="B26" s="376" t="s">
        <v>102</v>
      </c>
      <c r="C26" s="402">
        <v>1105.97</v>
      </c>
      <c r="D26" s="233" t="s">
        <v>4</v>
      </c>
      <c r="E26" s="405"/>
      <c r="F26" s="405">
        <v>5.2</v>
      </c>
      <c r="G26" s="405"/>
      <c r="H26" s="408">
        <f>ROUND(+E26+F26+G26,4)</f>
        <v>5.2</v>
      </c>
      <c r="I26" s="234"/>
      <c r="J26" s="411"/>
      <c r="K26" s="411"/>
      <c r="L26" s="414">
        <v>0.1</v>
      </c>
      <c r="M26" s="414">
        <f>ROUND(+L26*C26,4)</f>
        <v>110.59699999999999</v>
      </c>
      <c r="N26" s="414"/>
      <c r="O26" s="414">
        <v>5.7</v>
      </c>
      <c r="P26" s="414"/>
      <c r="Q26" s="419">
        <f>ROUND(+N26+O26+P26,4)</f>
        <v>5.7</v>
      </c>
      <c r="R26" s="419">
        <f>ROUND(IF(+Q26-H26&lt;=0,0,Q26-H26),4)</f>
        <v>0.5</v>
      </c>
      <c r="S26" s="423">
        <v>0.5</v>
      </c>
      <c r="T26" s="419">
        <f>ROUND(+(R26*C26)*S26,4)</f>
        <v>276.49250000000001</v>
      </c>
      <c r="U26" s="426">
        <f>ROUND(+J26+M26+T26,4)</f>
        <v>387.08949999999999</v>
      </c>
      <c r="V26" s="235"/>
      <c r="Y26" s="230" t="s">
        <v>349</v>
      </c>
      <c r="Z26" s="230" t="s">
        <v>356</v>
      </c>
      <c r="AN26" s="230">
        <f t="shared" si="6"/>
        <v>0</v>
      </c>
      <c r="AO26" s="230">
        <f t="shared" si="7"/>
        <v>0</v>
      </c>
    </row>
    <row r="27" spans="1:41" ht="15.75" x14ac:dyDescent="0.25">
      <c r="A27" s="231" t="s">
        <v>345</v>
      </c>
      <c r="B27" s="232" t="s">
        <v>102</v>
      </c>
      <c r="C27" s="400">
        <v>1500</v>
      </c>
      <c r="D27" s="233" t="s">
        <v>4</v>
      </c>
      <c r="E27" s="405"/>
      <c r="F27" s="405">
        <v>5.2</v>
      </c>
      <c r="G27" s="405">
        <v>0.05</v>
      </c>
      <c r="H27" s="408">
        <f>ROUND(+E27+F27+G27,4)</f>
        <v>5.25</v>
      </c>
      <c r="I27" s="234"/>
      <c r="J27" s="411"/>
      <c r="K27" s="411"/>
      <c r="L27" s="414">
        <v>0.1</v>
      </c>
      <c r="M27" s="414">
        <f>ROUND(+L27*C27,4)</f>
        <v>150</v>
      </c>
      <c r="N27" s="414"/>
      <c r="O27" s="414">
        <v>5.65</v>
      </c>
      <c r="P27" s="414">
        <v>0.05</v>
      </c>
      <c r="Q27" s="419">
        <f>ROUND(+N27+O27+P27,4)</f>
        <v>5.7</v>
      </c>
      <c r="R27" s="419">
        <f>ROUND(IF(+Q27-H27&lt;=0,0,Q27-H27),4)</f>
        <v>0.45</v>
      </c>
      <c r="S27" s="423">
        <v>0.5</v>
      </c>
      <c r="T27" s="419">
        <f>ROUND(+(R27*C27)*S27,4)</f>
        <v>337.5</v>
      </c>
      <c r="U27" s="419">
        <f>ROUND(+J27+M27+T27,4)</f>
        <v>487.5</v>
      </c>
      <c r="V27" s="235">
        <v>46206</v>
      </c>
      <c r="AN27" s="230">
        <f t="shared" si="6"/>
        <v>7</v>
      </c>
      <c r="AO27" s="230">
        <f t="shared" si="7"/>
        <v>2026</v>
      </c>
    </row>
    <row r="28" spans="1:41" ht="15.75" x14ac:dyDescent="0.25">
      <c r="A28" s="231" t="s">
        <v>352</v>
      </c>
      <c r="B28" s="376" t="s">
        <v>340</v>
      </c>
      <c r="C28" s="402">
        <v>42.35</v>
      </c>
      <c r="D28" s="233" t="s">
        <v>6</v>
      </c>
      <c r="E28" s="405">
        <v>2.02</v>
      </c>
      <c r="F28" s="405">
        <v>11.54</v>
      </c>
      <c r="G28" s="405"/>
      <c r="H28" s="408">
        <f>ROUND(+E28+F28+G28,4)</f>
        <v>13.56</v>
      </c>
      <c r="I28" s="234"/>
      <c r="J28" s="411"/>
      <c r="K28" s="411"/>
      <c r="L28" s="414">
        <v>0.1</v>
      </c>
      <c r="M28" s="414">
        <f>ROUND(+L28*C28,4)</f>
        <v>4.2350000000000003</v>
      </c>
      <c r="N28" s="414">
        <v>2.72</v>
      </c>
      <c r="O28" s="414">
        <v>11.66</v>
      </c>
      <c r="P28" s="414"/>
      <c r="Q28" s="419">
        <f>ROUND(+N28+O28+P28,4)</f>
        <v>14.38</v>
      </c>
      <c r="R28" s="419">
        <f>ROUND(IF(+Q28-H28&lt;=0,0,Q28-H28),4)</f>
        <v>0.82</v>
      </c>
      <c r="S28" s="423">
        <v>0.5</v>
      </c>
      <c r="T28" s="419">
        <f>ROUND(+(R28*C28)*S28,4)</f>
        <v>17.363499999999998</v>
      </c>
      <c r="U28" s="426">
        <f>ROUND(+J28+M28+T28,4)</f>
        <v>21.598500000000001</v>
      </c>
      <c r="V28" s="235"/>
      <c r="Y28" s="230" t="s">
        <v>349</v>
      </c>
      <c r="AN28" s="230">
        <f t="shared" si="6"/>
        <v>0</v>
      </c>
      <c r="AO28" s="230">
        <f t="shared" si="7"/>
        <v>0</v>
      </c>
    </row>
    <row r="29" spans="1:41" ht="15.75" x14ac:dyDescent="0.25">
      <c r="A29" s="231" t="s">
        <v>352</v>
      </c>
      <c r="B29" s="376" t="s">
        <v>340</v>
      </c>
      <c r="C29" s="402">
        <v>82.9</v>
      </c>
      <c r="D29" s="233" t="s">
        <v>6</v>
      </c>
      <c r="E29" s="405">
        <v>1.44</v>
      </c>
      <c r="F29" s="405">
        <v>11.54</v>
      </c>
      <c r="G29" s="405"/>
      <c r="H29" s="408">
        <f>ROUND(+E29+F29+G29,4)</f>
        <v>12.98</v>
      </c>
      <c r="I29" s="234"/>
      <c r="J29" s="411"/>
      <c r="K29" s="411"/>
      <c r="L29" s="414">
        <v>0.1</v>
      </c>
      <c r="M29" s="414">
        <f>ROUND(+L29*C29,4)</f>
        <v>8.2899999999999991</v>
      </c>
      <c r="N29" s="414">
        <v>1.65</v>
      </c>
      <c r="O29" s="414">
        <v>11.66</v>
      </c>
      <c r="P29" s="414"/>
      <c r="Q29" s="419">
        <f>ROUND(+N29+O29+P29,4)</f>
        <v>13.31</v>
      </c>
      <c r="R29" s="419">
        <f>ROUND(IF(+Q29-H29&lt;=0,0,Q29-H29),4)</f>
        <v>0.33</v>
      </c>
      <c r="S29" s="423">
        <v>0.5</v>
      </c>
      <c r="T29" s="419">
        <f>ROUND(+(R29*C29)*S29,4)</f>
        <v>13.6785</v>
      </c>
      <c r="U29" s="426">
        <f>ROUND(+J29+M29+T29,4)</f>
        <v>21.968499999999999</v>
      </c>
      <c r="V29" s="235"/>
      <c r="Y29" s="230" t="s">
        <v>349</v>
      </c>
      <c r="AN29" s="230">
        <f t="shared" si="6"/>
        <v>0</v>
      </c>
      <c r="AO29" s="230">
        <f t="shared" si="7"/>
        <v>0</v>
      </c>
    </row>
    <row r="30" spans="1:41" ht="15.75" x14ac:dyDescent="0.25">
      <c r="A30" s="231" t="s">
        <v>342</v>
      </c>
      <c r="B30" s="232" t="s">
        <v>270</v>
      </c>
      <c r="C30" s="400">
        <v>80</v>
      </c>
      <c r="D30" s="233" t="s">
        <v>4</v>
      </c>
      <c r="E30" s="405"/>
      <c r="F30" s="405">
        <v>5.2</v>
      </c>
      <c r="G30" s="405"/>
      <c r="H30" s="408">
        <f>ROUND(+E30+F30+G30,4)</f>
        <v>5.2</v>
      </c>
      <c r="I30" s="234"/>
      <c r="J30" s="411"/>
      <c r="K30" s="411"/>
      <c r="L30" s="414">
        <v>0.1</v>
      </c>
      <c r="M30" s="414">
        <f>ROUND(+L30*C30,4)</f>
        <v>8</v>
      </c>
      <c r="N30" s="414"/>
      <c r="O30" s="414">
        <v>5.65</v>
      </c>
      <c r="P30" s="414">
        <v>0.05</v>
      </c>
      <c r="Q30" s="419">
        <f>ROUND(+N30+O30+P30,4)</f>
        <v>5.7</v>
      </c>
      <c r="R30" s="419">
        <f>ROUND(IF(+Q30-H30&lt;=0,0,Q30-H30),4)</f>
        <v>0.5</v>
      </c>
      <c r="S30" s="423">
        <v>0.5</v>
      </c>
      <c r="T30" s="419">
        <f>ROUND(+(R30*C30)*S30,4)</f>
        <v>20</v>
      </c>
      <c r="U30" s="419">
        <f>ROUND(+J30+M30+T30,4)</f>
        <v>28</v>
      </c>
      <c r="V30" s="235">
        <v>46178</v>
      </c>
      <c r="AN30" s="230">
        <f t="shared" si="6"/>
        <v>6</v>
      </c>
      <c r="AO30" s="230">
        <f t="shared" si="7"/>
        <v>2026</v>
      </c>
    </row>
    <row r="31" spans="1:41" ht="15.75" x14ac:dyDescent="0.25">
      <c r="A31" s="231" t="s">
        <v>342</v>
      </c>
      <c r="B31" s="232" t="s">
        <v>270</v>
      </c>
      <c r="C31" s="400">
        <v>160</v>
      </c>
      <c r="D31" s="233" t="s">
        <v>4</v>
      </c>
      <c r="E31" s="405"/>
      <c r="F31" s="405">
        <v>5.2</v>
      </c>
      <c r="G31" s="405"/>
      <c r="H31" s="408">
        <f>ROUND(+E31+F31+G31,4)</f>
        <v>5.2</v>
      </c>
      <c r="I31" s="234"/>
      <c r="J31" s="411"/>
      <c r="K31" s="411"/>
      <c r="L31" s="414">
        <v>0.1</v>
      </c>
      <c r="M31" s="414">
        <f>ROUND(+L31*C31,4)</f>
        <v>16</v>
      </c>
      <c r="N31" s="414"/>
      <c r="O31" s="414">
        <v>5.65</v>
      </c>
      <c r="P31" s="414">
        <v>0.05</v>
      </c>
      <c r="Q31" s="419">
        <f>ROUND(+N31+O31+P31,4)</f>
        <v>5.7</v>
      </c>
      <c r="R31" s="419">
        <f>ROUND(IF(+Q31-H31&lt;=0,0,Q31-H31),4)</f>
        <v>0.5</v>
      </c>
      <c r="S31" s="423">
        <v>0.5</v>
      </c>
      <c r="T31" s="419">
        <f>ROUND(+(R31*C31)*S31,4)</f>
        <v>40</v>
      </c>
      <c r="U31" s="419">
        <f>ROUND(+J31+M31+T31,4)</f>
        <v>56</v>
      </c>
      <c r="V31" s="235">
        <v>46178</v>
      </c>
      <c r="AN31" s="230">
        <f t="shared" si="6"/>
        <v>6</v>
      </c>
      <c r="AO31" s="230">
        <f t="shared" si="7"/>
        <v>2026</v>
      </c>
    </row>
    <row r="32" spans="1:41" ht="15.75" x14ac:dyDescent="0.25">
      <c r="A32" s="231" t="s">
        <v>342</v>
      </c>
      <c r="B32" s="232" t="s">
        <v>270</v>
      </c>
      <c r="C32" s="400">
        <v>1020</v>
      </c>
      <c r="D32" s="233" t="s">
        <v>4</v>
      </c>
      <c r="E32" s="405"/>
      <c r="F32" s="405">
        <v>5.2</v>
      </c>
      <c r="G32" s="405"/>
      <c r="H32" s="408">
        <f>ROUND(+E32+F32+G32,4)</f>
        <v>5.2</v>
      </c>
      <c r="I32" s="234"/>
      <c r="J32" s="411"/>
      <c r="K32" s="411"/>
      <c r="L32" s="414">
        <v>0.1</v>
      </c>
      <c r="M32" s="414">
        <f>ROUND(+L32*C32,4)</f>
        <v>102</v>
      </c>
      <c r="N32" s="414"/>
      <c r="O32" s="414">
        <v>5.65</v>
      </c>
      <c r="P32" s="414">
        <v>0.05</v>
      </c>
      <c r="Q32" s="419">
        <f>ROUND(+N32+O32+P32,4)</f>
        <v>5.7</v>
      </c>
      <c r="R32" s="419">
        <f>ROUND(IF(+Q32-H32&lt;=0,0,Q32-H32),4)</f>
        <v>0.5</v>
      </c>
      <c r="S32" s="423">
        <v>0.5</v>
      </c>
      <c r="T32" s="419">
        <f>ROUND(+(R32*C32)*S32,4)</f>
        <v>255</v>
      </c>
      <c r="U32" s="419">
        <f>ROUND(+J32+M32+T32,4)</f>
        <v>357</v>
      </c>
      <c r="V32" s="235">
        <v>46178</v>
      </c>
      <c r="AN32" s="230">
        <f t="shared" si="6"/>
        <v>6</v>
      </c>
      <c r="AO32" s="230">
        <f t="shared" si="7"/>
        <v>2026</v>
      </c>
    </row>
    <row r="33" spans="1:41" ht="15.75" x14ac:dyDescent="0.25">
      <c r="A33" s="231" t="s">
        <v>342</v>
      </c>
      <c r="B33" s="232" t="s">
        <v>270</v>
      </c>
      <c r="C33" s="400">
        <v>160</v>
      </c>
      <c r="D33" s="233" t="s">
        <v>4</v>
      </c>
      <c r="E33" s="405"/>
      <c r="F33" s="405">
        <v>5.2</v>
      </c>
      <c r="G33" s="405"/>
      <c r="H33" s="408">
        <f>ROUND(+E33+F33+G33,4)</f>
        <v>5.2</v>
      </c>
      <c r="I33" s="234"/>
      <c r="J33" s="411"/>
      <c r="K33" s="411"/>
      <c r="L33" s="414">
        <v>0.1</v>
      </c>
      <c r="M33" s="414">
        <f>ROUND(+L33*C33,4)</f>
        <v>16</v>
      </c>
      <c r="N33" s="414"/>
      <c r="O33" s="414">
        <v>5.65</v>
      </c>
      <c r="P33" s="414">
        <v>0.05</v>
      </c>
      <c r="Q33" s="419">
        <f>ROUND(+N33+O33+P33,4)</f>
        <v>5.7</v>
      </c>
      <c r="R33" s="419">
        <f>ROUND(IF(+Q33-H33&lt;=0,0,Q33-H33),4)</f>
        <v>0.5</v>
      </c>
      <c r="S33" s="423">
        <v>0.5</v>
      </c>
      <c r="T33" s="419">
        <f>ROUND(+(R33*C33)*S33,4)</f>
        <v>40</v>
      </c>
      <c r="U33" s="419">
        <f>ROUND(+J33+M33+T33,4)</f>
        <v>56</v>
      </c>
      <c r="V33" s="235">
        <v>46239</v>
      </c>
      <c r="AN33" s="230">
        <f t="shared" si="6"/>
        <v>8</v>
      </c>
      <c r="AO33" s="230">
        <f t="shared" si="7"/>
        <v>2026</v>
      </c>
    </row>
    <row r="34" spans="1:41" ht="15.75" x14ac:dyDescent="0.25">
      <c r="A34" s="231" t="s">
        <v>342</v>
      </c>
      <c r="B34" s="232" t="s">
        <v>270</v>
      </c>
      <c r="C34" s="400">
        <v>220</v>
      </c>
      <c r="D34" s="233" t="s">
        <v>4</v>
      </c>
      <c r="E34" s="405"/>
      <c r="F34" s="405">
        <v>5.2</v>
      </c>
      <c r="G34" s="405"/>
      <c r="H34" s="408">
        <f>ROUND(+E34+F34+G34,4)</f>
        <v>5.2</v>
      </c>
      <c r="I34" s="234"/>
      <c r="J34" s="411"/>
      <c r="K34" s="411"/>
      <c r="L34" s="414">
        <v>0.1</v>
      </c>
      <c r="M34" s="414">
        <f>ROUND(+L34*C34,4)</f>
        <v>22</v>
      </c>
      <c r="N34" s="414"/>
      <c r="O34" s="414">
        <v>5.65</v>
      </c>
      <c r="P34" s="414">
        <v>0.05</v>
      </c>
      <c r="Q34" s="419">
        <f>ROUND(+N34+O34+P34,4)</f>
        <v>5.7</v>
      </c>
      <c r="R34" s="419">
        <f>ROUND(IF(+Q34-H34&lt;=0,0,Q34-H34),4)</f>
        <v>0.5</v>
      </c>
      <c r="S34" s="423">
        <v>0.5</v>
      </c>
      <c r="T34" s="419">
        <f>ROUND(+(R34*C34)*S34,4)</f>
        <v>55</v>
      </c>
      <c r="U34" s="419">
        <f>ROUND(+J34+M34+T34,4)</f>
        <v>77</v>
      </c>
      <c r="V34" s="235">
        <v>46178</v>
      </c>
      <c r="AN34" s="230">
        <f t="shared" si="6"/>
        <v>6</v>
      </c>
      <c r="AO34" s="230">
        <f t="shared" si="7"/>
        <v>2026</v>
      </c>
    </row>
    <row r="35" spans="1:41" ht="15.75" x14ac:dyDescent="0.25">
      <c r="A35" s="231" t="s">
        <v>342</v>
      </c>
      <c r="B35" s="232" t="s">
        <v>270</v>
      </c>
      <c r="C35" s="400">
        <v>1040</v>
      </c>
      <c r="D35" s="233" t="s">
        <v>4</v>
      </c>
      <c r="E35" s="405"/>
      <c r="F35" s="405">
        <v>5.2</v>
      </c>
      <c r="G35" s="405"/>
      <c r="H35" s="408">
        <f>ROUND(+E35+F35+G35,4)</f>
        <v>5.2</v>
      </c>
      <c r="I35" s="234"/>
      <c r="J35" s="411"/>
      <c r="K35" s="411"/>
      <c r="L35" s="414">
        <v>0.1</v>
      </c>
      <c r="M35" s="414">
        <f>ROUND(+L35*C35,4)</f>
        <v>104</v>
      </c>
      <c r="N35" s="414"/>
      <c r="O35" s="414">
        <v>5.65</v>
      </c>
      <c r="P35" s="414">
        <v>0.05</v>
      </c>
      <c r="Q35" s="419">
        <f>ROUND(+N35+O35+P35,4)</f>
        <v>5.7</v>
      </c>
      <c r="R35" s="419">
        <f>ROUND(IF(+Q35-H35&lt;=0,0,Q35-H35),4)</f>
        <v>0.5</v>
      </c>
      <c r="S35" s="423">
        <v>0.5</v>
      </c>
      <c r="T35" s="419">
        <f>ROUND(+(R35*C35)*S35,4)</f>
        <v>260</v>
      </c>
      <c r="U35" s="419">
        <f>ROUND(+J35+M35+T35,4)</f>
        <v>364</v>
      </c>
      <c r="V35" s="235">
        <v>46178</v>
      </c>
      <c r="AN35" s="230">
        <f t="shared" si="6"/>
        <v>6</v>
      </c>
      <c r="AO35" s="230">
        <f t="shared" si="7"/>
        <v>2026</v>
      </c>
    </row>
    <row r="36" spans="1:41" ht="15.75" x14ac:dyDescent="0.25">
      <c r="A36" s="231" t="s">
        <v>342</v>
      </c>
      <c r="B36" s="232" t="s">
        <v>270</v>
      </c>
      <c r="C36" s="400">
        <v>200</v>
      </c>
      <c r="D36" s="233" t="s">
        <v>4</v>
      </c>
      <c r="E36" s="405"/>
      <c r="F36" s="405">
        <v>5.2</v>
      </c>
      <c r="G36" s="405"/>
      <c r="H36" s="408">
        <f>ROUND(+E36+F36+G36,4)</f>
        <v>5.2</v>
      </c>
      <c r="I36" s="234"/>
      <c r="J36" s="411"/>
      <c r="K36" s="411"/>
      <c r="L36" s="414">
        <v>0.1</v>
      </c>
      <c r="M36" s="414">
        <f>ROUND(+L36*C36,4)</f>
        <v>20</v>
      </c>
      <c r="N36" s="414"/>
      <c r="O36" s="414">
        <v>5.65</v>
      </c>
      <c r="P36" s="414">
        <v>0.05</v>
      </c>
      <c r="Q36" s="419">
        <f>ROUND(+N36+O36+P36,4)</f>
        <v>5.7</v>
      </c>
      <c r="R36" s="419">
        <f>ROUND(IF(+Q36-H36&lt;=0,0,Q36-H36),4)</f>
        <v>0.5</v>
      </c>
      <c r="S36" s="423">
        <v>0.5</v>
      </c>
      <c r="T36" s="419">
        <f>ROUND(+(R36*C36)*S36,4)</f>
        <v>50</v>
      </c>
      <c r="U36" s="419">
        <f>ROUND(+J36+M36+T36,4)</f>
        <v>70</v>
      </c>
      <c r="V36" s="235">
        <v>46239</v>
      </c>
      <c r="AN36" s="230">
        <f t="shared" si="6"/>
        <v>8</v>
      </c>
      <c r="AO36" s="230">
        <f t="shared" si="7"/>
        <v>2026</v>
      </c>
    </row>
    <row r="37" spans="1:41" ht="15.75" x14ac:dyDescent="0.25">
      <c r="A37" s="231" t="s">
        <v>342</v>
      </c>
      <c r="B37" s="232" t="s">
        <v>270</v>
      </c>
      <c r="C37" s="400">
        <v>1470</v>
      </c>
      <c r="D37" s="233" t="s">
        <v>4</v>
      </c>
      <c r="E37" s="405"/>
      <c r="F37" s="405">
        <v>5.2</v>
      </c>
      <c r="G37" s="405"/>
      <c r="H37" s="408">
        <f>ROUND(+E37+F37+G37,4)</f>
        <v>5.2</v>
      </c>
      <c r="I37" s="234"/>
      <c r="J37" s="411"/>
      <c r="K37" s="411"/>
      <c r="L37" s="414">
        <v>0.1</v>
      </c>
      <c r="M37" s="414">
        <f>ROUND(+L37*C37,4)</f>
        <v>147</v>
      </c>
      <c r="N37" s="414"/>
      <c r="O37" s="414">
        <v>5.65</v>
      </c>
      <c r="P37" s="414">
        <v>0.05</v>
      </c>
      <c r="Q37" s="419">
        <f>ROUND(+N37+O37+P37,4)</f>
        <v>5.7</v>
      </c>
      <c r="R37" s="419">
        <f>ROUND(IF(+Q37-H37&lt;=0,0,Q37-H37),4)</f>
        <v>0.5</v>
      </c>
      <c r="S37" s="423">
        <v>0.5</v>
      </c>
      <c r="T37" s="419">
        <f>ROUND(+(R37*C37)*S37,4)</f>
        <v>367.5</v>
      </c>
      <c r="U37" s="419">
        <f>ROUND(+J37+M37+T37,4)</f>
        <v>514.5</v>
      </c>
      <c r="V37" s="235">
        <v>46178</v>
      </c>
      <c r="AN37" s="230">
        <f t="shared" si="6"/>
        <v>6</v>
      </c>
      <c r="AO37" s="230">
        <f t="shared" si="7"/>
        <v>2026</v>
      </c>
    </row>
    <row r="38" spans="1:41" ht="15.75" x14ac:dyDescent="0.25">
      <c r="A38" s="231" t="s">
        <v>342</v>
      </c>
      <c r="B38" s="232" t="s">
        <v>270</v>
      </c>
      <c r="C38" s="400">
        <v>690</v>
      </c>
      <c r="D38" s="233" t="s">
        <v>4</v>
      </c>
      <c r="E38" s="405"/>
      <c r="F38" s="405">
        <v>5.2</v>
      </c>
      <c r="G38" s="405"/>
      <c r="H38" s="408">
        <f>ROUND(+E38+F38+G38,4)</f>
        <v>5.2</v>
      </c>
      <c r="I38" s="234"/>
      <c r="J38" s="411"/>
      <c r="K38" s="411"/>
      <c r="L38" s="414">
        <v>0.1</v>
      </c>
      <c r="M38" s="414">
        <f>ROUND(+L38*C38,4)</f>
        <v>69</v>
      </c>
      <c r="N38" s="414"/>
      <c r="O38" s="414">
        <v>5.65</v>
      </c>
      <c r="P38" s="414">
        <v>0.05</v>
      </c>
      <c r="Q38" s="419">
        <f>ROUND(+N38+O38+P38,4)</f>
        <v>5.7</v>
      </c>
      <c r="R38" s="419">
        <f>ROUND(IF(+Q38-H38&lt;=0,0,Q38-H38),4)</f>
        <v>0.5</v>
      </c>
      <c r="S38" s="423">
        <v>0.5</v>
      </c>
      <c r="T38" s="419">
        <f>ROUND(+(R38*C38)*S38,4)</f>
        <v>172.5</v>
      </c>
      <c r="U38" s="419">
        <f>ROUND(+J38+M38+T38,4)</f>
        <v>241.5</v>
      </c>
      <c r="V38" s="235">
        <v>46239</v>
      </c>
      <c r="AN38" s="230">
        <f t="shared" si="6"/>
        <v>8</v>
      </c>
      <c r="AO38" s="230">
        <f t="shared" si="7"/>
        <v>2026</v>
      </c>
    </row>
    <row r="39" spans="1:41" ht="15.75" x14ac:dyDescent="0.25">
      <c r="A39" s="231" t="s">
        <v>342</v>
      </c>
      <c r="B39" s="232" t="s">
        <v>270</v>
      </c>
      <c r="C39" s="400">
        <v>450</v>
      </c>
      <c r="D39" s="233" t="s">
        <v>4</v>
      </c>
      <c r="E39" s="405"/>
      <c r="F39" s="405">
        <v>5.2</v>
      </c>
      <c r="G39" s="405"/>
      <c r="H39" s="408">
        <f>ROUND(+E39+F39+G39,4)</f>
        <v>5.2</v>
      </c>
      <c r="I39" s="234"/>
      <c r="J39" s="411"/>
      <c r="K39" s="411"/>
      <c r="L39" s="414">
        <v>0.1</v>
      </c>
      <c r="M39" s="414">
        <f>ROUND(+L39*C39,4)</f>
        <v>45</v>
      </c>
      <c r="N39" s="414"/>
      <c r="O39" s="414">
        <v>5.65</v>
      </c>
      <c r="P39" s="414">
        <v>0.05</v>
      </c>
      <c r="Q39" s="419">
        <f>ROUND(+N39+O39+P39,4)</f>
        <v>5.7</v>
      </c>
      <c r="R39" s="419">
        <f>ROUND(IF(+Q39-H39&lt;=0,0,Q39-H39),4)</f>
        <v>0.5</v>
      </c>
      <c r="S39" s="423">
        <v>0.5</v>
      </c>
      <c r="T39" s="419">
        <f>ROUND(+(R39*C39)*S39,4)</f>
        <v>112.5</v>
      </c>
      <c r="U39" s="419">
        <f>ROUND(+J39+M39+T39,4)</f>
        <v>157.5</v>
      </c>
      <c r="V39" s="235">
        <v>46258</v>
      </c>
      <c r="AN39" s="230">
        <f t="shared" si="6"/>
        <v>8</v>
      </c>
      <c r="AO39" s="230">
        <f t="shared" si="7"/>
        <v>2026</v>
      </c>
    </row>
    <row r="40" spans="1:41" ht="15.75" x14ac:dyDescent="0.25">
      <c r="A40" s="231" t="s">
        <v>342</v>
      </c>
      <c r="B40" s="232" t="s">
        <v>270</v>
      </c>
      <c r="C40" s="400">
        <v>440</v>
      </c>
      <c r="D40" s="233" t="s">
        <v>4</v>
      </c>
      <c r="E40" s="405"/>
      <c r="F40" s="405">
        <v>5.2</v>
      </c>
      <c r="G40" s="405"/>
      <c r="H40" s="408">
        <f>ROUND(+E40+F40+G40,4)</f>
        <v>5.2</v>
      </c>
      <c r="I40" s="234"/>
      <c r="J40" s="411"/>
      <c r="K40" s="411"/>
      <c r="L40" s="414">
        <v>0.1</v>
      </c>
      <c r="M40" s="414">
        <f>ROUND(+L40*C40,4)</f>
        <v>44</v>
      </c>
      <c r="N40" s="414"/>
      <c r="O40" s="414">
        <v>5.65</v>
      </c>
      <c r="P40" s="414">
        <v>0.05</v>
      </c>
      <c r="Q40" s="419">
        <f>ROUND(+N40+O40+P40,4)</f>
        <v>5.7</v>
      </c>
      <c r="R40" s="419">
        <f>ROUND(IF(+Q40-H40&lt;=0,0,Q40-H40),4)</f>
        <v>0.5</v>
      </c>
      <c r="S40" s="423">
        <v>0.5</v>
      </c>
      <c r="T40" s="419">
        <f>ROUND(+(R40*C40)*S40,4)</f>
        <v>110</v>
      </c>
      <c r="U40" s="419">
        <f>ROUND(+J40+M40+T40,4)</f>
        <v>154</v>
      </c>
      <c r="V40" s="235">
        <v>46178</v>
      </c>
      <c r="AN40" s="230">
        <f t="shared" si="6"/>
        <v>6</v>
      </c>
      <c r="AO40" s="230">
        <f t="shared" si="7"/>
        <v>2026</v>
      </c>
    </row>
    <row r="41" spans="1:41" ht="15.75" x14ac:dyDescent="0.25">
      <c r="A41" s="231" t="s">
        <v>342</v>
      </c>
      <c r="B41" s="232" t="s">
        <v>270</v>
      </c>
      <c r="C41" s="400">
        <v>920</v>
      </c>
      <c r="D41" s="233" t="s">
        <v>4</v>
      </c>
      <c r="E41" s="405"/>
      <c r="F41" s="405">
        <v>5.2</v>
      </c>
      <c r="G41" s="405"/>
      <c r="H41" s="408">
        <f>ROUND(+E41+F41+G41,4)</f>
        <v>5.2</v>
      </c>
      <c r="I41" s="234"/>
      <c r="J41" s="411"/>
      <c r="K41" s="411"/>
      <c r="L41" s="414">
        <v>0.1</v>
      </c>
      <c r="M41" s="414">
        <f>ROUND(+L41*C41,4)</f>
        <v>92</v>
      </c>
      <c r="N41" s="414"/>
      <c r="O41" s="414">
        <v>5.65</v>
      </c>
      <c r="P41" s="414">
        <v>0.05</v>
      </c>
      <c r="Q41" s="419">
        <f>ROUND(+N41+O41+P41,4)</f>
        <v>5.7</v>
      </c>
      <c r="R41" s="419">
        <f>ROUND(IF(+Q41-H41&lt;=0,0,Q41-H41),4)</f>
        <v>0.5</v>
      </c>
      <c r="S41" s="423">
        <v>0.5</v>
      </c>
      <c r="T41" s="419">
        <f>ROUND(+(R41*C41)*S41,4)</f>
        <v>230</v>
      </c>
      <c r="U41" s="419">
        <f>ROUND(+J41+M41+T41,4)</f>
        <v>322</v>
      </c>
      <c r="V41" s="235">
        <v>46183</v>
      </c>
      <c r="AN41" s="230">
        <f t="shared" si="6"/>
        <v>6</v>
      </c>
      <c r="AO41" s="230">
        <f t="shared" si="7"/>
        <v>2026</v>
      </c>
    </row>
    <row r="42" spans="1:41" ht="15.75" x14ac:dyDescent="0.25">
      <c r="A42" s="231" t="s">
        <v>342</v>
      </c>
      <c r="B42" s="232" t="s">
        <v>270</v>
      </c>
      <c r="C42" s="400">
        <v>260</v>
      </c>
      <c r="D42" s="233" t="s">
        <v>4</v>
      </c>
      <c r="E42" s="405"/>
      <c r="F42" s="405">
        <v>5.2</v>
      </c>
      <c r="G42" s="405"/>
      <c r="H42" s="408">
        <f>ROUND(+E42+F42+G42,4)</f>
        <v>5.2</v>
      </c>
      <c r="I42" s="234"/>
      <c r="J42" s="411"/>
      <c r="K42" s="411"/>
      <c r="L42" s="414">
        <v>0.1</v>
      </c>
      <c r="M42" s="414">
        <f>ROUND(+L42*C42,4)</f>
        <v>26</v>
      </c>
      <c r="N42" s="414"/>
      <c r="O42" s="414">
        <v>5.65</v>
      </c>
      <c r="P42" s="414">
        <v>0.05</v>
      </c>
      <c r="Q42" s="419">
        <f>ROUND(+N42+O42+P42,4)</f>
        <v>5.7</v>
      </c>
      <c r="R42" s="419">
        <f>ROUND(IF(+Q42-H42&lt;=0,0,Q42-H42),4)</f>
        <v>0.5</v>
      </c>
      <c r="S42" s="423">
        <v>0.5</v>
      </c>
      <c r="T42" s="419">
        <f>ROUND(+(R42*C42)*S42,4)</f>
        <v>65</v>
      </c>
      <c r="U42" s="419">
        <f>ROUND(+J42+M42+T42,4)</f>
        <v>91</v>
      </c>
      <c r="V42" s="235">
        <v>46183</v>
      </c>
      <c r="AN42" s="230">
        <f t="shared" si="6"/>
        <v>6</v>
      </c>
      <c r="AO42" s="230">
        <f t="shared" si="7"/>
        <v>2026</v>
      </c>
    </row>
    <row r="43" spans="1:41" ht="15.75" x14ac:dyDescent="0.25">
      <c r="A43" s="231" t="s">
        <v>342</v>
      </c>
      <c r="B43" s="232" t="s">
        <v>270</v>
      </c>
      <c r="C43" s="400">
        <v>620</v>
      </c>
      <c r="D43" s="233" t="s">
        <v>4</v>
      </c>
      <c r="E43" s="405"/>
      <c r="F43" s="405">
        <v>5.2</v>
      </c>
      <c r="G43" s="405"/>
      <c r="H43" s="408">
        <f>ROUND(+E43+F43+G43,4)</f>
        <v>5.2</v>
      </c>
      <c r="I43" s="234"/>
      <c r="J43" s="411"/>
      <c r="K43" s="411"/>
      <c r="L43" s="414">
        <v>0.1</v>
      </c>
      <c r="M43" s="414">
        <f>ROUND(+L43*C43,4)</f>
        <v>62</v>
      </c>
      <c r="N43" s="414"/>
      <c r="O43" s="414">
        <v>5.65</v>
      </c>
      <c r="P43" s="414">
        <v>0.05</v>
      </c>
      <c r="Q43" s="419">
        <f>ROUND(+N43+O43+P43,4)</f>
        <v>5.7</v>
      </c>
      <c r="R43" s="419">
        <f>ROUND(IF(+Q43-H43&lt;=0,0,Q43-H43),4)</f>
        <v>0.5</v>
      </c>
      <c r="S43" s="423">
        <v>0.5</v>
      </c>
      <c r="T43" s="419">
        <f>ROUND(+(R43*C43)*S43,4)</f>
        <v>155</v>
      </c>
      <c r="U43" s="419">
        <f>ROUND(+J43+M43+T43,4)</f>
        <v>217</v>
      </c>
      <c r="V43" s="235">
        <v>46239</v>
      </c>
      <c r="AN43" s="230">
        <f t="shared" si="6"/>
        <v>8</v>
      </c>
      <c r="AO43" s="230">
        <f t="shared" si="7"/>
        <v>2026</v>
      </c>
    </row>
    <row r="44" spans="1:41" ht="15.75" x14ac:dyDescent="0.25">
      <c r="A44" s="231" t="s">
        <v>342</v>
      </c>
      <c r="B44" s="232" t="s">
        <v>270</v>
      </c>
      <c r="C44" s="400">
        <v>1160</v>
      </c>
      <c r="D44" s="233" t="s">
        <v>4</v>
      </c>
      <c r="E44" s="405"/>
      <c r="F44" s="405">
        <v>5.2</v>
      </c>
      <c r="G44" s="405"/>
      <c r="H44" s="408">
        <f>ROUND(+E44+F44+G44,4)</f>
        <v>5.2</v>
      </c>
      <c r="I44" s="234"/>
      <c r="J44" s="411"/>
      <c r="K44" s="411"/>
      <c r="L44" s="414">
        <v>0.1</v>
      </c>
      <c r="M44" s="414">
        <f>ROUND(+L44*C44,4)</f>
        <v>116</v>
      </c>
      <c r="N44" s="414"/>
      <c r="O44" s="414">
        <v>5.65</v>
      </c>
      <c r="P44" s="414">
        <v>0.05</v>
      </c>
      <c r="Q44" s="419">
        <f>ROUND(+N44+O44+P44,4)</f>
        <v>5.7</v>
      </c>
      <c r="R44" s="419">
        <f>ROUND(IF(+Q44-H44&lt;=0,0,Q44-H44),4)</f>
        <v>0.5</v>
      </c>
      <c r="S44" s="423">
        <v>0.5</v>
      </c>
      <c r="T44" s="419">
        <f>ROUND(+(R44*C44)*S44,4)</f>
        <v>290</v>
      </c>
      <c r="U44" s="419">
        <f>ROUND(+J44+M44+T44,4)</f>
        <v>406</v>
      </c>
      <c r="V44" s="235">
        <v>46178</v>
      </c>
      <c r="AN44" s="230">
        <f t="shared" si="6"/>
        <v>6</v>
      </c>
      <c r="AO44" s="230">
        <f t="shared" si="7"/>
        <v>2026</v>
      </c>
    </row>
    <row r="45" spans="1:41" ht="15.75" x14ac:dyDescent="0.25">
      <c r="A45" s="231"/>
      <c r="B45" s="232" t="s">
        <v>268</v>
      </c>
      <c r="C45" s="400">
        <v>400</v>
      </c>
      <c r="D45" s="233" t="s">
        <v>4</v>
      </c>
      <c r="E45" s="405"/>
      <c r="F45" s="405">
        <v>5.2</v>
      </c>
      <c r="G45" s="405">
        <v>0.1</v>
      </c>
      <c r="H45" s="408">
        <f>ROUND(+E45+F45+G45,4)</f>
        <v>5.3</v>
      </c>
      <c r="I45" s="234"/>
      <c r="J45" s="411"/>
      <c r="K45" s="411"/>
      <c r="L45" s="414">
        <v>0.1</v>
      </c>
      <c r="M45" s="414">
        <f>ROUND(+L45*C45,4)</f>
        <v>40</v>
      </c>
      <c r="N45" s="414"/>
      <c r="O45" s="414">
        <v>5.75</v>
      </c>
      <c r="P45" s="414">
        <v>0.1</v>
      </c>
      <c r="Q45" s="419">
        <f>ROUND(+N45+O45+P45,4)</f>
        <v>5.85</v>
      </c>
      <c r="R45" s="419">
        <f>ROUND(IF(+Q45-H45&lt;=0,0,Q45-H45),4)</f>
        <v>0.55000000000000004</v>
      </c>
      <c r="S45" s="423">
        <v>0.5</v>
      </c>
      <c r="T45" s="419">
        <f>ROUND(+(R45*C45)*S45,4)</f>
        <v>110</v>
      </c>
      <c r="U45" s="419">
        <f>ROUND(+J45+M45+T45,4)</f>
        <v>150</v>
      </c>
      <c r="V45" s="235">
        <v>46147</v>
      </c>
      <c r="AN45" s="230">
        <f t="shared" ref="AN45:AN94" si="12">IF(V45="",0,MONTH(V45))</f>
        <v>5</v>
      </c>
      <c r="AO45" s="230">
        <f t="shared" ref="AO45:AO94" si="13">IF(V45="",0,YEAR(V45))</f>
        <v>2026</v>
      </c>
    </row>
    <row r="46" spans="1:41" ht="15.75" x14ac:dyDescent="0.25">
      <c r="A46" s="231"/>
      <c r="B46" s="232" t="s">
        <v>268</v>
      </c>
      <c r="C46" s="400">
        <v>600</v>
      </c>
      <c r="D46" s="233" t="s">
        <v>4</v>
      </c>
      <c r="E46" s="405"/>
      <c r="F46" s="405">
        <v>5.2</v>
      </c>
      <c r="G46" s="405">
        <v>0.1</v>
      </c>
      <c r="H46" s="408">
        <f>ROUND(+E46+F46+G46,4)</f>
        <v>5.3</v>
      </c>
      <c r="I46" s="234"/>
      <c r="J46" s="411"/>
      <c r="K46" s="411"/>
      <c r="L46" s="414">
        <v>0.1</v>
      </c>
      <c r="M46" s="414">
        <f>ROUND(+L46*C46,4)</f>
        <v>60</v>
      </c>
      <c r="N46" s="414"/>
      <c r="O46" s="414">
        <v>5.75</v>
      </c>
      <c r="P46" s="414">
        <v>0.1</v>
      </c>
      <c r="Q46" s="419">
        <f>ROUND(+N46+O46+P46,4)</f>
        <v>5.85</v>
      </c>
      <c r="R46" s="419">
        <f>ROUND(IF(+Q46-H46&lt;=0,0,Q46-H46),4)</f>
        <v>0.55000000000000004</v>
      </c>
      <c r="S46" s="423">
        <v>0.5</v>
      </c>
      <c r="T46" s="419">
        <f>ROUND(+(R46*C46)*S46,4)</f>
        <v>165</v>
      </c>
      <c r="U46" s="419">
        <f>ROUND(+J46+M46+T46,4)</f>
        <v>225</v>
      </c>
      <c r="V46" s="235">
        <v>46147</v>
      </c>
      <c r="AN46" s="230">
        <f t="shared" si="12"/>
        <v>5</v>
      </c>
      <c r="AO46" s="230">
        <f t="shared" si="13"/>
        <v>2026</v>
      </c>
    </row>
    <row r="47" spans="1:41" ht="15.75" x14ac:dyDescent="0.25">
      <c r="A47" s="231"/>
      <c r="B47" s="232" t="s">
        <v>281</v>
      </c>
      <c r="C47" s="400">
        <v>40</v>
      </c>
      <c r="D47" s="233" t="s">
        <v>4</v>
      </c>
      <c r="E47" s="405">
        <v>2.75</v>
      </c>
      <c r="F47" s="405">
        <v>4.28</v>
      </c>
      <c r="G47" s="405"/>
      <c r="H47" s="408">
        <f>ROUND(+E47+F47+G47,4)</f>
        <v>7.03</v>
      </c>
      <c r="I47" s="234"/>
      <c r="J47" s="411"/>
      <c r="K47" s="411"/>
      <c r="L47" s="414">
        <v>0.1</v>
      </c>
      <c r="M47" s="414">
        <f>ROUND(+L47*C47,4)</f>
        <v>4</v>
      </c>
      <c r="N47" s="414">
        <v>3.67</v>
      </c>
      <c r="O47" s="414">
        <v>4.28</v>
      </c>
      <c r="P47" s="414"/>
      <c r="Q47" s="419">
        <f>ROUND(+N47+O47+P47,4)</f>
        <v>7.95</v>
      </c>
      <c r="R47" s="419">
        <f>ROUND(IF(+Q47-H47&lt;=0,0,Q47-H47),4)</f>
        <v>0.92</v>
      </c>
      <c r="S47" s="423">
        <v>0.5</v>
      </c>
      <c r="T47" s="419">
        <f>ROUND(+(R47*C47)*S47,4)</f>
        <v>18.399999999999999</v>
      </c>
      <c r="U47" s="419">
        <f>ROUND(+J47+M47+T47,4)</f>
        <v>22.4</v>
      </c>
      <c r="V47" s="235">
        <v>46249</v>
      </c>
      <c r="AN47" s="230">
        <f t="shared" si="12"/>
        <v>8</v>
      </c>
      <c r="AO47" s="230">
        <f t="shared" si="13"/>
        <v>2026</v>
      </c>
    </row>
    <row r="48" spans="1:41" ht="15.75" x14ac:dyDescent="0.25">
      <c r="A48" s="231"/>
      <c r="B48" s="232" t="s">
        <v>281</v>
      </c>
      <c r="C48" s="400">
        <v>30</v>
      </c>
      <c r="D48" s="233" t="s">
        <v>4</v>
      </c>
      <c r="E48" s="405"/>
      <c r="F48" s="405">
        <v>5.2</v>
      </c>
      <c r="G48" s="405"/>
      <c r="H48" s="408">
        <f>ROUND(+E48+F48+G48,4)</f>
        <v>5.2</v>
      </c>
      <c r="I48" s="234"/>
      <c r="J48" s="411"/>
      <c r="K48" s="411"/>
      <c r="L48" s="414">
        <v>0.1</v>
      </c>
      <c r="M48" s="414">
        <f>ROUND(+L48*C48,4)</f>
        <v>3</v>
      </c>
      <c r="N48" s="414"/>
      <c r="O48" s="414">
        <v>6.2</v>
      </c>
      <c r="P48" s="414"/>
      <c r="Q48" s="419">
        <f>ROUND(+N48+O48+P48,4)</f>
        <v>6.2</v>
      </c>
      <c r="R48" s="419">
        <f>ROUND(IF(+Q48-H48&lt;=0,0,Q48-H48),4)</f>
        <v>1</v>
      </c>
      <c r="S48" s="423">
        <v>0.5</v>
      </c>
      <c r="T48" s="419">
        <f>ROUND(+(R48*C48)*S48,4)</f>
        <v>15</v>
      </c>
      <c r="U48" s="419">
        <f>ROUND(+J48+M48+T48,4)</f>
        <v>18</v>
      </c>
      <c r="V48" s="235">
        <v>46157</v>
      </c>
      <c r="AN48" s="230">
        <f t="shared" si="12"/>
        <v>5</v>
      </c>
      <c r="AO48" s="230">
        <f t="shared" si="13"/>
        <v>2026</v>
      </c>
    </row>
    <row r="49" spans="1:41" ht="15.75" x14ac:dyDescent="0.25">
      <c r="A49" s="231"/>
      <c r="B49" s="232" t="s">
        <v>281</v>
      </c>
      <c r="C49" s="400">
        <v>1000</v>
      </c>
      <c r="D49" s="233" t="s">
        <v>6</v>
      </c>
      <c r="E49" s="405">
        <v>1.1599999999999999</v>
      </c>
      <c r="F49" s="405">
        <v>12.05</v>
      </c>
      <c r="G49" s="405"/>
      <c r="H49" s="408">
        <f>ROUND(+E49+F49+G49,4)</f>
        <v>13.21</v>
      </c>
      <c r="I49" s="234"/>
      <c r="J49" s="411"/>
      <c r="K49" s="411"/>
      <c r="L49" s="414">
        <v>0.1</v>
      </c>
      <c r="M49" s="414">
        <f>ROUND(+L49*C49,4)</f>
        <v>100</v>
      </c>
      <c r="N49" s="414">
        <v>2.2799999999999998</v>
      </c>
      <c r="O49" s="414">
        <v>12.05</v>
      </c>
      <c r="P49" s="414"/>
      <c r="Q49" s="419">
        <f>ROUND(+N49+O49+P49,4)</f>
        <v>14.33</v>
      </c>
      <c r="R49" s="419">
        <f>ROUND(IF(+Q49-H49&lt;=0,0,Q49-H49),4)</f>
        <v>1.1200000000000001</v>
      </c>
      <c r="S49" s="423">
        <v>0.5</v>
      </c>
      <c r="T49" s="419">
        <f>ROUND(+(R49*C49)*S49,4)</f>
        <v>560</v>
      </c>
      <c r="U49" s="419">
        <f>ROUND(+J49+M49+T49,4)</f>
        <v>660</v>
      </c>
      <c r="V49" s="235">
        <v>46185</v>
      </c>
      <c r="AN49" s="230">
        <f t="shared" si="12"/>
        <v>6</v>
      </c>
      <c r="AO49" s="230">
        <f t="shared" si="13"/>
        <v>2026</v>
      </c>
    </row>
    <row r="50" spans="1:41" ht="15.75" x14ac:dyDescent="0.25">
      <c r="A50" s="231"/>
      <c r="B50" s="232" t="s">
        <v>281</v>
      </c>
      <c r="C50" s="400">
        <v>20</v>
      </c>
      <c r="D50" s="233" t="s">
        <v>4</v>
      </c>
      <c r="E50" s="405"/>
      <c r="F50" s="405">
        <v>5.2</v>
      </c>
      <c r="G50" s="405"/>
      <c r="H50" s="408">
        <f>ROUND(+E50+F50+G50,4)</f>
        <v>5.2</v>
      </c>
      <c r="I50" s="234"/>
      <c r="J50" s="411"/>
      <c r="K50" s="411"/>
      <c r="L50" s="414">
        <v>0.1</v>
      </c>
      <c r="M50" s="414">
        <f>ROUND(+L50*C50,4)</f>
        <v>2</v>
      </c>
      <c r="N50" s="414"/>
      <c r="O50" s="414">
        <v>6.3</v>
      </c>
      <c r="P50" s="414"/>
      <c r="Q50" s="419">
        <f>ROUND(+N50+O50+P50,4)</f>
        <v>6.3</v>
      </c>
      <c r="R50" s="419">
        <f>ROUND(IF(+Q50-H50&lt;=0,0,Q50-H50),4)</f>
        <v>1.1000000000000001</v>
      </c>
      <c r="S50" s="423">
        <v>0.5</v>
      </c>
      <c r="T50" s="419">
        <f>ROUND(+(R50*C50)*S50,4)</f>
        <v>11</v>
      </c>
      <c r="U50" s="419">
        <f>ROUND(+J50+M50+T50,4)</f>
        <v>13</v>
      </c>
      <c r="V50" s="235">
        <v>46147</v>
      </c>
      <c r="AN50" s="230">
        <f t="shared" si="12"/>
        <v>5</v>
      </c>
      <c r="AO50" s="230">
        <f t="shared" si="13"/>
        <v>2026</v>
      </c>
    </row>
    <row r="51" spans="1:41" ht="15.75" x14ac:dyDescent="0.25">
      <c r="A51" s="231"/>
      <c r="B51" s="232" t="s">
        <v>281</v>
      </c>
      <c r="C51" s="400">
        <v>170</v>
      </c>
      <c r="D51" s="233" t="s">
        <v>4</v>
      </c>
      <c r="E51" s="405"/>
      <c r="F51" s="405">
        <v>5.2</v>
      </c>
      <c r="G51" s="405"/>
      <c r="H51" s="408">
        <f>ROUND(+E51+F51+G51,4)</f>
        <v>5.2</v>
      </c>
      <c r="I51" s="234"/>
      <c r="J51" s="411"/>
      <c r="K51" s="411"/>
      <c r="L51" s="414">
        <v>0.1</v>
      </c>
      <c r="M51" s="414">
        <f>ROUND(+L51*C51,4)</f>
        <v>17</v>
      </c>
      <c r="N51" s="414"/>
      <c r="O51" s="414">
        <v>6.3</v>
      </c>
      <c r="P51" s="414"/>
      <c r="Q51" s="419">
        <f>ROUND(+N51+O51+P51,4)</f>
        <v>6.3</v>
      </c>
      <c r="R51" s="419">
        <f>ROUND(IF(+Q51-H51&lt;=0,0,Q51-H51),4)</f>
        <v>1.1000000000000001</v>
      </c>
      <c r="S51" s="423">
        <v>0.5</v>
      </c>
      <c r="T51" s="419">
        <f>ROUND(+(R51*C51)*S51,4)</f>
        <v>93.5</v>
      </c>
      <c r="U51" s="419">
        <f>ROUND(+J51+M51+T51,4)</f>
        <v>110.5</v>
      </c>
      <c r="V51" s="235">
        <v>46147</v>
      </c>
      <c r="AN51" s="230">
        <f t="shared" si="12"/>
        <v>5</v>
      </c>
      <c r="AO51" s="230">
        <f t="shared" si="13"/>
        <v>2026</v>
      </c>
    </row>
    <row r="52" spans="1:41" ht="15.75" x14ac:dyDescent="0.25">
      <c r="A52" s="231"/>
      <c r="B52" s="232" t="s">
        <v>281</v>
      </c>
      <c r="C52" s="400">
        <v>30</v>
      </c>
      <c r="D52" s="233" t="s">
        <v>4</v>
      </c>
      <c r="E52" s="405"/>
      <c r="F52" s="405">
        <v>5.2</v>
      </c>
      <c r="G52" s="405"/>
      <c r="H52" s="408">
        <f>ROUND(+E52+F52+G52,4)</f>
        <v>5.2</v>
      </c>
      <c r="I52" s="234"/>
      <c r="J52" s="411"/>
      <c r="K52" s="411"/>
      <c r="L52" s="414">
        <v>0.1</v>
      </c>
      <c r="M52" s="414">
        <f>ROUND(+L52*C52,4)</f>
        <v>3</v>
      </c>
      <c r="N52" s="414"/>
      <c r="O52" s="414">
        <v>6.3</v>
      </c>
      <c r="P52" s="414"/>
      <c r="Q52" s="419">
        <f>ROUND(+N52+O52+P52,4)</f>
        <v>6.3</v>
      </c>
      <c r="R52" s="419">
        <f>ROUND(IF(+Q52-H52&lt;=0,0,Q52-H52),4)</f>
        <v>1.1000000000000001</v>
      </c>
      <c r="S52" s="423">
        <v>0.5</v>
      </c>
      <c r="T52" s="419">
        <f>ROUND(+(R52*C52)*S52,4)</f>
        <v>16.5</v>
      </c>
      <c r="U52" s="419">
        <f>ROUND(+J52+M52+T52,4)</f>
        <v>19.5</v>
      </c>
      <c r="V52" s="235">
        <v>46147</v>
      </c>
      <c r="AN52" s="230">
        <f t="shared" si="12"/>
        <v>5</v>
      </c>
      <c r="AO52" s="230">
        <f t="shared" si="13"/>
        <v>2026</v>
      </c>
    </row>
    <row r="53" spans="1:41" ht="15.75" x14ac:dyDescent="0.25">
      <c r="A53" s="231"/>
      <c r="B53" s="232" t="s">
        <v>323</v>
      </c>
      <c r="C53" s="400">
        <v>60</v>
      </c>
      <c r="D53" s="233" t="s">
        <v>6</v>
      </c>
      <c r="E53" s="405">
        <v>1.1000000000000001</v>
      </c>
      <c r="F53" s="405">
        <v>11.69</v>
      </c>
      <c r="G53" s="405"/>
      <c r="H53" s="408">
        <f>ROUND(+E53+F53+G53,4)</f>
        <v>12.79</v>
      </c>
      <c r="I53" s="234"/>
      <c r="J53" s="411"/>
      <c r="K53" s="411"/>
      <c r="L53" s="414">
        <v>0.1</v>
      </c>
      <c r="M53" s="414">
        <f>ROUND(+L53*C53,4)</f>
        <v>6</v>
      </c>
      <c r="N53" s="414">
        <v>2.94</v>
      </c>
      <c r="O53" s="414">
        <v>11.69</v>
      </c>
      <c r="P53" s="414"/>
      <c r="Q53" s="419">
        <f>ROUND(+N53+O53+P53,4)</f>
        <v>14.63</v>
      </c>
      <c r="R53" s="419">
        <f>ROUND(IF(+Q53-H53&lt;=0,0,Q53-H53),4)</f>
        <v>1.84</v>
      </c>
      <c r="S53" s="423">
        <v>0.5</v>
      </c>
      <c r="T53" s="419">
        <f>ROUND(+(R53*C53)*S53,4)</f>
        <v>55.2</v>
      </c>
      <c r="U53" s="419">
        <f>ROUND(+J53+M53+T53,4)</f>
        <v>61.2</v>
      </c>
      <c r="V53" s="235">
        <v>46150</v>
      </c>
      <c r="AN53" s="230">
        <f t="shared" si="12"/>
        <v>5</v>
      </c>
      <c r="AO53" s="230">
        <f t="shared" si="13"/>
        <v>2026</v>
      </c>
    </row>
    <row r="54" spans="1:41" ht="15.75" x14ac:dyDescent="0.25">
      <c r="A54" s="231" t="s">
        <v>348</v>
      </c>
      <c r="B54" s="376" t="s">
        <v>346</v>
      </c>
      <c r="C54" s="402">
        <v>82.98</v>
      </c>
      <c r="D54" s="233" t="s">
        <v>6</v>
      </c>
      <c r="E54" s="405">
        <v>1.0900000000000001</v>
      </c>
      <c r="F54" s="405">
        <v>11.69</v>
      </c>
      <c r="G54" s="405"/>
      <c r="H54" s="408">
        <f>ROUND(+E54+F54+G54,4)</f>
        <v>12.78</v>
      </c>
      <c r="I54" s="234"/>
      <c r="J54" s="411"/>
      <c r="K54" s="411"/>
      <c r="L54" s="414">
        <v>0.1</v>
      </c>
      <c r="M54" s="414">
        <f>ROUND(+L54*C54,4)</f>
        <v>8.298</v>
      </c>
      <c r="N54" s="414">
        <v>1.85</v>
      </c>
      <c r="O54" s="414">
        <v>11.69</v>
      </c>
      <c r="P54" s="414"/>
      <c r="Q54" s="419">
        <f>ROUND(+N54+O54+P54,4)</f>
        <v>13.54</v>
      </c>
      <c r="R54" s="419">
        <f>ROUND(IF(+Q54-H54&lt;=0,0,Q54-H54),4)</f>
        <v>0.76</v>
      </c>
      <c r="S54" s="423">
        <v>0.5</v>
      </c>
      <c r="T54" s="419">
        <f>ROUND(+(R54*C54)*S54,4)</f>
        <v>31.532399999999999</v>
      </c>
      <c r="U54" s="426">
        <f>ROUND(+J54+M54+T54,4)</f>
        <v>39.830399999999997</v>
      </c>
      <c r="V54" s="235"/>
      <c r="Y54" s="230" t="s">
        <v>349</v>
      </c>
      <c r="AN54" s="230">
        <f t="shared" si="12"/>
        <v>0</v>
      </c>
      <c r="AO54" s="230">
        <f t="shared" si="13"/>
        <v>0</v>
      </c>
    </row>
    <row r="55" spans="1:41" ht="15.75" x14ac:dyDescent="0.25">
      <c r="A55" s="231" t="s">
        <v>348</v>
      </c>
      <c r="B55" s="376" t="s">
        <v>346</v>
      </c>
      <c r="C55" s="402">
        <v>81.98</v>
      </c>
      <c r="D55" s="233" t="s">
        <v>6</v>
      </c>
      <c r="E55" s="405">
        <v>1.04</v>
      </c>
      <c r="F55" s="405">
        <v>11.69</v>
      </c>
      <c r="G55" s="405"/>
      <c r="H55" s="408">
        <f>ROUND(+E55+F55+G55,4)</f>
        <v>12.73</v>
      </c>
      <c r="I55" s="234"/>
      <c r="J55" s="411"/>
      <c r="K55" s="411"/>
      <c r="L55" s="414">
        <v>0.1</v>
      </c>
      <c r="M55" s="414">
        <f>ROUND(+L55*C55,4)</f>
        <v>8.1980000000000004</v>
      </c>
      <c r="N55" s="414">
        <v>1.85</v>
      </c>
      <c r="O55" s="414">
        <v>11.69</v>
      </c>
      <c r="P55" s="414"/>
      <c r="Q55" s="419">
        <f>ROUND(+N55+O55+P55,4)</f>
        <v>13.54</v>
      </c>
      <c r="R55" s="419">
        <f>ROUND(IF(+Q55-H55&lt;=0,0,Q55-H55),4)</f>
        <v>0.81</v>
      </c>
      <c r="S55" s="423">
        <v>0.5</v>
      </c>
      <c r="T55" s="419">
        <f>ROUND(+(R55*C55)*S55,4)</f>
        <v>33.201900000000002</v>
      </c>
      <c r="U55" s="426">
        <f>ROUND(+J55+M55+T55,4)</f>
        <v>41.399900000000002</v>
      </c>
      <c r="V55" s="235"/>
      <c r="Y55" s="230" t="s">
        <v>349</v>
      </c>
      <c r="AN55" s="230">
        <f t="shared" si="12"/>
        <v>0</v>
      </c>
      <c r="AO55" s="230">
        <f t="shared" si="13"/>
        <v>0</v>
      </c>
    </row>
    <row r="56" spans="1:41" ht="15.75" x14ac:dyDescent="0.25">
      <c r="A56" s="231"/>
      <c r="B56" s="232" t="s">
        <v>281</v>
      </c>
      <c r="C56" s="400">
        <v>30</v>
      </c>
      <c r="D56" s="233" t="s">
        <v>6</v>
      </c>
      <c r="E56" s="405">
        <v>1.1299999999999999</v>
      </c>
      <c r="F56" s="405">
        <v>11.69</v>
      </c>
      <c r="G56" s="405"/>
      <c r="H56" s="408">
        <f>ROUND(+E56+F56+G56,4)</f>
        <v>12.82</v>
      </c>
      <c r="I56" s="234"/>
      <c r="J56" s="411"/>
      <c r="K56" s="411"/>
      <c r="L56" s="414">
        <v>0.1</v>
      </c>
      <c r="M56" s="414">
        <f>ROUND(+L56*C56,4)</f>
        <v>3</v>
      </c>
      <c r="N56" s="414">
        <v>2.71</v>
      </c>
      <c r="O56" s="414">
        <v>11.69</v>
      </c>
      <c r="P56" s="414"/>
      <c r="Q56" s="419">
        <f>ROUND(+N56+O56+P56,4)</f>
        <v>14.4</v>
      </c>
      <c r="R56" s="419">
        <f>ROUND(IF(+Q56-H56&lt;=0,0,Q56-H56),4)</f>
        <v>1.58</v>
      </c>
      <c r="S56" s="423">
        <v>0.5</v>
      </c>
      <c r="T56" s="419">
        <f>ROUND(+(R56*C56)*S56,4)</f>
        <v>23.7</v>
      </c>
      <c r="U56" s="419">
        <f>ROUND(+J56+M56+T56,4)</f>
        <v>26.7</v>
      </c>
      <c r="V56" s="235">
        <v>46178</v>
      </c>
      <c r="AN56" s="230">
        <f t="shared" si="12"/>
        <v>6</v>
      </c>
      <c r="AO56" s="230">
        <f t="shared" si="13"/>
        <v>2026</v>
      </c>
    </row>
    <row r="57" spans="1:41" ht="15.75" x14ac:dyDescent="0.25">
      <c r="A57" s="231"/>
      <c r="B57" s="232" t="s">
        <v>302</v>
      </c>
      <c r="C57" s="400">
        <v>500</v>
      </c>
      <c r="D57" s="233" t="s">
        <v>4</v>
      </c>
      <c r="E57" s="405"/>
      <c r="F57" s="405">
        <v>5.9</v>
      </c>
      <c r="G57" s="405">
        <v>0.05</v>
      </c>
      <c r="H57" s="408">
        <f>ROUND(+E57+F57+G57,4)</f>
        <v>5.95</v>
      </c>
      <c r="I57" s="234"/>
      <c r="J57" s="411"/>
      <c r="K57" s="411"/>
      <c r="L57" s="414">
        <v>0.1</v>
      </c>
      <c r="M57" s="414">
        <f>ROUND(+L57*C57,4)</f>
        <v>50</v>
      </c>
      <c r="N57" s="414"/>
      <c r="O57" s="414">
        <v>6.55</v>
      </c>
      <c r="P57" s="414">
        <v>0.05</v>
      </c>
      <c r="Q57" s="419">
        <f>ROUND(+N57+O57+P57,4)</f>
        <v>6.6</v>
      </c>
      <c r="R57" s="419">
        <f>ROUND(IF(+Q57-H57&lt;=0,0,Q57-H57),4)</f>
        <v>0.65</v>
      </c>
      <c r="S57" s="423">
        <v>0.5</v>
      </c>
      <c r="T57" s="419">
        <f>ROUND(+(R57*C57)*S57,4)</f>
        <v>162.5</v>
      </c>
      <c r="U57" s="419">
        <f>ROUND(+J57+M57+T57,4)</f>
        <v>212.5</v>
      </c>
      <c r="V57" s="235"/>
      <c r="AN57" s="230">
        <f t="shared" si="12"/>
        <v>0</v>
      </c>
      <c r="AO57" s="230">
        <f t="shared" si="13"/>
        <v>0</v>
      </c>
    </row>
    <row r="58" spans="1:41" ht="15.75" x14ac:dyDescent="0.25">
      <c r="A58" s="231"/>
      <c r="B58" s="232" t="s">
        <v>302</v>
      </c>
      <c r="C58" s="400">
        <v>1000</v>
      </c>
      <c r="D58" s="233" t="s">
        <v>4</v>
      </c>
      <c r="E58" s="405"/>
      <c r="F58" s="405">
        <v>5.9</v>
      </c>
      <c r="G58" s="405">
        <v>0.05</v>
      </c>
      <c r="H58" s="408">
        <f>ROUND(+E58+F58+G58,4)</f>
        <v>5.95</v>
      </c>
      <c r="I58" s="234"/>
      <c r="J58" s="411"/>
      <c r="K58" s="411"/>
      <c r="L58" s="414">
        <v>0.1</v>
      </c>
      <c r="M58" s="414">
        <f>ROUND(+L58*C58,4)</f>
        <v>100</v>
      </c>
      <c r="N58" s="414"/>
      <c r="O58" s="414">
        <v>6.55</v>
      </c>
      <c r="P58" s="414"/>
      <c r="Q58" s="419">
        <f>ROUND(+N58+O58+P58,4)</f>
        <v>6.55</v>
      </c>
      <c r="R58" s="419">
        <f>ROUND(IF(+Q58-H58&lt;=0,0,Q58-H58),4)</f>
        <v>0.6</v>
      </c>
      <c r="S58" s="423">
        <v>0.5</v>
      </c>
      <c r="T58" s="419">
        <f>ROUND(+(R58*C58)*S58,4)</f>
        <v>300</v>
      </c>
      <c r="U58" s="419">
        <f>ROUND(+J58+M58+T58,4)</f>
        <v>400</v>
      </c>
      <c r="V58" s="235"/>
      <c r="AN58" s="230">
        <f t="shared" si="12"/>
        <v>0</v>
      </c>
      <c r="AO58" s="230">
        <f t="shared" si="13"/>
        <v>0</v>
      </c>
    </row>
    <row r="59" spans="1:41" ht="15.75" x14ac:dyDescent="0.25">
      <c r="A59" s="231"/>
      <c r="B59" s="232" t="s">
        <v>268</v>
      </c>
      <c r="C59" s="400">
        <v>200</v>
      </c>
      <c r="D59" s="233" t="s">
        <v>6</v>
      </c>
      <c r="E59" s="405"/>
      <c r="F59" s="405">
        <v>5.2</v>
      </c>
      <c r="G59" s="405">
        <v>0.1</v>
      </c>
      <c r="H59" s="408">
        <f>ROUND(+E59+F59+G59,4)</f>
        <v>5.3</v>
      </c>
      <c r="I59" s="234"/>
      <c r="J59" s="411"/>
      <c r="K59" s="411"/>
      <c r="L59" s="414">
        <v>0.1</v>
      </c>
      <c r="M59" s="414">
        <f>ROUND(+L59*C59,4)</f>
        <v>20</v>
      </c>
      <c r="N59" s="414"/>
      <c r="O59" s="414">
        <v>5.75</v>
      </c>
      <c r="P59" s="414">
        <v>0.1</v>
      </c>
      <c r="Q59" s="419">
        <f>ROUND(+N59+O59+P59,4)</f>
        <v>5.85</v>
      </c>
      <c r="R59" s="419">
        <f>ROUND(IF(+Q59-H59&lt;=0,0,Q59-H59),4)</f>
        <v>0.55000000000000004</v>
      </c>
      <c r="S59" s="423">
        <v>0.5</v>
      </c>
      <c r="T59" s="419">
        <f>ROUND(+(R59*C59)*S59,4)</f>
        <v>55</v>
      </c>
      <c r="U59" s="419">
        <f>ROUND(+J59+M59+T59,4)</f>
        <v>75</v>
      </c>
      <c r="V59" s="235">
        <v>46156</v>
      </c>
      <c r="AN59" s="230">
        <f t="shared" si="12"/>
        <v>5</v>
      </c>
      <c r="AO59" s="230">
        <f t="shared" si="13"/>
        <v>2026</v>
      </c>
    </row>
    <row r="60" spans="1:41" ht="15.75" x14ac:dyDescent="0.25">
      <c r="A60" s="231"/>
      <c r="B60" s="232" t="s">
        <v>268</v>
      </c>
      <c r="C60" s="400">
        <v>200</v>
      </c>
      <c r="D60" s="233" t="s">
        <v>6</v>
      </c>
      <c r="E60" s="405"/>
      <c r="F60" s="405">
        <v>5.2</v>
      </c>
      <c r="G60" s="405">
        <v>0.1</v>
      </c>
      <c r="H60" s="408">
        <f>ROUND(+E60+F60+G60,4)</f>
        <v>5.3</v>
      </c>
      <c r="I60" s="234"/>
      <c r="J60" s="411"/>
      <c r="K60" s="411"/>
      <c r="L60" s="414">
        <v>0.1</v>
      </c>
      <c r="M60" s="414">
        <f>ROUND(+L60*C60,4)</f>
        <v>20</v>
      </c>
      <c r="N60" s="414"/>
      <c r="O60" s="414">
        <v>5.75</v>
      </c>
      <c r="P60" s="414">
        <v>0.1</v>
      </c>
      <c r="Q60" s="419">
        <f>ROUND(+N60+O60+P60,4)</f>
        <v>5.85</v>
      </c>
      <c r="R60" s="419">
        <f>ROUND(IF(+Q60-H60&lt;=0,0,Q60-H60),4)</f>
        <v>0.55000000000000004</v>
      </c>
      <c r="S60" s="423">
        <v>0.5</v>
      </c>
      <c r="T60" s="419">
        <f>ROUND(+(R60*C60)*S60,4)</f>
        <v>55</v>
      </c>
      <c r="U60" s="419">
        <f>ROUND(+J60+M60+T60,4)</f>
        <v>75</v>
      </c>
      <c r="V60" s="235">
        <v>46178</v>
      </c>
      <c r="AN60" s="230">
        <f t="shared" si="12"/>
        <v>6</v>
      </c>
      <c r="AO60" s="230">
        <f t="shared" si="13"/>
        <v>2026</v>
      </c>
    </row>
    <row r="61" spans="1:41" ht="15.75" x14ac:dyDescent="0.25">
      <c r="A61" s="231" t="s">
        <v>353</v>
      </c>
      <c r="B61" s="376" t="s">
        <v>255</v>
      </c>
      <c r="C61" s="402">
        <v>87.72</v>
      </c>
      <c r="D61" s="233" t="s">
        <v>4</v>
      </c>
      <c r="E61" s="405"/>
      <c r="F61" s="405">
        <v>5.2</v>
      </c>
      <c r="G61" s="405">
        <v>0.1</v>
      </c>
      <c r="H61" s="408">
        <f>ROUND(+E61+F61+G61,4)</f>
        <v>5.3</v>
      </c>
      <c r="I61" s="234"/>
      <c r="J61" s="411"/>
      <c r="K61" s="411"/>
      <c r="L61" s="414">
        <v>0.1</v>
      </c>
      <c r="M61" s="414">
        <f>ROUND(+L61*C61,4)</f>
        <v>8.7720000000000002</v>
      </c>
      <c r="N61" s="414"/>
      <c r="O61" s="414">
        <v>5.75</v>
      </c>
      <c r="P61" s="414">
        <v>0.1</v>
      </c>
      <c r="Q61" s="419">
        <f>ROUND(+N61+O61+P61,4)</f>
        <v>5.85</v>
      </c>
      <c r="R61" s="419">
        <f>ROUND(IF(+Q61-H61&lt;=0,0,Q61-H61),4)</f>
        <v>0.55000000000000004</v>
      </c>
      <c r="S61" s="423">
        <v>0.5</v>
      </c>
      <c r="T61" s="419">
        <f>ROUND(+(R61*C61)*S61,4)</f>
        <v>24.123000000000001</v>
      </c>
      <c r="U61" s="426">
        <f>ROUND(+J61+M61+T61,4)</f>
        <v>32.895000000000003</v>
      </c>
      <c r="V61" s="235"/>
      <c r="Y61" s="230" t="s">
        <v>349</v>
      </c>
      <c r="AN61" s="230">
        <f t="shared" si="12"/>
        <v>0</v>
      </c>
      <c r="AO61" s="230">
        <f t="shared" si="13"/>
        <v>0</v>
      </c>
    </row>
    <row r="62" spans="1:41" ht="15.75" x14ac:dyDescent="0.25">
      <c r="A62" s="231" t="s">
        <v>353</v>
      </c>
      <c r="B62" s="376" t="s">
        <v>255</v>
      </c>
      <c r="C62" s="402">
        <v>1060.1500000000001</v>
      </c>
      <c r="D62" s="233" t="s">
        <v>4</v>
      </c>
      <c r="E62" s="405"/>
      <c r="F62" s="405">
        <v>5.2</v>
      </c>
      <c r="G62" s="405">
        <v>0.1</v>
      </c>
      <c r="H62" s="408">
        <f>ROUND(+E62+F62+G62,4)</f>
        <v>5.3</v>
      </c>
      <c r="I62" s="234"/>
      <c r="J62" s="411"/>
      <c r="K62" s="411"/>
      <c r="L62" s="414">
        <v>0.1</v>
      </c>
      <c r="M62" s="414">
        <f>ROUND(+L62*C62,4)</f>
        <v>106.015</v>
      </c>
      <c r="N62" s="414"/>
      <c r="O62" s="414">
        <v>5.75</v>
      </c>
      <c r="P62" s="414">
        <v>0.1</v>
      </c>
      <c r="Q62" s="419">
        <f>ROUND(+N62+O62+P62,4)</f>
        <v>5.85</v>
      </c>
      <c r="R62" s="419">
        <f>ROUND(IF(+Q62-H62&lt;=0,0,Q62-H62),4)</f>
        <v>0.55000000000000004</v>
      </c>
      <c r="S62" s="423">
        <v>0.5</v>
      </c>
      <c r="T62" s="419">
        <f>ROUND(+(R62*C62)*S62,4)</f>
        <v>291.54129999999998</v>
      </c>
      <c r="U62" s="426">
        <f>ROUND(+J62+M62+T62,4)</f>
        <v>397.55630000000002</v>
      </c>
      <c r="V62" s="235"/>
      <c r="Y62" s="230" t="s">
        <v>349</v>
      </c>
      <c r="AN62" s="230">
        <f t="shared" si="12"/>
        <v>0</v>
      </c>
      <c r="AO62" s="230">
        <f t="shared" si="13"/>
        <v>0</v>
      </c>
    </row>
    <row r="63" spans="1:41" ht="15.75" x14ac:dyDescent="0.25">
      <c r="A63" s="231"/>
      <c r="B63" s="232" t="s">
        <v>262</v>
      </c>
      <c r="C63" s="400">
        <v>1400</v>
      </c>
      <c r="D63" s="233" t="s">
        <v>6</v>
      </c>
      <c r="E63" s="405">
        <v>1.1100000000000001</v>
      </c>
      <c r="F63" s="405">
        <v>11.8</v>
      </c>
      <c r="G63" s="405"/>
      <c r="H63" s="408">
        <f>ROUND(+E63+F63+G63,4)</f>
        <v>12.91</v>
      </c>
      <c r="I63" s="234"/>
      <c r="J63" s="411"/>
      <c r="K63" s="411"/>
      <c r="L63" s="414">
        <v>0.1</v>
      </c>
      <c r="M63" s="414">
        <f>ROUND(+L63*C63,4)</f>
        <v>140</v>
      </c>
      <c r="N63" s="414">
        <v>1.2</v>
      </c>
      <c r="O63" s="414">
        <v>11.8</v>
      </c>
      <c r="P63" s="414"/>
      <c r="Q63" s="419">
        <f>ROUND(+N63+O63+P63,4)</f>
        <v>13</v>
      </c>
      <c r="R63" s="419">
        <f>ROUND(IF(+Q63-H63&lt;=0,0,Q63-H63),4)</f>
        <v>0.09</v>
      </c>
      <c r="S63" s="423">
        <v>0.5</v>
      </c>
      <c r="T63" s="419">
        <f>ROUND(+(R63*C63)*S63,4)</f>
        <v>63</v>
      </c>
      <c r="U63" s="419">
        <f>ROUND(+J63+M63+T63,4)</f>
        <v>203</v>
      </c>
      <c r="V63" s="235">
        <v>46157</v>
      </c>
      <c r="AN63" s="230">
        <f t="shared" si="12"/>
        <v>5</v>
      </c>
      <c r="AO63" s="230">
        <f t="shared" si="13"/>
        <v>2026</v>
      </c>
    </row>
    <row r="64" spans="1:41" ht="15.75" x14ac:dyDescent="0.25">
      <c r="A64" s="231"/>
      <c r="B64" s="232" t="s">
        <v>262</v>
      </c>
      <c r="C64" s="400">
        <v>1300</v>
      </c>
      <c r="D64" s="233" t="s">
        <v>6</v>
      </c>
      <c r="E64" s="405">
        <v>1.1100000000000001</v>
      </c>
      <c r="F64" s="405">
        <v>11.8</v>
      </c>
      <c r="G64" s="405"/>
      <c r="H64" s="408">
        <f>ROUND(+E64+F64+G64,4)</f>
        <v>12.91</v>
      </c>
      <c r="I64" s="234"/>
      <c r="J64" s="411"/>
      <c r="K64" s="411"/>
      <c r="L64" s="414">
        <v>0.1</v>
      </c>
      <c r="M64" s="414">
        <f>ROUND(+L64*C64,4)</f>
        <v>130</v>
      </c>
      <c r="N64" s="414">
        <v>1.2</v>
      </c>
      <c r="O64" s="414">
        <v>11.8</v>
      </c>
      <c r="P64" s="414"/>
      <c r="Q64" s="419">
        <f>ROUND(+N64+O64+P64,4)</f>
        <v>13</v>
      </c>
      <c r="R64" s="419">
        <f>ROUND(IF(+Q64-H64&lt;=0,0,Q64-H64),4)</f>
        <v>0.09</v>
      </c>
      <c r="S64" s="423">
        <v>0.5</v>
      </c>
      <c r="T64" s="419">
        <f>ROUND(+(R64*C64)*S64,4)</f>
        <v>58.5</v>
      </c>
      <c r="U64" s="419">
        <f>ROUND(+J64+M64+T64,4)</f>
        <v>188.5</v>
      </c>
      <c r="V64" s="235">
        <v>46188</v>
      </c>
      <c r="AN64" s="230">
        <f t="shared" si="12"/>
        <v>6</v>
      </c>
      <c r="AO64" s="230">
        <f t="shared" si="13"/>
        <v>2026</v>
      </c>
    </row>
    <row r="65" spans="1:41" ht="15.75" x14ac:dyDescent="0.25">
      <c r="A65" s="231"/>
      <c r="B65" s="232" t="s">
        <v>262</v>
      </c>
      <c r="C65" s="400">
        <v>120</v>
      </c>
      <c r="D65" s="233" t="s">
        <v>6</v>
      </c>
      <c r="E65" s="405">
        <v>1.1000000000000001</v>
      </c>
      <c r="F65" s="405">
        <v>11.8</v>
      </c>
      <c r="G65" s="405"/>
      <c r="H65" s="408">
        <f>ROUND(+E65+F65+G65,4)</f>
        <v>12.9</v>
      </c>
      <c r="I65" s="234"/>
      <c r="J65" s="411"/>
      <c r="K65" s="411"/>
      <c r="L65" s="414">
        <v>0.1</v>
      </c>
      <c r="M65" s="414">
        <f>ROUND(+L65*C65,4)</f>
        <v>12</v>
      </c>
      <c r="N65" s="414">
        <v>1.2</v>
      </c>
      <c r="O65" s="414">
        <v>11.8</v>
      </c>
      <c r="P65" s="414"/>
      <c r="Q65" s="419">
        <f>ROUND(+N65+O65+P65,4)</f>
        <v>13</v>
      </c>
      <c r="R65" s="419">
        <f>ROUND(IF(+Q65-H65&lt;=0,0,Q65-H65),4)</f>
        <v>0.1</v>
      </c>
      <c r="S65" s="423">
        <v>0.5</v>
      </c>
      <c r="T65" s="419">
        <f>ROUND(+(R65*C65)*S65,4)</f>
        <v>6</v>
      </c>
      <c r="U65" s="419">
        <f>ROUND(+J65+M65+T65,4)</f>
        <v>18</v>
      </c>
      <c r="V65" s="235">
        <v>46157</v>
      </c>
      <c r="AN65" s="230">
        <f t="shared" si="12"/>
        <v>5</v>
      </c>
      <c r="AO65" s="230">
        <f t="shared" si="13"/>
        <v>2026</v>
      </c>
    </row>
    <row r="66" spans="1:41" ht="15.75" x14ac:dyDescent="0.25">
      <c r="A66" s="231"/>
      <c r="B66" s="232" t="s">
        <v>262</v>
      </c>
      <c r="C66" s="400">
        <v>520</v>
      </c>
      <c r="D66" s="233" t="s">
        <v>6</v>
      </c>
      <c r="E66" s="405">
        <v>1.1000000000000001</v>
      </c>
      <c r="F66" s="405">
        <v>11.8</v>
      </c>
      <c r="G66" s="405"/>
      <c r="H66" s="408">
        <f>ROUND(+E66+F66+G66,4)</f>
        <v>12.9</v>
      </c>
      <c r="I66" s="234"/>
      <c r="J66" s="411"/>
      <c r="K66" s="411"/>
      <c r="L66" s="414">
        <v>0.1</v>
      </c>
      <c r="M66" s="414">
        <f>ROUND(+L66*C66,4)</f>
        <v>52</v>
      </c>
      <c r="N66" s="414">
        <v>1.2</v>
      </c>
      <c r="O66" s="414">
        <v>11.8</v>
      </c>
      <c r="P66" s="414"/>
      <c r="Q66" s="419">
        <f>ROUND(+N66+O66+P66,4)</f>
        <v>13</v>
      </c>
      <c r="R66" s="419">
        <f>ROUND(IF(+Q66-H66&lt;=0,0,Q66-H66),4)</f>
        <v>0.1</v>
      </c>
      <c r="S66" s="423">
        <v>0.5</v>
      </c>
      <c r="T66" s="419">
        <f>ROUND(+(R66*C66)*S66,4)</f>
        <v>26</v>
      </c>
      <c r="U66" s="419">
        <f>ROUND(+J66+M66+T66,4)</f>
        <v>78</v>
      </c>
      <c r="V66" s="235">
        <v>46157</v>
      </c>
      <c r="AN66" s="230">
        <f t="shared" si="12"/>
        <v>5</v>
      </c>
      <c r="AO66" s="230">
        <f t="shared" si="13"/>
        <v>2026</v>
      </c>
    </row>
    <row r="67" spans="1:41" ht="15.75" x14ac:dyDescent="0.25">
      <c r="A67" s="231"/>
      <c r="B67" s="232" t="s">
        <v>262</v>
      </c>
      <c r="C67" s="400">
        <v>400</v>
      </c>
      <c r="D67" s="233" t="s">
        <v>6</v>
      </c>
      <c r="E67" s="405">
        <v>1.1599999999999999</v>
      </c>
      <c r="F67" s="405">
        <v>11.8</v>
      </c>
      <c r="G67" s="405"/>
      <c r="H67" s="408">
        <f>ROUND(+E67+F67+G67,4)</f>
        <v>12.96</v>
      </c>
      <c r="I67" s="234"/>
      <c r="J67" s="411"/>
      <c r="K67" s="411"/>
      <c r="L67" s="414">
        <v>0.1</v>
      </c>
      <c r="M67" s="414">
        <f>ROUND(+L67*C67,4)</f>
        <v>40</v>
      </c>
      <c r="N67" s="414">
        <v>1.2</v>
      </c>
      <c r="O67" s="414">
        <v>11.8</v>
      </c>
      <c r="P67" s="414"/>
      <c r="Q67" s="419">
        <f>ROUND(+N67+O67+P67,4)</f>
        <v>13</v>
      </c>
      <c r="R67" s="419">
        <f>ROUND(IF(+Q67-H67&lt;=0,0,Q67-H67),4)</f>
        <v>0.04</v>
      </c>
      <c r="S67" s="423">
        <v>0.5</v>
      </c>
      <c r="T67" s="419">
        <f>ROUND(+(R67*C67)*S67,4)</f>
        <v>8</v>
      </c>
      <c r="U67" s="419">
        <f>ROUND(+J67+M67+T67,4)</f>
        <v>48</v>
      </c>
      <c r="V67" s="235">
        <v>46157</v>
      </c>
      <c r="AN67" s="230">
        <f t="shared" si="12"/>
        <v>5</v>
      </c>
      <c r="AO67" s="230">
        <f t="shared" si="13"/>
        <v>2026</v>
      </c>
    </row>
    <row r="68" spans="1:41" ht="15.75" x14ac:dyDescent="0.25">
      <c r="A68" s="231"/>
      <c r="B68" s="232" t="s">
        <v>262</v>
      </c>
      <c r="C68" s="400">
        <v>350</v>
      </c>
      <c r="D68" s="233" t="s">
        <v>6</v>
      </c>
      <c r="E68" s="405">
        <v>1.1599999999999999</v>
      </c>
      <c r="F68" s="405">
        <v>11.8</v>
      </c>
      <c r="G68" s="405"/>
      <c r="H68" s="408">
        <f>ROUND(+E68+F68+G68,4)</f>
        <v>12.96</v>
      </c>
      <c r="I68" s="234"/>
      <c r="J68" s="411"/>
      <c r="K68" s="411"/>
      <c r="L68" s="414">
        <v>0.1</v>
      </c>
      <c r="M68" s="414">
        <f>ROUND(+L68*C68,4)</f>
        <v>35</v>
      </c>
      <c r="N68" s="414">
        <v>1.2</v>
      </c>
      <c r="O68" s="414">
        <v>11.8</v>
      </c>
      <c r="P68" s="414"/>
      <c r="Q68" s="419">
        <f>ROUND(+N68+O68+P68,4)</f>
        <v>13</v>
      </c>
      <c r="R68" s="419">
        <f>ROUND(IF(+Q68-H68&lt;=0,0,Q68-H68),4)</f>
        <v>0.04</v>
      </c>
      <c r="S68" s="423">
        <v>0.5</v>
      </c>
      <c r="T68" s="419">
        <f>ROUND(+(R68*C68)*S68,4)</f>
        <v>7</v>
      </c>
      <c r="U68" s="419">
        <f>ROUND(+J68+M68+T68,4)</f>
        <v>42</v>
      </c>
      <c r="V68" s="235">
        <v>46188</v>
      </c>
      <c r="AN68" s="230">
        <f t="shared" si="12"/>
        <v>6</v>
      </c>
      <c r="AO68" s="230">
        <f t="shared" si="13"/>
        <v>2026</v>
      </c>
    </row>
    <row r="69" spans="1:41" ht="15.75" x14ac:dyDescent="0.25">
      <c r="A69" s="231" t="s">
        <v>351</v>
      </c>
      <c r="B69" s="376" t="s">
        <v>307</v>
      </c>
      <c r="C69" s="402">
        <v>41.4</v>
      </c>
      <c r="D69" s="233" t="s">
        <v>6</v>
      </c>
      <c r="E69" s="405">
        <v>1.1000000000000001</v>
      </c>
      <c r="F69" s="405">
        <v>11.65</v>
      </c>
      <c r="G69" s="405"/>
      <c r="H69" s="408">
        <f>ROUND(+E69+F69+G69,4)</f>
        <v>12.75</v>
      </c>
      <c r="I69" s="234"/>
      <c r="J69" s="411"/>
      <c r="K69" s="411"/>
      <c r="L69" s="414">
        <v>0.1</v>
      </c>
      <c r="M69" s="414">
        <f>ROUND(+L69*C69,4)</f>
        <v>4.1399999999999997</v>
      </c>
      <c r="N69" s="414">
        <v>1.36</v>
      </c>
      <c r="O69" s="414">
        <v>11.74</v>
      </c>
      <c r="P69" s="414"/>
      <c r="Q69" s="419">
        <f>ROUND(+N69+O69+P69,4)</f>
        <v>13.1</v>
      </c>
      <c r="R69" s="419">
        <f>ROUND(IF(+Q69-H69&lt;=0,0,Q69-H69),4)</f>
        <v>0.35</v>
      </c>
      <c r="S69" s="423">
        <v>0.5</v>
      </c>
      <c r="T69" s="419">
        <f>ROUND(+(R69*C69)*S69,4)</f>
        <v>7.2450000000000001</v>
      </c>
      <c r="U69" s="426">
        <f>ROUND(+J69+M69+T69,4)</f>
        <v>11.385</v>
      </c>
      <c r="V69" s="235"/>
      <c r="Y69" s="230" t="s">
        <v>349</v>
      </c>
      <c r="AN69" s="230">
        <f t="shared" si="12"/>
        <v>0</v>
      </c>
      <c r="AO69" s="230">
        <f t="shared" si="13"/>
        <v>0</v>
      </c>
    </row>
    <row r="70" spans="1:41" ht="15.75" x14ac:dyDescent="0.25">
      <c r="A70" s="231" t="s">
        <v>351</v>
      </c>
      <c r="B70" s="376" t="s">
        <v>307</v>
      </c>
      <c r="C70" s="402">
        <v>293.10000000000002</v>
      </c>
      <c r="D70" s="233" t="s">
        <v>6</v>
      </c>
      <c r="E70" s="405">
        <v>1.1000000000000001</v>
      </c>
      <c r="F70" s="405">
        <v>11.74</v>
      </c>
      <c r="G70" s="405"/>
      <c r="H70" s="408">
        <f>ROUND(+E70+F70+G70,4)</f>
        <v>12.84</v>
      </c>
      <c r="I70" s="234"/>
      <c r="J70" s="411"/>
      <c r="K70" s="411"/>
      <c r="L70" s="414">
        <v>0.1</v>
      </c>
      <c r="M70" s="414">
        <f>ROUND(+L70*C70,4)</f>
        <v>29.31</v>
      </c>
      <c r="N70" s="414">
        <v>1.36</v>
      </c>
      <c r="O70" s="414">
        <v>11.74</v>
      </c>
      <c r="P70" s="414"/>
      <c r="Q70" s="419">
        <f>ROUND(+N70+O70+P70,4)</f>
        <v>13.1</v>
      </c>
      <c r="R70" s="419">
        <f>ROUND(IF(+Q70-H70&lt;=0,0,Q70-H70),4)</f>
        <v>0.26</v>
      </c>
      <c r="S70" s="423">
        <v>0.5</v>
      </c>
      <c r="T70" s="419">
        <f>ROUND(+(R70*C70)*S70,4)</f>
        <v>38.103000000000002</v>
      </c>
      <c r="U70" s="426">
        <f>ROUND(+J70+M70+T70,4)</f>
        <v>67.412999999999997</v>
      </c>
      <c r="V70" s="235"/>
      <c r="Y70" s="230" t="s">
        <v>349</v>
      </c>
      <c r="AN70" s="230">
        <f t="shared" si="12"/>
        <v>0</v>
      </c>
      <c r="AO70" s="230">
        <f t="shared" si="13"/>
        <v>0</v>
      </c>
    </row>
    <row r="71" spans="1:41" ht="15.75" x14ac:dyDescent="0.25">
      <c r="A71" s="231" t="s">
        <v>354</v>
      </c>
      <c r="B71" s="376" t="s">
        <v>255</v>
      </c>
      <c r="C71" s="402">
        <v>128.05000000000001</v>
      </c>
      <c r="D71" s="233" t="s">
        <v>6</v>
      </c>
      <c r="E71" s="405">
        <v>1.19</v>
      </c>
      <c r="F71" s="405"/>
      <c r="G71" s="405"/>
      <c r="H71" s="408">
        <f>ROUND(+E71+F71+G71,4)</f>
        <v>1.19</v>
      </c>
      <c r="I71" s="234"/>
      <c r="J71" s="411"/>
      <c r="K71" s="411"/>
      <c r="L71" s="414">
        <v>0.1</v>
      </c>
      <c r="M71" s="414">
        <f>ROUND(+L71*C71,4)</f>
        <v>12.805</v>
      </c>
      <c r="N71" s="414">
        <v>1.42</v>
      </c>
      <c r="O71" s="414"/>
      <c r="P71" s="414"/>
      <c r="Q71" s="419">
        <f>ROUND(+N71+O71+P71,4)</f>
        <v>1.42</v>
      </c>
      <c r="R71" s="419">
        <f>ROUND(IF(+Q71-H71&lt;=0,0,Q71-H71),4)</f>
        <v>0.23</v>
      </c>
      <c r="S71" s="423">
        <v>0.5</v>
      </c>
      <c r="T71" s="419">
        <f>ROUND(+(R71*C71)*S71,4)</f>
        <v>14.7258</v>
      </c>
      <c r="U71" s="426">
        <f>ROUND(+J71+M71+T71,4)</f>
        <v>27.530799999999999</v>
      </c>
      <c r="V71" s="235"/>
      <c r="Y71" s="230" t="s">
        <v>349</v>
      </c>
      <c r="AN71" s="230">
        <f t="shared" si="12"/>
        <v>0</v>
      </c>
      <c r="AO71" s="230">
        <f t="shared" si="13"/>
        <v>0</v>
      </c>
    </row>
    <row r="72" spans="1:41" ht="15.75" x14ac:dyDescent="0.25">
      <c r="A72" s="231" t="s">
        <v>354</v>
      </c>
      <c r="B72" s="376" t="s">
        <v>255</v>
      </c>
      <c r="C72" s="402">
        <v>342.3</v>
      </c>
      <c r="D72" s="233" t="s">
        <v>6</v>
      </c>
      <c r="E72" s="405">
        <v>1.1000000000000001</v>
      </c>
      <c r="F72" s="405"/>
      <c r="G72" s="405"/>
      <c r="H72" s="408">
        <f>ROUND(+E72+F72+G72,4)</f>
        <v>1.1000000000000001</v>
      </c>
      <c r="I72" s="234"/>
      <c r="J72" s="411"/>
      <c r="K72" s="411"/>
      <c r="L72" s="414">
        <v>0.1</v>
      </c>
      <c r="M72" s="414">
        <f>ROUND(+L72*C72,4)</f>
        <v>34.229999999999997</v>
      </c>
      <c r="N72" s="414">
        <v>1.42</v>
      </c>
      <c r="O72" s="414"/>
      <c r="P72" s="414"/>
      <c r="Q72" s="419">
        <f>ROUND(+N72+O72+P72,4)</f>
        <v>1.42</v>
      </c>
      <c r="R72" s="419">
        <f>ROUND(IF(+Q72-H72&lt;=0,0,Q72-H72),4)</f>
        <v>0.32</v>
      </c>
      <c r="S72" s="423">
        <v>0.5</v>
      </c>
      <c r="T72" s="419">
        <f>ROUND(+(R72*C72)*S72,4)</f>
        <v>54.768000000000001</v>
      </c>
      <c r="U72" s="426">
        <f>ROUND(+J72+M72+T72,4)</f>
        <v>88.998000000000005</v>
      </c>
      <c r="V72" s="235"/>
      <c r="Y72" s="230" t="s">
        <v>349</v>
      </c>
      <c r="AN72" s="230">
        <f t="shared" si="12"/>
        <v>0</v>
      </c>
      <c r="AO72" s="230">
        <f t="shared" si="13"/>
        <v>0</v>
      </c>
    </row>
    <row r="73" spans="1:41" ht="15.75" x14ac:dyDescent="0.25">
      <c r="A73" s="231" t="s">
        <v>354</v>
      </c>
      <c r="B73" s="376" t="s">
        <v>255</v>
      </c>
      <c r="C73" s="402">
        <v>167.3</v>
      </c>
      <c r="D73" s="233" t="s">
        <v>6</v>
      </c>
      <c r="E73" s="405">
        <v>1.1399999999999999</v>
      </c>
      <c r="F73" s="405"/>
      <c r="G73" s="405"/>
      <c r="H73" s="408">
        <f>ROUND(+E73+F73+G73,4)</f>
        <v>1.1399999999999999</v>
      </c>
      <c r="I73" s="234"/>
      <c r="J73" s="411"/>
      <c r="K73" s="411"/>
      <c r="L73" s="414">
        <v>0.1</v>
      </c>
      <c r="M73" s="414">
        <f>ROUND(+L73*C73,4)</f>
        <v>16.73</v>
      </c>
      <c r="N73" s="414">
        <v>1.42</v>
      </c>
      <c r="O73" s="414"/>
      <c r="P73" s="414"/>
      <c r="Q73" s="419">
        <f>ROUND(+N73+O73+P73,4)</f>
        <v>1.42</v>
      </c>
      <c r="R73" s="419">
        <f>ROUND(IF(+Q73-H73&lt;=0,0,Q73-H73),4)</f>
        <v>0.28000000000000003</v>
      </c>
      <c r="S73" s="423">
        <v>0.5</v>
      </c>
      <c r="T73" s="419">
        <f>ROUND(+(R73*C73)*S73,4)</f>
        <v>23.422000000000001</v>
      </c>
      <c r="U73" s="426">
        <f>ROUND(+J73+M73+T73,4)</f>
        <v>40.152000000000001</v>
      </c>
      <c r="V73" s="235"/>
      <c r="Y73" s="230" t="s">
        <v>349</v>
      </c>
      <c r="AN73" s="230">
        <f t="shared" si="12"/>
        <v>0</v>
      </c>
      <c r="AO73" s="230">
        <f t="shared" si="13"/>
        <v>0</v>
      </c>
    </row>
    <row r="74" spans="1:41" ht="15.75" x14ac:dyDescent="0.25">
      <c r="A74" s="231"/>
      <c r="B74" s="232" t="s">
        <v>260</v>
      </c>
      <c r="C74" s="400">
        <v>50</v>
      </c>
      <c r="D74" s="233" t="s">
        <v>6</v>
      </c>
      <c r="E74" s="405">
        <v>1.1299999999999999</v>
      </c>
      <c r="F74" s="405">
        <v>11.74</v>
      </c>
      <c r="G74" s="405">
        <v>0.26</v>
      </c>
      <c r="H74" s="408">
        <f>ROUND(+E74+F74+G74,4)</f>
        <v>13.13</v>
      </c>
      <c r="I74" s="234"/>
      <c r="J74" s="411"/>
      <c r="K74" s="411"/>
      <c r="L74" s="414">
        <v>0.1</v>
      </c>
      <c r="M74" s="414">
        <f>ROUND(+L74*C74,4)</f>
        <v>5</v>
      </c>
      <c r="N74" s="414">
        <v>1.44</v>
      </c>
      <c r="O74" s="414">
        <v>12.05</v>
      </c>
      <c r="P74" s="414">
        <v>0.15</v>
      </c>
      <c r="Q74" s="419">
        <f>ROUND(+N74+O74+P74,4)</f>
        <v>13.64</v>
      </c>
      <c r="R74" s="419">
        <f>ROUND(IF(+Q74-H74&lt;=0,0,Q74-H74),4)</f>
        <v>0.51</v>
      </c>
      <c r="S74" s="423">
        <v>0.5</v>
      </c>
      <c r="T74" s="419">
        <f>ROUND(+(R74*C74)*S74,4)</f>
        <v>12.75</v>
      </c>
      <c r="U74" s="419">
        <f>ROUND(+J74+M74+T74,4)</f>
        <v>17.75</v>
      </c>
      <c r="V74" s="235"/>
      <c r="AN74" s="230">
        <f t="shared" si="12"/>
        <v>0</v>
      </c>
      <c r="AO74" s="230">
        <f t="shared" si="13"/>
        <v>0</v>
      </c>
    </row>
    <row r="75" spans="1:41" ht="15.75" x14ac:dyDescent="0.25">
      <c r="A75" s="231"/>
      <c r="B75" s="232" t="s">
        <v>260</v>
      </c>
      <c r="C75" s="400">
        <v>45</v>
      </c>
      <c r="D75" s="233" t="s">
        <v>6</v>
      </c>
      <c r="E75" s="405">
        <v>1.1399999999999999</v>
      </c>
      <c r="F75" s="405">
        <v>11.74</v>
      </c>
      <c r="G75" s="405">
        <v>0.26</v>
      </c>
      <c r="H75" s="408">
        <f>ROUND(+E75+F75+G75,4)</f>
        <v>13.14</v>
      </c>
      <c r="I75" s="234"/>
      <c r="J75" s="411"/>
      <c r="K75" s="411"/>
      <c r="L75" s="414">
        <v>0.1</v>
      </c>
      <c r="M75" s="414">
        <f>ROUND(+L75*C75,4)</f>
        <v>4.5</v>
      </c>
      <c r="N75" s="414">
        <v>1.45</v>
      </c>
      <c r="O75" s="414">
        <v>12.05</v>
      </c>
      <c r="P75" s="414">
        <v>0.15</v>
      </c>
      <c r="Q75" s="419">
        <f>ROUND(+N75+O75+P75,4)</f>
        <v>13.65</v>
      </c>
      <c r="R75" s="419">
        <f>ROUND(IF(+Q75-H75&lt;=0,0,Q75-H75),4)</f>
        <v>0.51</v>
      </c>
      <c r="S75" s="423">
        <v>0.5</v>
      </c>
      <c r="T75" s="419">
        <f>ROUND(+(R75*C75)*S75,4)</f>
        <v>11.475</v>
      </c>
      <c r="U75" s="419">
        <f>ROUND(+J75+M75+T75,4)</f>
        <v>15.975</v>
      </c>
      <c r="V75" s="235"/>
      <c r="AN75" s="230">
        <f t="shared" si="12"/>
        <v>0</v>
      </c>
      <c r="AO75" s="230">
        <f t="shared" si="13"/>
        <v>0</v>
      </c>
    </row>
    <row r="76" spans="1:41" ht="15.75" x14ac:dyDescent="0.25">
      <c r="A76" s="231"/>
      <c r="B76" s="232" t="s">
        <v>260</v>
      </c>
      <c r="C76" s="400">
        <v>100</v>
      </c>
      <c r="D76" s="233" t="s">
        <v>6</v>
      </c>
      <c r="E76" s="405">
        <v>1.1100000000000001</v>
      </c>
      <c r="F76" s="405">
        <v>11.74</v>
      </c>
      <c r="G76" s="405">
        <v>0.26</v>
      </c>
      <c r="H76" s="408">
        <f>ROUND(+E76+F76+G76,4)</f>
        <v>13.11</v>
      </c>
      <c r="I76" s="234"/>
      <c r="J76" s="411"/>
      <c r="K76" s="411"/>
      <c r="L76" s="414">
        <v>0.1</v>
      </c>
      <c r="M76" s="414">
        <f>ROUND(+L76*C76,4)</f>
        <v>10</v>
      </c>
      <c r="N76" s="414">
        <v>1.44</v>
      </c>
      <c r="O76" s="414">
        <v>12.05</v>
      </c>
      <c r="P76" s="414">
        <v>0.15</v>
      </c>
      <c r="Q76" s="419">
        <f>ROUND(+N76+O76+P76,4)</f>
        <v>13.64</v>
      </c>
      <c r="R76" s="419">
        <f>ROUND(IF(+Q76-H76&lt;=0,0,Q76-H76),4)</f>
        <v>0.53</v>
      </c>
      <c r="S76" s="423">
        <v>0.5</v>
      </c>
      <c r="T76" s="419">
        <f>ROUND(+(R76*C76)*S76,4)</f>
        <v>26.5</v>
      </c>
      <c r="U76" s="419">
        <f>ROUND(+J76+M76+T76,4)</f>
        <v>36.5</v>
      </c>
      <c r="V76" s="235"/>
      <c r="AN76" s="230">
        <f t="shared" si="12"/>
        <v>0</v>
      </c>
      <c r="AO76" s="230">
        <f t="shared" si="13"/>
        <v>0</v>
      </c>
    </row>
    <row r="77" spans="1:41" ht="15.75" x14ac:dyDescent="0.25">
      <c r="A77" s="231"/>
      <c r="B77" s="232" t="s">
        <v>350</v>
      </c>
      <c r="C77" s="400">
        <v>200</v>
      </c>
      <c r="D77" s="233" t="s">
        <v>6</v>
      </c>
      <c r="E77" s="405">
        <v>1.2</v>
      </c>
      <c r="F77" s="405">
        <v>11.74</v>
      </c>
      <c r="G77" s="405"/>
      <c r="H77" s="408">
        <f>ROUND(+E77+F77+G77,4)</f>
        <v>12.94</v>
      </c>
      <c r="I77" s="234"/>
      <c r="J77" s="411"/>
      <c r="K77" s="411"/>
      <c r="L77" s="414">
        <v>0.1</v>
      </c>
      <c r="M77" s="414">
        <f>ROUND(+L77*C77,4)</f>
        <v>20</v>
      </c>
      <c r="N77" s="414">
        <v>1.63</v>
      </c>
      <c r="O77" s="414">
        <v>11.74</v>
      </c>
      <c r="P77" s="414"/>
      <c r="Q77" s="419">
        <f>ROUND(+N77+O77+P77,4)</f>
        <v>13.37</v>
      </c>
      <c r="R77" s="419">
        <f>ROUND(IF(+Q77-H77&lt;=0,0,Q77-H77),4)</f>
        <v>0.43</v>
      </c>
      <c r="S77" s="423">
        <v>0.5</v>
      </c>
      <c r="T77" s="419">
        <f>ROUND(+(R77*C77)*S77,4)</f>
        <v>43</v>
      </c>
      <c r="U77" s="419">
        <f>ROUND(+J77+M77+T77,4)</f>
        <v>63</v>
      </c>
      <c r="V77" s="235"/>
      <c r="AN77" s="230">
        <f t="shared" si="12"/>
        <v>0</v>
      </c>
      <c r="AO77" s="230">
        <f t="shared" si="13"/>
        <v>0</v>
      </c>
    </row>
    <row r="78" spans="1:41" ht="15.75" x14ac:dyDescent="0.25">
      <c r="A78" s="231"/>
      <c r="B78" s="232" t="s">
        <v>350</v>
      </c>
      <c r="C78" s="400">
        <v>40</v>
      </c>
      <c r="D78" s="233" t="s">
        <v>6</v>
      </c>
      <c r="E78" s="405">
        <v>1.35</v>
      </c>
      <c r="F78" s="405">
        <v>11.74</v>
      </c>
      <c r="G78" s="405"/>
      <c r="H78" s="408">
        <f>ROUND(+E78+F78+G78,4)</f>
        <v>13.09</v>
      </c>
      <c r="I78" s="234"/>
      <c r="J78" s="411"/>
      <c r="K78" s="411"/>
      <c r="L78" s="414">
        <v>0.1</v>
      </c>
      <c r="M78" s="414">
        <f>ROUND(+L78*C78,4)</f>
        <v>4</v>
      </c>
      <c r="N78" s="414">
        <v>1.75</v>
      </c>
      <c r="O78" s="414">
        <v>11.74</v>
      </c>
      <c r="P78" s="414"/>
      <c r="Q78" s="419">
        <f>ROUND(+N78+O78+P78,4)</f>
        <v>13.49</v>
      </c>
      <c r="R78" s="419">
        <f>ROUND(IF(+Q78-H78&lt;=0,0,Q78-H78),4)</f>
        <v>0.4</v>
      </c>
      <c r="S78" s="423">
        <v>0.5</v>
      </c>
      <c r="T78" s="419">
        <f>ROUND(+(R78*C78)*S78,4)</f>
        <v>8</v>
      </c>
      <c r="U78" s="419">
        <f>ROUND(+J78+M78+T78,4)</f>
        <v>12</v>
      </c>
      <c r="V78" s="235"/>
      <c r="AN78" s="230">
        <f t="shared" si="12"/>
        <v>0</v>
      </c>
      <c r="AO78" s="230">
        <f t="shared" si="13"/>
        <v>0</v>
      </c>
    </row>
    <row r="79" spans="1:41" ht="15.75" x14ac:dyDescent="0.25">
      <c r="A79" s="231"/>
      <c r="B79" s="232" t="s">
        <v>350</v>
      </c>
      <c r="C79" s="400">
        <v>40</v>
      </c>
      <c r="D79" s="233" t="s">
        <v>6</v>
      </c>
      <c r="E79" s="405">
        <v>2.02</v>
      </c>
      <c r="F79" s="405">
        <v>11.74</v>
      </c>
      <c r="G79" s="405"/>
      <c r="H79" s="408">
        <f>ROUND(+E79+F79+G79,4)</f>
        <v>13.76</v>
      </c>
      <c r="I79" s="234"/>
      <c r="J79" s="411"/>
      <c r="K79" s="411"/>
      <c r="L79" s="414">
        <v>0.1</v>
      </c>
      <c r="M79" s="414">
        <f>ROUND(+L79*C79,4)</f>
        <v>4</v>
      </c>
      <c r="N79" s="414">
        <v>2.5299999999999998</v>
      </c>
      <c r="O79" s="414">
        <v>11.74</v>
      </c>
      <c r="P79" s="414"/>
      <c r="Q79" s="419">
        <f>ROUND(+N79+O79+P79,4)</f>
        <v>14.27</v>
      </c>
      <c r="R79" s="419">
        <f>ROUND(IF(+Q79-H79&lt;=0,0,Q79-H79),4)</f>
        <v>0.51</v>
      </c>
      <c r="S79" s="423">
        <v>0.5</v>
      </c>
      <c r="T79" s="419">
        <f>ROUND(+(R79*C79)*S79,4)</f>
        <v>10.199999999999999</v>
      </c>
      <c r="U79" s="419">
        <f>ROUND(+J79+M79+T79,4)</f>
        <v>14.2</v>
      </c>
      <c r="V79" s="235"/>
      <c r="AN79" s="230">
        <f t="shared" si="12"/>
        <v>0</v>
      </c>
      <c r="AO79" s="230">
        <f t="shared" si="13"/>
        <v>0</v>
      </c>
    </row>
    <row r="80" spans="1:41" ht="15.75" x14ac:dyDescent="0.25">
      <c r="A80" s="231"/>
      <c r="B80" s="232" t="s">
        <v>102</v>
      </c>
      <c r="C80" s="400">
        <v>3000</v>
      </c>
      <c r="D80" s="233" t="s">
        <v>4</v>
      </c>
      <c r="E80" s="405"/>
      <c r="F80" s="405">
        <v>5.2</v>
      </c>
      <c r="G80" s="405">
        <v>0.05</v>
      </c>
      <c r="H80" s="408">
        <f>ROUND(+E80+F80+G80,4)</f>
        <v>5.25</v>
      </c>
      <c r="I80" s="234"/>
      <c r="J80" s="411"/>
      <c r="K80" s="411"/>
      <c r="L80" s="414">
        <v>0.1</v>
      </c>
      <c r="M80" s="414">
        <f>ROUND(+L80*C80,4)</f>
        <v>300</v>
      </c>
      <c r="N80" s="414"/>
      <c r="O80" s="414">
        <v>5.65</v>
      </c>
      <c r="P80" s="414">
        <v>0.05</v>
      </c>
      <c r="Q80" s="419">
        <f>ROUND(+N80+O80+P80,4)</f>
        <v>5.7</v>
      </c>
      <c r="R80" s="419">
        <f>ROUND(IF(+Q80-H80&lt;=0,0,Q80-H80),4)</f>
        <v>0.45</v>
      </c>
      <c r="S80" s="423">
        <v>0.5</v>
      </c>
      <c r="T80" s="419">
        <f>ROUND(+(R80*C80)*S80,4)</f>
        <v>675</v>
      </c>
      <c r="U80" s="419">
        <f>ROUND(+J80+M80+T80,4)</f>
        <v>975</v>
      </c>
      <c r="V80" s="235"/>
      <c r="AN80" s="230">
        <f t="shared" si="12"/>
        <v>0</v>
      </c>
      <c r="AO80" s="230">
        <f t="shared" si="13"/>
        <v>0</v>
      </c>
    </row>
    <row r="81" spans="1:41" ht="15.75" x14ac:dyDescent="0.25">
      <c r="A81" s="231"/>
      <c r="B81" s="232" t="s">
        <v>102</v>
      </c>
      <c r="C81" s="400">
        <v>3000</v>
      </c>
      <c r="D81" s="233" t="s">
        <v>4</v>
      </c>
      <c r="E81" s="405"/>
      <c r="F81" s="405">
        <v>5.2</v>
      </c>
      <c r="G81" s="405">
        <v>0.05</v>
      </c>
      <c r="H81" s="408">
        <f>ROUND(+E81+F81+G81,4)</f>
        <v>5.25</v>
      </c>
      <c r="I81" s="234"/>
      <c r="J81" s="411"/>
      <c r="K81" s="411"/>
      <c r="L81" s="414">
        <v>0.1</v>
      </c>
      <c r="M81" s="414">
        <f>ROUND(+L81*C81,4)</f>
        <v>300</v>
      </c>
      <c r="N81" s="414"/>
      <c r="O81" s="414">
        <v>5.65</v>
      </c>
      <c r="P81" s="414">
        <v>0.05</v>
      </c>
      <c r="Q81" s="419">
        <f>ROUND(+N81+O81+P81,4)</f>
        <v>5.7</v>
      </c>
      <c r="R81" s="419">
        <f>ROUND(IF(+Q81-H81&lt;=0,0,Q81-H81),4)</f>
        <v>0.45</v>
      </c>
      <c r="S81" s="423">
        <v>0.5</v>
      </c>
      <c r="T81" s="419">
        <f>ROUND(+(R81*C81)*S81,4)</f>
        <v>675</v>
      </c>
      <c r="U81" s="419">
        <f>ROUND(+J81+M81+T81,4)</f>
        <v>975</v>
      </c>
      <c r="V81" s="235"/>
      <c r="AN81" s="230">
        <f t="shared" si="12"/>
        <v>0</v>
      </c>
      <c r="AO81" s="230">
        <f t="shared" si="13"/>
        <v>0</v>
      </c>
    </row>
    <row r="82" spans="1:41" ht="15.75" x14ac:dyDescent="0.25">
      <c r="A82" s="231"/>
      <c r="B82" s="232" t="s">
        <v>307</v>
      </c>
      <c r="C82" s="400">
        <v>90</v>
      </c>
      <c r="D82" s="233" t="s">
        <v>4</v>
      </c>
      <c r="E82" s="405">
        <v>2.34</v>
      </c>
      <c r="F82" s="405">
        <v>4.2300000000000004</v>
      </c>
      <c r="G82" s="405"/>
      <c r="H82" s="408">
        <f>ROUND(+E82+F82+G82,4)</f>
        <v>6.57</v>
      </c>
      <c r="I82" s="234"/>
      <c r="J82" s="411"/>
      <c r="K82" s="411"/>
      <c r="L82" s="414">
        <v>0.1</v>
      </c>
      <c r="M82" s="414">
        <f>ROUND(+L82*C82,4)</f>
        <v>9</v>
      </c>
      <c r="N82" s="414">
        <v>2.48</v>
      </c>
      <c r="O82" s="414">
        <v>4.2300000000000004</v>
      </c>
      <c r="P82" s="414"/>
      <c r="Q82" s="419">
        <f>ROUND(+N82+O82+P82,4)</f>
        <v>6.71</v>
      </c>
      <c r="R82" s="419">
        <f>ROUND(IF(+Q82-H82&lt;=0,0,Q82-H82),4)</f>
        <v>0.14000000000000001</v>
      </c>
      <c r="S82" s="423">
        <v>0.5</v>
      </c>
      <c r="T82" s="419">
        <f>ROUND(+(R82*C82)*S82,4)</f>
        <v>6.3</v>
      </c>
      <c r="U82" s="419">
        <f>ROUND(+J82+M82+T82,4)</f>
        <v>15.3</v>
      </c>
      <c r="V82" s="235"/>
      <c r="AN82" s="230">
        <f t="shared" si="12"/>
        <v>0</v>
      </c>
      <c r="AO82" s="230">
        <f t="shared" si="13"/>
        <v>0</v>
      </c>
    </row>
    <row r="83" spans="1:41" ht="15.75" x14ac:dyDescent="0.25">
      <c r="A83" s="231"/>
      <c r="B83" s="232" t="s">
        <v>307</v>
      </c>
      <c r="C83" s="400">
        <v>90</v>
      </c>
      <c r="D83" s="233" t="s">
        <v>6</v>
      </c>
      <c r="E83" s="405">
        <v>1.8</v>
      </c>
      <c r="F83" s="405">
        <v>11.74</v>
      </c>
      <c r="G83" s="405"/>
      <c r="H83" s="408">
        <f>ROUND(+E83+F83+G83,4)</f>
        <v>13.54</v>
      </c>
      <c r="I83" s="234"/>
      <c r="J83" s="411"/>
      <c r="K83" s="411"/>
      <c r="L83" s="414">
        <v>0.1</v>
      </c>
      <c r="M83" s="414">
        <f>ROUND(+L83*C83,4)</f>
        <v>9</v>
      </c>
      <c r="N83" s="414">
        <v>2.33</v>
      </c>
      <c r="O83" s="414">
        <v>11.74</v>
      </c>
      <c r="P83" s="414"/>
      <c r="Q83" s="419">
        <f>ROUND(+N83+O83+P83,4)</f>
        <v>14.07</v>
      </c>
      <c r="R83" s="419">
        <f>ROUND(IF(+Q83-H83&lt;=0,0,Q83-H83),4)</f>
        <v>0.53</v>
      </c>
      <c r="S83" s="423">
        <v>0.5</v>
      </c>
      <c r="T83" s="419">
        <f>ROUND(+(R83*C83)*S83,4)</f>
        <v>23.85</v>
      </c>
      <c r="U83" s="419">
        <f>ROUND(+J83+M83+T83,4)</f>
        <v>32.85</v>
      </c>
      <c r="V83" s="235"/>
      <c r="AN83" s="230">
        <f t="shared" si="12"/>
        <v>0</v>
      </c>
      <c r="AO83" s="230">
        <f t="shared" si="13"/>
        <v>0</v>
      </c>
    </row>
    <row r="84" spans="1:41" ht="15.75" x14ac:dyDescent="0.25">
      <c r="A84" s="231"/>
      <c r="B84" s="232" t="s">
        <v>357</v>
      </c>
      <c r="C84" s="400">
        <v>40</v>
      </c>
      <c r="D84" s="233" t="s">
        <v>6</v>
      </c>
      <c r="E84" s="405">
        <v>1.24</v>
      </c>
      <c r="F84" s="405">
        <v>11.74</v>
      </c>
      <c r="G84" s="405"/>
      <c r="H84" s="408">
        <f>ROUND(+E84+F84+G84,4)</f>
        <v>12.98</v>
      </c>
      <c r="I84" s="234"/>
      <c r="J84" s="411"/>
      <c r="K84" s="411"/>
      <c r="L84" s="414">
        <v>0.1</v>
      </c>
      <c r="M84" s="414">
        <f>ROUND(+L84*C84,4)</f>
        <v>4</v>
      </c>
      <c r="N84" s="414">
        <v>1.54</v>
      </c>
      <c r="O84" s="414">
        <v>11.74</v>
      </c>
      <c r="P84" s="414"/>
      <c r="Q84" s="419">
        <f>ROUND(+N84+O84+P84,4)</f>
        <v>13.28</v>
      </c>
      <c r="R84" s="419">
        <f>ROUND(IF(+Q84-H84&lt;=0,0,Q84-H84),4)</f>
        <v>0.3</v>
      </c>
      <c r="S84" s="423">
        <v>0.5</v>
      </c>
      <c r="T84" s="419">
        <f>ROUND(+(R84*C84)*S84,4)</f>
        <v>6</v>
      </c>
      <c r="U84" s="419">
        <f>ROUND(+J84+M84+T84,4)</f>
        <v>10</v>
      </c>
      <c r="V84" s="235"/>
      <c r="AN84" s="230">
        <f t="shared" si="12"/>
        <v>0</v>
      </c>
      <c r="AO84" s="230">
        <f t="shared" si="13"/>
        <v>0</v>
      </c>
    </row>
    <row r="85" spans="1:41" ht="15.75" x14ac:dyDescent="0.25">
      <c r="A85" s="231"/>
      <c r="B85" s="232" t="s">
        <v>357</v>
      </c>
      <c r="C85" s="400">
        <v>40</v>
      </c>
      <c r="D85" s="233" t="s">
        <v>6</v>
      </c>
      <c r="E85" s="405">
        <v>1.21</v>
      </c>
      <c r="F85" s="405">
        <v>11.74</v>
      </c>
      <c r="G85" s="405"/>
      <c r="H85" s="408">
        <f>ROUND(+E85+F85+G85,4)</f>
        <v>12.95</v>
      </c>
      <c r="I85" s="234"/>
      <c r="J85" s="411"/>
      <c r="K85" s="411"/>
      <c r="L85" s="414">
        <v>0.1</v>
      </c>
      <c r="M85" s="414">
        <f>ROUND(+L85*C85,4)</f>
        <v>4</v>
      </c>
      <c r="N85" s="414">
        <v>1.52</v>
      </c>
      <c r="O85" s="414">
        <v>11.74</v>
      </c>
      <c r="P85" s="414"/>
      <c r="Q85" s="419">
        <f>ROUND(+N85+O85+P85,4)</f>
        <v>13.26</v>
      </c>
      <c r="R85" s="419">
        <f>ROUND(IF(+Q85-H85&lt;=0,0,Q85-H85),4)</f>
        <v>0.31</v>
      </c>
      <c r="S85" s="423">
        <v>0.5</v>
      </c>
      <c r="T85" s="419">
        <f>ROUND(+(R85*C85)*S85,4)</f>
        <v>6.2</v>
      </c>
      <c r="U85" s="419">
        <f>ROUND(+J85+M85+T85,4)</f>
        <v>10.199999999999999</v>
      </c>
      <c r="V85" s="235"/>
      <c r="AN85" s="230">
        <f t="shared" si="12"/>
        <v>0</v>
      </c>
      <c r="AO85" s="230">
        <f t="shared" si="13"/>
        <v>0</v>
      </c>
    </row>
    <row r="86" spans="1:41" ht="15.75" x14ac:dyDescent="0.25">
      <c r="A86" s="231"/>
      <c r="B86" s="232" t="s">
        <v>357</v>
      </c>
      <c r="C86" s="400">
        <v>40</v>
      </c>
      <c r="D86" s="233" t="s">
        <v>6</v>
      </c>
      <c r="E86" s="405">
        <v>1.18</v>
      </c>
      <c r="F86" s="405">
        <v>11.74</v>
      </c>
      <c r="G86" s="405"/>
      <c r="H86" s="408">
        <f>ROUND(+E86+F86+G86,4)</f>
        <v>12.92</v>
      </c>
      <c r="I86" s="234"/>
      <c r="J86" s="411"/>
      <c r="K86" s="411"/>
      <c r="L86" s="414">
        <v>0.1</v>
      </c>
      <c r="M86" s="414">
        <f>ROUND(+L86*C86,4)</f>
        <v>4</v>
      </c>
      <c r="N86" s="414">
        <v>1.49</v>
      </c>
      <c r="O86" s="414">
        <v>11.74</v>
      </c>
      <c r="P86" s="414"/>
      <c r="Q86" s="419">
        <f>ROUND(+N86+O86+P86,4)</f>
        <v>13.23</v>
      </c>
      <c r="R86" s="419">
        <f>ROUND(IF(+Q86-H86&lt;=0,0,Q86-H86),4)</f>
        <v>0.31</v>
      </c>
      <c r="S86" s="423">
        <v>0.5</v>
      </c>
      <c r="T86" s="419">
        <f>ROUND(+(R86*C86)*S86,4)</f>
        <v>6.2</v>
      </c>
      <c r="U86" s="419">
        <f>ROUND(+J86+M86+T86,4)</f>
        <v>10.199999999999999</v>
      </c>
      <c r="V86" s="235"/>
      <c r="AN86" s="230">
        <f t="shared" si="12"/>
        <v>0</v>
      </c>
      <c r="AO86" s="230">
        <f t="shared" si="13"/>
        <v>0</v>
      </c>
    </row>
    <row r="87" spans="1:41" ht="15.75" x14ac:dyDescent="0.25">
      <c r="A87" s="231"/>
      <c r="B87" s="232" t="s">
        <v>357</v>
      </c>
      <c r="C87" s="400">
        <v>40</v>
      </c>
      <c r="D87" s="233" t="s">
        <v>6</v>
      </c>
      <c r="E87" s="405">
        <v>1.1599999999999999</v>
      </c>
      <c r="F87" s="405">
        <v>11.74</v>
      </c>
      <c r="G87" s="405"/>
      <c r="H87" s="408">
        <f>ROUND(+E87+F87+G87,4)</f>
        <v>12.9</v>
      </c>
      <c r="I87" s="234"/>
      <c r="J87" s="411"/>
      <c r="K87" s="411"/>
      <c r="L87" s="414">
        <v>0.1</v>
      </c>
      <c r="M87" s="414">
        <f>ROUND(+L87*C87,4)</f>
        <v>4</v>
      </c>
      <c r="N87" s="414">
        <v>1.47</v>
      </c>
      <c r="O87" s="414">
        <v>11.74</v>
      </c>
      <c r="P87" s="414"/>
      <c r="Q87" s="419">
        <f>ROUND(+N87+O87+P87,4)</f>
        <v>13.21</v>
      </c>
      <c r="R87" s="419">
        <f>ROUND(IF(+Q87-H87&lt;=0,0,Q87-H87),4)</f>
        <v>0.31</v>
      </c>
      <c r="S87" s="423">
        <v>0.5</v>
      </c>
      <c r="T87" s="419">
        <f>ROUND(+(R87*C87)*S87,4)</f>
        <v>6.2</v>
      </c>
      <c r="U87" s="419">
        <f>ROUND(+J87+M87+T87,4)</f>
        <v>10.199999999999999</v>
      </c>
      <c r="V87" s="235"/>
      <c r="AN87" s="230">
        <f t="shared" si="12"/>
        <v>0</v>
      </c>
      <c r="AO87" s="230">
        <f t="shared" si="13"/>
        <v>0</v>
      </c>
    </row>
    <row r="88" spans="1:41" ht="15.75" x14ac:dyDescent="0.25">
      <c r="A88" s="231"/>
      <c r="B88" s="232" t="s">
        <v>357</v>
      </c>
      <c r="C88" s="400">
        <v>40</v>
      </c>
      <c r="D88" s="233" t="s">
        <v>6</v>
      </c>
      <c r="E88" s="405">
        <v>1.1499999999999999</v>
      </c>
      <c r="F88" s="405">
        <v>11.74</v>
      </c>
      <c r="G88" s="405"/>
      <c r="H88" s="408">
        <f>ROUND(+E88+F88+G88,4)</f>
        <v>12.89</v>
      </c>
      <c r="I88" s="234"/>
      <c r="J88" s="411"/>
      <c r="K88" s="411"/>
      <c r="L88" s="414">
        <v>0.1</v>
      </c>
      <c r="M88" s="414">
        <f>ROUND(+L88*C88,4)</f>
        <v>4</v>
      </c>
      <c r="N88" s="414">
        <v>1.45</v>
      </c>
      <c r="O88" s="414">
        <v>11.74</v>
      </c>
      <c r="P88" s="414"/>
      <c r="Q88" s="419">
        <f>ROUND(+N88+O88+P88,4)</f>
        <v>13.19</v>
      </c>
      <c r="R88" s="419">
        <f>ROUND(IF(+Q88-H88&lt;=0,0,Q88-H88),4)</f>
        <v>0.3</v>
      </c>
      <c r="S88" s="423">
        <v>0.5</v>
      </c>
      <c r="T88" s="419">
        <f>ROUND(+(R88*C88)*S88,4)</f>
        <v>6</v>
      </c>
      <c r="U88" s="419">
        <f>ROUND(+J88+M88+T88,4)</f>
        <v>10</v>
      </c>
      <c r="V88" s="235"/>
      <c r="AN88" s="230">
        <f t="shared" si="12"/>
        <v>0</v>
      </c>
      <c r="AO88" s="230">
        <f t="shared" si="13"/>
        <v>0</v>
      </c>
    </row>
    <row r="89" spans="1:41" ht="15.75" x14ac:dyDescent="0.25">
      <c r="A89" s="231"/>
      <c r="B89" s="232" t="s">
        <v>357</v>
      </c>
      <c r="C89" s="400">
        <v>40</v>
      </c>
      <c r="D89" s="233" t="s">
        <v>6</v>
      </c>
      <c r="E89" s="405">
        <v>1.1399999999999999</v>
      </c>
      <c r="F89" s="405">
        <v>11.74</v>
      </c>
      <c r="G89" s="405"/>
      <c r="H89" s="408">
        <f>ROUND(+E89+F89+G89,4)</f>
        <v>12.88</v>
      </c>
      <c r="I89" s="234"/>
      <c r="J89" s="411"/>
      <c r="K89" s="411"/>
      <c r="L89" s="414">
        <v>0.1</v>
      </c>
      <c r="M89" s="414">
        <f>ROUND(+L89*C89,4)</f>
        <v>4</v>
      </c>
      <c r="N89" s="414">
        <v>1.44</v>
      </c>
      <c r="O89" s="414">
        <v>11.74</v>
      </c>
      <c r="P89" s="414"/>
      <c r="Q89" s="419">
        <f>ROUND(+N89+O89+P89,4)</f>
        <v>13.18</v>
      </c>
      <c r="R89" s="419">
        <f>ROUND(IF(+Q89-H89&lt;=0,0,Q89-H89),4)</f>
        <v>0.3</v>
      </c>
      <c r="S89" s="423">
        <v>0.5</v>
      </c>
      <c r="T89" s="419">
        <f>ROUND(+(R89*C89)*S89,4)</f>
        <v>6</v>
      </c>
      <c r="U89" s="419">
        <f>ROUND(+J89+M89+T89,4)</f>
        <v>10</v>
      </c>
      <c r="V89" s="235"/>
      <c r="AN89" s="230">
        <f t="shared" si="12"/>
        <v>0</v>
      </c>
      <c r="AO89" s="230">
        <f t="shared" si="13"/>
        <v>0</v>
      </c>
    </row>
    <row r="90" spans="1:41" ht="15.75" x14ac:dyDescent="0.25">
      <c r="A90" s="231"/>
      <c r="B90" s="232" t="s">
        <v>358</v>
      </c>
      <c r="C90" s="400">
        <v>40</v>
      </c>
      <c r="D90" s="233" t="s">
        <v>6</v>
      </c>
      <c r="E90" s="405">
        <v>1.21</v>
      </c>
      <c r="F90" s="405">
        <v>11.74</v>
      </c>
      <c r="G90" s="405"/>
      <c r="H90" s="408">
        <f>ROUND(+E90+F90+G90,4)</f>
        <v>12.95</v>
      </c>
      <c r="I90" s="234"/>
      <c r="J90" s="411"/>
      <c r="K90" s="411"/>
      <c r="L90" s="414">
        <v>0.1</v>
      </c>
      <c r="M90" s="414">
        <f>ROUND(+L90*C90,4)</f>
        <v>4</v>
      </c>
      <c r="N90" s="414">
        <v>1.52</v>
      </c>
      <c r="O90" s="414">
        <v>11.74</v>
      </c>
      <c r="P90" s="414"/>
      <c r="Q90" s="419">
        <f>ROUND(+N90+O90+P90,4)</f>
        <v>13.26</v>
      </c>
      <c r="R90" s="419">
        <f>ROUND(IF(+Q90-H90&lt;=0,0,Q90-H90),4)</f>
        <v>0.31</v>
      </c>
      <c r="S90" s="423">
        <v>0.5</v>
      </c>
      <c r="T90" s="419">
        <f>ROUND(+(R90*C90)*S90,4)</f>
        <v>6.2</v>
      </c>
      <c r="U90" s="419">
        <f>ROUND(+J90+M90+T90,4)</f>
        <v>10.199999999999999</v>
      </c>
      <c r="V90" s="235"/>
      <c r="AN90" s="230">
        <f t="shared" si="12"/>
        <v>0</v>
      </c>
      <c r="AO90" s="230">
        <f t="shared" si="13"/>
        <v>0</v>
      </c>
    </row>
    <row r="91" spans="1:41" ht="15.75" x14ac:dyDescent="0.25">
      <c r="A91" s="231"/>
      <c r="B91" s="232" t="s">
        <v>358</v>
      </c>
      <c r="C91" s="400">
        <v>40</v>
      </c>
      <c r="D91" s="233" t="s">
        <v>6</v>
      </c>
      <c r="E91" s="405">
        <v>1.18</v>
      </c>
      <c r="F91" s="405">
        <v>11.74</v>
      </c>
      <c r="G91" s="405"/>
      <c r="H91" s="408">
        <f>ROUND(+E91+F91+G91,4)</f>
        <v>12.92</v>
      </c>
      <c r="I91" s="234"/>
      <c r="J91" s="411"/>
      <c r="K91" s="411"/>
      <c r="L91" s="414">
        <v>0.1</v>
      </c>
      <c r="M91" s="414">
        <f>ROUND(+L91*C91,4)</f>
        <v>4</v>
      </c>
      <c r="N91" s="414">
        <v>1.49</v>
      </c>
      <c r="O91" s="414">
        <v>11.74</v>
      </c>
      <c r="P91" s="414"/>
      <c r="Q91" s="419">
        <f>ROUND(+N91+O91+P91,4)</f>
        <v>13.23</v>
      </c>
      <c r="R91" s="419">
        <f>ROUND(IF(+Q91-H91&lt;=0,0,Q91-H91),4)</f>
        <v>0.31</v>
      </c>
      <c r="S91" s="423">
        <v>0.5</v>
      </c>
      <c r="T91" s="419">
        <f>ROUND(+(R91*C91)*S91,4)</f>
        <v>6.2</v>
      </c>
      <c r="U91" s="419">
        <f>ROUND(+J91+M91+T91,4)</f>
        <v>10.199999999999999</v>
      </c>
      <c r="V91" s="235"/>
      <c r="AN91" s="230">
        <f t="shared" si="12"/>
        <v>0</v>
      </c>
      <c r="AO91" s="230">
        <f t="shared" si="13"/>
        <v>0</v>
      </c>
    </row>
    <row r="92" spans="1:41" ht="15.75" x14ac:dyDescent="0.25">
      <c r="A92" s="231"/>
      <c r="B92" s="232" t="s">
        <v>358</v>
      </c>
      <c r="C92" s="400">
        <v>40</v>
      </c>
      <c r="D92" s="233" t="s">
        <v>6</v>
      </c>
      <c r="E92" s="405">
        <v>1.1399999999999999</v>
      </c>
      <c r="F92" s="405">
        <v>11.74</v>
      </c>
      <c r="G92" s="405"/>
      <c r="H92" s="408">
        <f>ROUND(+E92+F92+G92,4)</f>
        <v>12.88</v>
      </c>
      <c r="I92" s="234"/>
      <c r="J92" s="411"/>
      <c r="K92" s="411"/>
      <c r="L92" s="414">
        <v>0.1</v>
      </c>
      <c r="M92" s="414">
        <f>ROUND(+L92*C92,4)</f>
        <v>4</v>
      </c>
      <c r="N92" s="414">
        <v>1.44</v>
      </c>
      <c r="O92" s="414">
        <v>11.74</v>
      </c>
      <c r="P92" s="414"/>
      <c r="Q92" s="419">
        <f>ROUND(+N92+O92+P92,4)</f>
        <v>13.18</v>
      </c>
      <c r="R92" s="419">
        <f>ROUND(IF(+Q92-H92&lt;=0,0,Q92-H92),4)</f>
        <v>0.3</v>
      </c>
      <c r="S92" s="423">
        <v>0.5</v>
      </c>
      <c r="T92" s="419">
        <f>ROUND(+(R92*C92)*S92,4)</f>
        <v>6</v>
      </c>
      <c r="U92" s="419">
        <f>ROUND(+J92+M92+T92,4)</f>
        <v>10</v>
      </c>
      <c r="V92" s="235"/>
      <c r="AN92" s="230">
        <f t="shared" si="12"/>
        <v>0</v>
      </c>
      <c r="AO92" s="230">
        <f t="shared" si="13"/>
        <v>0</v>
      </c>
    </row>
    <row r="93" spans="1:41" ht="15.75" x14ac:dyDescent="0.25">
      <c r="A93" s="231"/>
      <c r="B93" s="232" t="s">
        <v>358</v>
      </c>
      <c r="C93" s="400">
        <v>40</v>
      </c>
      <c r="D93" s="233" t="s">
        <v>6</v>
      </c>
      <c r="E93" s="405">
        <v>1.36</v>
      </c>
      <c r="F93" s="405">
        <v>11.74</v>
      </c>
      <c r="G93" s="405"/>
      <c r="H93" s="408">
        <f>ROUND(+E93+F93+G93,4)</f>
        <v>13.1</v>
      </c>
      <c r="I93" s="234"/>
      <c r="J93" s="411"/>
      <c r="K93" s="411"/>
      <c r="L93" s="414">
        <v>0.1</v>
      </c>
      <c r="M93" s="414">
        <f>ROUND(+L93*C93,4)</f>
        <v>4</v>
      </c>
      <c r="N93" s="414">
        <v>1.67</v>
      </c>
      <c r="O93" s="414">
        <v>11.74</v>
      </c>
      <c r="P93" s="414"/>
      <c r="Q93" s="419">
        <f>ROUND(+N93+O93+P93,4)</f>
        <v>13.41</v>
      </c>
      <c r="R93" s="419">
        <f>ROUND(IF(+Q93-H93&lt;=0,0,Q93-H93),4)</f>
        <v>0.31</v>
      </c>
      <c r="S93" s="423">
        <v>0.5</v>
      </c>
      <c r="T93" s="419">
        <f>ROUND(+(R93*C93)*S93,4)</f>
        <v>6.2</v>
      </c>
      <c r="U93" s="419">
        <f>ROUND(+J93+M93+T93,4)</f>
        <v>10.199999999999999</v>
      </c>
      <c r="V93" s="235"/>
      <c r="AN93" s="230">
        <f t="shared" si="12"/>
        <v>0</v>
      </c>
      <c r="AO93" s="230">
        <f t="shared" si="13"/>
        <v>0</v>
      </c>
    </row>
    <row r="94" spans="1:41" ht="15.75" x14ac:dyDescent="0.25">
      <c r="A94" s="231"/>
      <c r="B94" s="232" t="s">
        <v>266</v>
      </c>
      <c r="C94" s="400">
        <v>300</v>
      </c>
      <c r="D94" s="233" t="s">
        <v>4</v>
      </c>
      <c r="E94" s="405"/>
      <c r="F94" s="405">
        <v>5.2</v>
      </c>
      <c r="G94" s="405">
        <v>0.1</v>
      </c>
      <c r="H94" s="408">
        <f>ROUND(+E94+F94+G94,4)</f>
        <v>5.3</v>
      </c>
      <c r="I94" s="234"/>
      <c r="J94" s="411"/>
      <c r="K94" s="411"/>
      <c r="L94" s="414">
        <v>0.1</v>
      </c>
      <c r="M94" s="414">
        <f>ROUND(+L94*C94,4)</f>
        <v>30</v>
      </c>
      <c r="N94" s="414"/>
      <c r="O94" s="414">
        <v>5.6</v>
      </c>
      <c r="P94" s="414">
        <v>0.1</v>
      </c>
      <c r="Q94" s="419">
        <f>ROUND(+N94+O94+P94,4)</f>
        <v>5.7</v>
      </c>
      <c r="R94" s="419">
        <f>ROUND(IF(+Q94-H94&lt;=0,0,Q94-H94),4)</f>
        <v>0.4</v>
      </c>
      <c r="S94" s="423">
        <v>0.5</v>
      </c>
      <c r="T94" s="419">
        <f>ROUND(+(R94*C94)*S94,4)</f>
        <v>60</v>
      </c>
      <c r="U94" s="419">
        <f>ROUND(+J94+M94+T94,4)</f>
        <v>90</v>
      </c>
      <c r="V94" s="235"/>
      <c r="AN94" s="230">
        <f t="shared" si="12"/>
        <v>0</v>
      </c>
      <c r="AO94" s="230">
        <f t="shared" si="13"/>
        <v>0</v>
      </c>
    </row>
    <row r="95" spans="1:41" ht="15.75" x14ac:dyDescent="0.25">
      <c r="A95" s="231"/>
      <c r="B95" s="232"/>
      <c r="C95" s="400"/>
      <c r="D95" s="233"/>
      <c r="E95" s="405"/>
      <c r="F95" s="405"/>
      <c r="G95" s="405"/>
      <c r="H95" s="408">
        <f>ROUND(+E95+F95+G95,4)</f>
        <v>0</v>
      </c>
      <c r="I95" s="234"/>
      <c r="J95" s="411"/>
      <c r="K95" s="411"/>
      <c r="L95" s="414">
        <v>0.1</v>
      </c>
      <c r="M95" s="414">
        <f>ROUND(+L95*C95,4)</f>
        <v>0</v>
      </c>
      <c r="N95" s="414"/>
      <c r="O95" s="414"/>
      <c r="P95" s="414"/>
      <c r="Q95" s="419">
        <f>ROUND(+N95+O95+P95,4)</f>
        <v>0</v>
      </c>
      <c r="R95" s="419">
        <f>ROUND(IF(+Q95-H95&lt;=0,0,Q95-H95),4)</f>
        <v>0</v>
      </c>
      <c r="S95" s="423">
        <v>0.5</v>
      </c>
      <c r="T95" s="419">
        <f>ROUND(+(R95*C95)*S95,4)</f>
        <v>0</v>
      </c>
      <c r="U95" s="419">
        <f>ROUND(+J95+M95+T95,4)</f>
        <v>0</v>
      </c>
      <c r="V95" s="235"/>
      <c r="AN95" s="230">
        <f t="shared" ref="AN95:AN158" si="14">IF(V95="",0,MONTH(V95))</f>
        <v>0</v>
      </c>
      <c r="AO95" s="230">
        <f t="shared" ref="AO95:AO158" si="15">IF(V95="",0,YEAR(V95))</f>
        <v>0</v>
      </c>
    </row>
    <row r="96" spans="1:41" ht="15.75" x14ac:dyDescent="0.25">
      <c r="A96" s="231"/>
      <c r="B96" s="232"/>
      <c r="C96" s="400"/>
      <c r="D96" s="233"/>
      <c r="E96" s="405"/>
      <c r="F96" s="405"/>
      <c r="G96" s="405"/>
      <c r="H96" s="408">
        <f>ROUND(+E96+F96+G96,4)</f>
        <v>0</v>
      </c>
      <c r="I96" s="234"/>
      <c r="J96" s="411"/>
      <c r="K96" s="411"/>
      <c r="L96" s="414">
        <v>0.1</v>
      </c>
      <c r="M96" s="414">
        <f>ROUND(+L96*C96,4)</f>
        <v>0</v>
      </c>
      <c r="N96" s="414"/>
      <c r="O96" s="414"/>
      <c r="P96" s="414"/>
      <c r="Q96" s="419">
        <f>ROUND(+N96+O96+P96,4)</f>
        <v>0</v>
      </c>
      <c r="R96" s="419">
        <f>ROUND(IF(+Q96-H96&lt;=0,0,Q96-H96),4)</f>
        <v>0</v>
      </c>
      <c r="S96" s="423">
        <v>0.5</v>
      </c>
      <c r="T96" s="419">
        <f>ROUND(+(R96*C96)*S96,4)</f>
        <v>0</v>
      </c>
      <c r="U96" s="419">
        <f>ROUND(+J96+M96+T96,4)</f>
        <v>0</v>
      </c>
      <c r="V96" s="235"/>
      <c r="AN96" s="230">
        <f t="shared" si="14"/>
        <v>0</v>
      </c>
      <c r="AO96" s="230">
        <f t="shared" si="15"/>
        <v>0</v>
      </c>
    </row>
    <row r="97" spans="1:41" ht="15.75" x14ac:dyDescent="0.25">
      <c r="A97" s="231"/>
      <c r="B97" s="232"/>
      <c r="C97" s="400"/>
      <c r="D97" s="233"/>
      <c r="E97" s="405"/>
      <c r="F97" s="405"/>
      <c r="G97" s="405"/>
      <c r="H97" s="408">
        <f>ROUND(+E97+F97+G97,4)</f>
        <v>0</v>
      </c>
      <c r="I97" s="234"/>
      <c r="J97" s="411"/>
      <c r="K97" s="411"/>
      <c r="L97" s="414">
        <v>0.1</v>
      </c>
      <c r="M97" s="414">
        <f>ROUND(+L97*C97,4)</f>
        <v>0</v>
      </c>
      <c r="N97" s="414"/>
      <c r="O97" s="414"/>
      <c r="P97" s="414"/>
      <c r="Q97" s="419">
        <f>ROUND(+N97+O97+P97,4)</f>
        <v>0</v>
      </c>
      <c r="R97" s="419">
        <f>ROUND(IF(+Q97-H97&lt;=0,0,Q97-H97),4)</f>
        <v>0</v>
      </c>
      <c r="S97" s="423">
        <v>0.5</v>
      </c>
      <c r="T97" s="419">
        <f>ROUND(+(R97*C97)*S97,4)</f>
        <v>0</v>
      </c>
      <c r="U97" s="419">
        <f>ROUND(+J97+M97+T97,4)</f>
        <v>0</v>
      </c>
      <c r="V97" s="235"/>
      <c r="AN97" s="230">
        <f t="shared" si="14"/>
        <v>0</v>
      </c>
      <c r="AO97" s="230">
        <f t="shared" si="15"/>
        <v>0</v>
      </c>
    </row>
    <row r="98" spans="1:41" ht="15.75" x14ac:dyDescent="0.25">
      <c r="A98" s="231"/>
      <c r="B98" s="232"/>
      <c r="C98" s="400"/>
      <c r="D98" s="233"/>
      <c r="E98" s="405"/>
      <c r="F98" s="405"/>
      <c r="G98" s="405"/>
      <c r="H98" s="408">
        <f>ROUND(+E98+F98+G98,4)</f>
        <v>0</v>
      </c>
      <c r="I98" s="234"/>
      <c r="J98" s="411"/>
      <c r="K98" s="411"/>
      <c r="L98" s="414">
        <v>0.1</v>
      </c>
      <c r="M98" s="414">
        <f>ROUND(+L98*C98,4)</f>
        <v>0</v>
      </c>
      <c r="N98" s="414"/>
      <c r="O98" s="414"/>
      <c r="P98" s="414"/>
      <c r="Q98" s="419">
        <f>ROUND(+N98+O98+P98,4)</f>
        <v>0</v>
      </c>
      <c r="R98" s="419">
        <f>ROUND(IF(+Q98-H98&lt;=0,0,Q98-H98),4)</f>
        <v>0</v>
      </c>
      <c r="S98" s="423">
        <v>0.5</v>
      </c>
      <c r="T98" s="419">
        <f>ROUND(+(R98*C98)*S98,4)</f>
        <v>0</v>
      </c>
      <c r="U98" s="419">
        <f>ROUND(+J98+M98+T98,4)</f>
        <v>0</v>
      </c>
      <c r="V98" s="235"/>
      <c r="AN98" s="230">
        <f t="shared" si="14"/>
        <v>0</v>
      </c>
      <c r="AO98" s="230">
        <f t="shared" si="15"/>
        <v>0</v>
      </c>
    </row>
    <row r="99" spans="1:41" ht="15.75" x14ac:dyDescent="0.25">
      <c r="A99" s="231"/>
      <c r="B99" s="232"/>
      <c r="C99" s="400"/>
      <c r="D99" s="233"/>
      <c r="E99" s="405"/>
      <c r="F99" s="405"/>
      <c r="G99" s="405"/>
      <c r="H99" s="408">
        <f>ROUND(+E99+F99+G99,4)</f>
        <v>0</v>
      </c>
      <c r="I99" s="234"/>
      <c r="J99" s="411"/>
      <c r="K99" s="411"/>
      <c r="L99" s="414">
        <v>0.1</v>
      </c>
      <c r="M99" s="414">
        <f>ROUND(+L99*C99,4)</f>
        <v>0</v>
      </c>
      <c r="N99" s="414"/>
      <c r="O99" s="414"/>
      <c r="P99" s="414"/>
      <c r="Q99" s="419">
        <f>ROUND(+N99+O99+P99,4)</f>
        <v>0</v>
      </c>
      <c r="R99" s="419">
        <f>ROUND(IF(+Q99-H99&lt;=0,0,Q99-H99),4)</f>
        <v>0</v>
      </c>
      <c r="S99" s="423">
        <v>0.5</v>
      </c>
      <c r="T99" s="419">
        <f>ROUND(+(R99*C99)*S99,4)</f>
        <v>0</v>
      </c>
      <c r="U99" s="419">
        <f>ROUND(+J99+M99+T99,4)</f>
        <v>0</v>
      </c>
      <c r="V99" s="235"/>
      <c r="AN99" s="230">
        <f t="shared" si="14"/>
        <v>0</v>
      </c>
      <c r="AO99" s="230">
        <f t="shared" si="15"/>
        <v>0</v>
      </c>
    </row>
    <row r="100" spans="1:41" ht="15.75" x14ac:dyDescent="0.25">
      <c r="A100" s="231"/>
      <c r="B100" s="232"/>
      <c r="C100" s="400"/>
      <c r="D100" s="233"/>
      <c r="E100" s="405"/>
      <c r="F100" s="405"/>
      <c r="G100" s="405"/>
      <c r="H100" s="408">
        <f>ROUND(+E100+F100+G100,4)</f>
        <v>0</v>
      </c>
      <c r="I100" s="234"/>
      <c r="J100" s="411"/>
      <c r="K100" s="411"/>
      <c r="L100" s="414">
        <v>0.1</v>
      </c>
      <c r="M100" s="414">
        <f>ROUND(+L100*C100,4)</f>
        <v>0</v>
      </c>
      <c r="N100" s="414"/>
      <c r="O100" s="414"/>
      <c r="P100" s="414"/>
      <c r="Q100" s="419">
        <f>ROUND(+N100+O100+P100,4)</f>
        <v>0</v>
      </c>
      <c r="R100" s="419">
        <f>ROUND(IF(+Q100-H100&lt;=0,0,Q100-H100),4)</f>
        <v>0</v>
      </c>
      <c r="S100" s="423">
        <v>0.5</v>
      </c>
      <c r="T100" s="419">
        <f>ROUND(+(R100*C100)*S100,4)</f>
        <v>0</v>
      </c>
      <c r="U100" s="419">
        <f>ROUND(+J100+M100+T100,4)</f>
        <v>0</v>
      </c>
      <c r="V100" s="235"/>
      <c r="AN100" s="230">
        <f t="shared" si="14"/>
        <v>0</v>
      </c>
      <c r="AO100" s="230">
        <f t="shared" si="15"/>
        <v>0</v>
      </c>
    </row>
    <row r="101" spans="1:41" ht="15.75" x14ac:dyDescent="0.25">
      <c r="A101" s="231"/>
      <c r="B101" s="232"/>
      <c r="C101" s="400"/>
      <c r="D101" s="233"/>
      <c r="E101" s="405"/>
      <c r="F101" s="405"/>
      <c r="G101" s="405"/>
      <c r="H101" s="408">
        <f>ROUND(+E101+F101+G101,4)</f>
        <v>0</v>
      </c>
      <c r="I101" s="234"/>
      <c r="J101" s="411"/>
      <c r="K101" s="411"/>
      <c r="L101" s="414">
        <v>0.1</v>
      </c>
      <c r="M101" s="414">
        <f>ROUND(+L101*C101,4)</f>
        <v>0</v>
      </c>
      <c r="N101" s="414"/>
      <c r="O101" s="414"/>
      <c r="P101" s="414"/>
      <c r="Q101" s="419">
        <f>ROUND(+N101+O101+P101,4)</f>
        <v>0</v>
      </c>
      <c r="R101" s="419">
        <f>ROUND(IF(+Q101-H101&lt;=0,0,Q101-H101),4)</f>
        <v>0</v>
      </c>
      <c r="S101" s="423">
        <v>0.5</v>
      </c>
      <c r="T101" s="419">
        <f>ROUND(+(R101*C101)*S101,4)</f>
        <v>0</v>
      </c>
      <c r="U101" s="419">
        <f>ROUND(+J101+M101+T101,4)</f>
        <v>0</v>
      </c>
      <c r="V101" s="235"/>
      <c r="AN101" s="230">
        <f t="shared" si="14"/>
        <v>0</v>
      </c>
      <c r="AO101" s="230">
        <f t="shared" si="15"/>
        <v>0</v>
      </c>
    </row>
    <row r="102" spans="1:41" ht="15.75" x14ac:dyDescent="0.25">
      <c r="A102" s="231"/>
      <c r="B102" s="232"/>
      <c r="C102" s="400"/>
      <c r="D102" s="233"/>
      <c r="E102" s="405"/>
      <c r="F102" s="405"/>
      <c r="G102" s="405"/>
      <c r="H102" s="408">
        <f>ROUND(+E102+F102+G102,4)</f>
        <v>0</v>
      </c>
      <c r="I102" s="234"/>
      <c r="J102" s="411"/>
      <c r="K102" s="411"/>
      <c r="L102" s="414">
        <v>0.1</v>
      </c>
      <c r="M102" s="414">
        <f>ROUND(+L102*C102,4)</f>
        <v>0</v>
      </c>
      <c r="N102" s="414"/>
      <c r="O102" s="414"/>
      <c r="P102" s="414"/>
      <c r="Q102" s="419">
        <f>ROUND(+N102+O102+P102,4)</f>
        <v>0</v>
      </c>
      <c r="R102" s="419">
        <f>ROUND(IF(+Q102-H102&lt;=0,0,Q102-H102),4)</f>
        <v>0</v>
      </c>
      <c r="S102" s="423">
        <v>0.5</v>
      </c>
      <c r="T102" s="419">
        <f>ROUND(+(R102*C102)*S102,4)</f>
        <v>0</v>
      </c>
      <c r="U102" s="419">
        <f>ROUND(+J102+M102+T102,4)</f>
        <v>0</v>
      </c>
      <c r="V102" s="235"/>
      <c r="AN102" s="230">
        <f t="shared" si="14"/>
        <v>0</v>
      </c>
      <c r="AO102" s="230">
        <f t="shared" si="15"/>
        <v>0</v>
      </c>
    </row>
    <row r="103" spans="1:41" ht="15.75" x14ac:dyDescent="0.25">
      <c r="A103" s="231"/>
      <c r="B103" s="232"/>
      <c r="C103" s="400"/>
      <c r="D103" s="233"/>
      <c r="E103" s="405"/>
      <c r="F103" s="405"/>
      <c r="G103" s="405"/>
      <c r="H103" s="408">
        <f>ROUND(+E103+F103+G103,4)</f>
        <v>0</v>
      </c>
      <c r="I103" s="234"/>
      <c r="J103" s="411"/>
      <c r="K103" s="411"/>
      <c r="L103" s="414">
        <v>0.1</v>
      </c>
      <c r="M103" s="414">
        <f>ROUND(+L103*C103,4)</f>
        <v>0</v>
      </c>
      <c r="N103" s="414"/>
      <c r="O103" s="414"/>
      <c r="P103" s="414"/>
      <c r="Q103" s="419">
        <f>ROUND(+N103+O103+P103,4)</f>
        <v>0</v>
      </c>
      <c r="R103" s="419">
        <f>ROUND(IF(+Q103-H103&lt;=0,0,Q103-H103),4)</f>
        <v>0</v>
      </c>
      <c r="S103" s="423">
        <v>0.5</v>
      </c>
      <c r="T103" s="419">
        <f>ROUND(+(R103*C103)*S103,4)</f>
        <v>0</v>
      </c>
      <c r="U103" s="419">
        <f>ROUND(+J103+M103+T103,4)</f>
        <v>0</v>
      </c>
      <c r="V103" s="235"/>
      <c r="AN103" s="230">
        <f t="shared" si="14"/>
        <v>0</v>
      </c>
      <c r="AO103" s="230">
        <f t="shared" si="15"/>
        <v>0</v>
      </c>
    </row>
    <row r="104" spans="1:41" ht="15.75" x14ac:dyDescent="0.25">
      <c r="A104" s="231"/>
      <c r="B104" s="232"/>
      <c r="C104" s="400"/>
      <c r="D104" s="233"/>
      <c r="E104" s="405"/>
      <c r="F104" s="405"/>
      <c r="G104" s="405"/>
      <c r="H104" s="408">
        <f>ROUND(+E104+F104+G104,4)</f>
        <v>0</v>
      </c>
      <c r="I104" s="234"/>
      <c r="J104" s="411"/>
      <c r="K104" s="411"/>
      <c r="L104" s="414">
        <v>0.1</v>
      </c>
      <c r="M104" s="414">
        <f>ROUND(+L104*C104,4)</f>
        <v>0</v>
      </c>
      <c r="N104" s="414"/>
      <c r="O104" s="414"/>
      <c r="P104" s="414"/>
      <c r="Q104" s="419">
        <f>ROUND(+N104+O104+P104,4)</f>
        <v>0</v>
      </c>
      <c r="R104" s="419">
        <f>ROUND(IF(+Q104-H104&lt;=0,0,Q104-H104),4)</f>
        <v>0</v>
      </c>
      <c r="S104" s="423">
        <v>0.5</v>
      </c>
      <c r="T104" s="419">
        <f>ROUND(+(R104*C104)*S104,4)</f>
        <v>0</v>
      </c>
      <c r="U104" s="419">
        <f>ROUND(+J104+M104+T104,4)</f>
        <v>0</v>
      </c>
      <c r="V104" s="235"/>
      <c r="AN104" s="230">
        <f t="shared" si="14"/>
        <v>0</v>
      </c>
      <c r="AO104" s="230">
        <f t="shared" si="15"/>
        <v>0</v>
      </c>
    </row>
    <row r="105" spans="1:41" ht="15.75" x14ac:dyDescent="0.25">
      <c r="A105" s="231"/>
      <c r="B105" s="232"/>
      <c r="C105" s="400"/>
      <c r="D105" s="233"/>
      <c r="E105" s="405"/>
      <c r="F105" s="405"/>
      <c r="G105" s="405"/>
      <c r="H105" s="408">
        <f>ROUND(+E105+F105+G105,4)</f>
        <v>0</v>
      </c>
      <c r="I105" s="234"/>
      <c r="J105" s="411"/>
      <c r="K105" s="411"/>
      <c r="L105" s="414">
        <v>0.1</v>
      </c>
      <c r="M105" s="414">
        <f>ROUND(+L105*C105,4)</f>
        <v>0</v>
      </c>
      <c r="N105" s="414"/>
      <c r="O105" s="414"/>
      <c r="P105" s="414"/>
      <c r="Q105" s="419">
        <f>ROUND(+N105+O105+P105,4)</f>
        <v>0</v>
      </c>
      <c r="R105" s="419">
        <f>ROUND(IF(+Q105-H105&lt;=0,0,Q105-H105),4)</f>
        <v>0</v>
      </c>
      <c r="S105" s="423">
        <v>0.5</v>
      </c>
      <c r="T105" s="419">
        <f>ROUND(+(R105*C105)*S105,4)</f>
        <v>0</v>
      </c>
      <c r="U105" s="419">
        <f>ROUND(+J105+M105+T105,4)</f>
        <v>0</v>
      </c>
      <c r="V105" s="235"/>
      <c r="AN105" s="230">
        <f t="shared" si="14"/>
        <v>0</v>
      </c>
      <c r="AO105" s="230">
        <f t="shared" si="15"/>
        <v>0</v>
      </c>
    </row>
    <row r="106" spans="1:41" ht="15.75" x14ac:dyDescent="0.25">
      <c r="A106" s="231"/>
      <c r="B106" s="232"/>
      <c r="C106" s="400"/>
      <c r="D106" s="233"/>
      <c r="E106" s="405"/>
      <c r="F106" s="405"/>
      <c r="G106" s="405"/>
      <c r="H106" s="408">
        <f>ROUND(+E106+F106+G106,4)</f>
        <v>0</v>
      </c>
      <c r="I106" s="234"/>
      <c r="J106" s="411"/>
      <c r="K106" s="411"/>
      <c r="L106" s="414">
        <v>0.1</v>
      </c>
      <c r="M106" s="414">
        <f>ROUND(+L106*C106,4)</f>
        <v>0</v>
      </c>
      <c r="N106" s="414"/>
      <c r="O106" s="414"/>
      <c r="P106" s="414"/>
      <c r="Q106" s="419">
        <f>ROUND(+N106+O106+P106,4)</f>
        <v>0</v>
      </c>
      <c r="R106" s="419">
        <f>ROUND(IF(+Q106-H106&lt;=0,0,Q106-H106),4)</f>
        <v>0</v>
      </c>
      <c r="S106" s="423">
        <v>0.5</v>
      </c>
      <c r="T106" s="419">
        <f>ROUND(+(R106*C106)*S106,4)</f>
        <v>0</v>
      </c>
      <c r="U106" s="419">
        <f>ROUND(+J106+M106+T106,4)</f>
        <v>0</v>
      </c>
      <c r="V106" s="235"/>
      <c r="AN106" s="230">
        <f t="shared" si="14"/>
        <v>0</v>
      </c>
      <c r="AO106" s="230">
        <f t="shared" si="15"/>
        <v>0</v>
      </c>
    </row>
    <row r="107" spans="1:41" ht="15.75" x14ac:dyDescent="0.25">
      <c r="A107" s="231"/>
      <c r="B107" s="232"/>
      <c r="C107" s="400"/>
      <c r="D107" s="233"/>
      <c r="E107" s="405"/>
      <c r="F107" s="405"/>
      <c r="G107" s="405"/>
      <c r="H107" s="408">
        <f>ROUND(+E107+F107+G107,4)</f>
        <v>0</v>
      </c>
      <c r="I107" s="234"/>
      <c r="J107" s="411"/>
      <c r="K107" s="411"/>
      <c r="L107" s="414">
        <v>0.1</v>
      </c>
      <c r="M107" s="414">
        <f>ROUND(+L107*C107,4)</f>
        <v>0</v>
      </c>
      <c r="N107" s="414"/>
      <c r="O107" s="414"/>
      <c r="P107" s="414"/>
      <c r="Q107" s="419">
        <f>ROUND(+N107+O107+P107,4)</f>
        <v>0</v>
      </c>
      <c r="R107" s="419">
        <f>ROUND(IF(+Q107-H107&lt;=0,0,Q107-H107),4)</f>
        <v>0</v>
      </c>
      <c r="S107" s="423">
        <v>0.5</v>
      </c>
      <c r="T107" s="419">
        <f>ROUND(+(R107*C107)*S107,4)</f>
        <v>0</v>
      </c>
      <c r="U107" s="419">
        <f>ROUND(+J107+M107+T107,4)</f>
        <v>0</v>
      </c>
      <c r="V107" s="235"/>
      <c r="AN107" s="230">
        <f t="shared" si="14"/>
        <v>0</v>
      </c>
      <c r="AO107" s="230">
        <f t="shared" si="15"/>
        <v>0</v>
      </c>
    </row>
    <row r="108" spans="1:41" ht="15.75" x14ac:dyDescent="0.25">
      <c r="A108" s="231"/>
      <c r="B108" s="232"/>
      <c r="C108" s="400"/>
      <c r="D108" s="233"/>
      <c r="E108" s="405"/>
      <c r="F108" s="405"/>
      <c r="G108" s="405"/>
      <c r="H108" s="408">
        <f>ROUND(+E108+F108+G108,4)</f>
        <v>0</v>
      </c>
      <c r="I108" s="234"/>
      <c r="J108" s="411"/>
      <c r="K108" s="411"/>
      <c r="L108" s="414">
        <v>0.1</v>
      </c>
      <c r="M108" s="414">
        <f>ROUND(+L108*C108,4)</f>
        <v>0</v>
      </c>
      <c r="N108" s="414"/>
      <c r="O108" s="414"/>
      <c r="P108" s="414"/>
      <c r="Q108" s="419">
        <f>ROUND(+N108+O108+P108,4)</f>
        <v>0</v>
      </c>
      <c r="R108" s="419">
        <f>ROUND(IF(+Q108-H108&lt;=0,0,Q108-H108),4)</f>
        <v>0</v>
      </c>
      <c r="S108" s="423">
        <v>0.5</v>
      </c>
      <c r="T108" s="419">
        <f>ROUND(+(R108*C108)*S108,4)</f>
        <v>0</v>
      </c>
      <c r="U108" s="419">
        <f>ROUND(+J108+M108+T108,4)</f>
        <v>0</v>
      </c>
      <c r="V108" s="235"/>
      <c r="AN108" s="230">
        <f t="shared" si="14"/>
        <v>0</v>
      </c>
      <c r="AO108" s="230">
        <f t="shared" si="15"/>
        <v>0</v>
      </c>
    </row>
    <row r="109" spans="1:41" ht="15.75" x14ac:dyDescent="0.25">
      <c r="A109" s="231"/>
      <c r="B109" s="232"/>
      <c r="C109" s="400"/>
      <c r="D109" s="233"/>
      <c r="E109" s="405"/>
      <c r="F109" s="405"/>
      <c r="G109" s="405"/>
      <c r="H109" s="408">
        <f>ROUND(+E109+F109+G109,4)</f>
        <v>0</v>
      </c>
      <c r="I109" s="234"/>
      <c r="J109" s="411"/>
      <c r="K109" s="411"/>
      <c r="L109" s="414">
        <v>0.1</v>
      </c>
      <c r="M109" s="414">
        <f>ROUND(+L109*C109,4)</f>
        <v>0</v>
      </c>
      <c r="N109" s="414"/>
      <c r="O109" s="414"/>
      <c r="P109" s="414"/>
      <c r="Q109" s="419">
        <f>ROUND(+N109+O109+P109,4)</f>
        <v>0</v>
      </c>
      <c r="R109" s="419">
        <f>ROUND(IF(+Q109-H109&lt;=0,0,Q109-H109),4)</f>
        <v>0</v>
      </c>
      <c r="S109" s="423">
        <v>0.5</v>
      </c>
      <c r="T109" s="419">
        <f>ROUND(+(R109*C109)*S109,4)</f>
        <v>0</v>
      </c>
      <c r="U109" s="419">
        <f>ROUND(+J109+M109+T109,4)</f>
        <v>0</v>
      </c>
      <c r="V109" s="235"/>
      <c r="AN109" s="230">
        <f t="shared" si="14"/>
        <v>0</v>
      </c>
      <c r="AO109" s="230">
        <f t="shared" si="15"/>
        <v>0</v>
      </c>
    </row>
    <row r="110" spans="1:41" ht="15.75" x14ac:dyDescent="0.25">
      <c r="A110" s="231"/>
      <c r="B110" s="232"/>
      <c r="C110" s="400"/>
      <c r="D110" s="233"/>
      <c r="E110" s="405"/>
      <c r="F110" s="405"/>
      <c r="G110" s="405"/>
      <c r="H110" s="408">
        <f>ROUND(+E110+F110+G110,4)</f>
        <v>0</v>
      </c>
      <c r="I110" s="234"/>
      <c r="J110" s="411"/>
      <c r="K110" s="411"/>
      <c r="L110" s="414">
        <v>0.1</v>
      </c>
      <c r="M110" s="414">
        <f>ROUND(+L110*C110,4)</f>
        <v>0</v>
      </c>
      <c r="N110" s="414"/>
      <c r="O110" s="414"/>
      <c r="P110" s="414"/>
      <c r="Q110" s="419">
        <f>ROUND(+N110+O110+P110,4)</f>
        <v>0</v>
      </c>
      <c r="R110" s="419">
        <f>ROUND(IF(+Q110-H110&lt;=0,0,Q110-H110),4)</f>
        <v>0</v>
      </c>
      <c r="S110" s="423">
        <v>0.5</v>
      </c>
      <c r="T110" s="419">
        <f>ROUND(+(R110*C110)*S110,4)</f>
        <v>0</v>
      </c>
      <c r="U110" s="419">
        <f>ROUND(+J110+M110+T110,4)</f>
        <v>0</v>
      </c>
      <c r="V110" s="235"/>
      <c r="AN110" s="230">
        <f t="shared" si="14"/>
        <v>0</v>
      </c>
      <c r="AO110" s="230">
        <f t="shared" si="15"/>
        <v>0</v>
      </c>
    </row>
    <row r="111" spans="1:41" ht="15.75" x14ac:dyDescent="0.25">
      <c r="A111" s="231"/>
      <c r="B111" s="232"/>
      <c r="C111" s="400"/>
      <c r="D111" s="233"/>
      <c r="E111" s="405"/>
      <c r="F111" s="405"/>
      <c r="G111" s="405"/>
      <c r="H111" s="408">
        <f>ROUND(+E111+F111+G111,4)</f>
        <v>0</v>
      </c>
      <c r="I111" s="234"/>
      <c r="J111" s="411"/>
      <c r="K111" s="411"/>
      <c r="L111" s="414">
        <v>0.1</v>
      </c>
      <c r="M111" s="414">
        <f>ROUND(+L111*C111,4)</f>
        <v>0</v>
      </c>
      <c r="N111" s="414"/>
      <c r="O111" s="414"/>
      <c r="P111" s="414"/>
      <c r="Q111" s="419">
        <f>ROUND(+N111+O111+P111,4)</f>
        <v>0</v>
      </c>
      <c r="R111" s="419">
        <f>ROUND(IF(+Q111-H111&lt;=0,0,Q111-H111),4)</f>
        <v>0</v>
      </c>
      <c r="S111" s="423">
        <v>0.5</v>
      </c>
      <c r="T111" s="419">
        <f>ROUND(+(R111*C111)*S111,4)</f>
        <v>0</v>
      </c>
      <c r="U111" s="419">
        <f>ROUND(+J111+M111+T111,4)</f>
        <v>0</v>
      </c>
      <c r="V111" s="235"/>
      <c r="AN111" s="230">
        <f t="shared" si="14"/>
        <v>0</v>
      </c>
      <c r="AO111" s="230">
        <f t="shared" si="15"/>
        <v>0</v>
      </c>
    </row>
    <row r="112" spans="1:41" ht="15.75" x14ac:dyDescent="0.25">
      <c r="A112" s="231"/>
      <c r="B112" s="232"/>
      <c r="C112" s="400"/>
      <c r="D112" s="233"/>
      <c r="E112" s="405"/>
      <c r="F112" s="405"/>
      <c r="G112" s="405"/>
      <c r="H112" s="408">
        <f>ROUND(+E112+F112+G112,4)</f>
        <v>0</v>
      </c>
      <c r="I112" s="234"/>
      <c r="J112" s="411"/>
      <c r="K112" s="411"/>
      <c r="L112" s="414">
        <v>0.1</v>
      </c>
      <c r="M112" s="414">
        <f>ROUND(+L112*C112,4)</f>
        <v>0</v>
      </c>
      <c r="N112" s="414"/>
      <c r="O112" s="414"/>
      <c r="P112" s="414"/>
      <c r="Q112" s="419">
        <f>ROUND(+N112+O112+P112,4)</f>
        <v>0</v>
      </c>
      <c r="R112" s="419">
        <f>ROUND(IF(+Q112-H112&lt;=0,0,Q112-H112),4)</f>
        <v>0</v>
      </c>
      <c r="S112" s="423">
        <v>0.5</v>
      </c>
      <c r="T112" s="419">
        <f>ROUND(+(R112*C112)*S112,4)</f>
        <v>0</v>
      </c>
      <c r="U112" s="419">
        <f>ROUND(+J112+M112+T112,4)</f>
        <v>0</v>
      </c>
      <c r="V112" s="235"/>
      <c r="AN112" s="230">
        <f t="shared" si="14"/>
        <v>0</v>
      </c>
      <c r="AO112" s="230">
        <f t="shared" si="15"/>
        <v>0</v>
      </c>
    </row>
    <row r="113" spans="1:41" ht="15.75" x14ac:dyDescent="0.25">
      <c r="A113" s="231"/>
      <c r="B113" s="232"/>
      <c r="C113" s="400"/>
      <c r="D113" s="233"/>
      <c r="E113" s="405"/>
      <c r="F113" s="405"/>
      <c r="G113" s="405"/>
      <c r="H113" s="408">
        <f>ROUND(+E113+F113+G113,4)</f>
        <v>0</v>
      </c>
      <c r="I113" s="234"/>
      <c r="J113" s="411"/>
      <c r="K113" s="411"/>
      <c r="L113" s="414">
        <v>0.1</v>
      </c>
      <c r="M113" s="414">
        <f>ROUND(+L113*C113,4)</f>
        <v>0</v>
      </c>
      <c r="N113" s="414"/>
      <c r="O113" s="414"/>
      <c r="P113" s="414"/>
      <c r="Q113" s="419">
        <f>ROUND(+N113+O113+P113,4)</f>
        <v>0</v>
      </c>
      <c r="R113" s="419">
        <f>ROUND(IF(+Q113-H113&lt;=0,0,Q113-H113),4)</f>
        <v>0</v>
      </c>
      <c r="S113" s="423">
        <v>0.5</v>
      </c>
      <c r="T113" s="419">
        <f>ROUND(+(R113*C113)*S113,4)</f>
        <v>0</v>
      </c>
      <c r="U113" s="419">
        <f>ROUND(+J113+M113+T113,4)</f>
        <v>0</v>
      </c>
      <c r="V113" s="235"/>
      <c r="AN113" s="230">
        <f t="shared" si="14"/>
        <v>0</v>
      </c>
      <c r="AO113" s="230">
        <f t="shared" si="15"/>
        <v>0</v>
      </c>
    </row>
    <row r="114" spans="1:41" ht="15.75" x14ac:dyDescent="0.25">
      <c r="A114" s="231"/>
      <c r="B114" s="232"/>
      <c r="C114" s="400"/>
      <c r="D114" s="233"/>
      <c r="E114" s="405"/>
      <c r="F114" s="405"/>
      <c r="G114" s="405"/>
      <c r="H114" s="408">
        <f>ROUND(+E114+F114+G114,4)</f>
        <v>0</v>
      </c>
      <c r="I114" s="234"/>
      <c r="J114" s="411"/>
      <c r="K114" s="411"/>
      <c r="L114" s="414">
        <v>0.1</v>
      </c>
      <c r="M114" s="414">
        <f>ROUND(+L114*C114,4)</f>
        <v>0</v>
      </c>
      <c r="N114" s="414"/>
      <c r="O114" s="414"/>
      <c r="P114" s="414"/>
      <c r="Q114" s="419">
        <f>ROUND(+N114+O114+P114,4)</f>
        <v>0</v>
      </c>
      <c r="R114" s="419">
        <f>ROUND(IF(+Q114-H114&lt;=0,0,Q114-H114),4)</f>
        <v>0</v>
      </c>
      <c r="S114" s="423">
        <v>0.5</v>
      </c>
      <c r="T114" s="419">
        <f>ROUND(+(R114*C114)*S114,4)</f>
        <v>0</v>
      </c>
      <c r="U114" s="419">
        <f>ROUND(+J114+M114+T114,4)</f>
        <v>0</v>
      </c>
      <c r="V114" s="235"/>
      <c r="AN114" s="230">
        <f t="shared" si="14"/>
        <v>0</v>
      </c>
      <c r="AO114" s="230">
        <f t="shared" si="15"/>
        <v>0</v>
      </c>
    </row>
    <row r="115" spans="1:41" ht="15.75" x14ac:dyDescent="0.25">
      <c r="A115" s="231"/>
      <c r="B115" s="232"/>
      <c r="C115" s="400"/>
      <c r="D115" s="233"/>
      <c r="E115" s="405"/>
      <c r="F115" s="405"/>
      <c r="G115" s="405"/>
      <c r="H115" s="408">
        <f>ROUND(+E115+F115+G115,4)</f>
        <v>0</v>
      </c>
      <c r="I115" s="234"/>
      <c r="J115" s="411"/>
      <c r="K115" s="411"/>
      <c r="L115" s="414">
        <v>0.1</v>
      </c>
      <c r="M115" s="414">
        <f>ROUND(+L115*C115,4)</f>
        <v>0</v>
      </c>
      <c r="N115" s="414"/>
      <c r="O115" s="414"/>
      <c r="P115" s="414"/>
      <c r="Q115" s="419">
        <f>ROUND(+N115+O115+P115,4)</f>
        <v>0</v>
      </c>
      <c r="R115" s="419">
        <f>ROUND(IF(+Q115-H115&lt;=0,0,Q115-H115),4)</f>
        <v>0</v>
      </c>
      <c r="S115" s="423">
        <v>0.5</v>
      </c>
      <c r="T115" s="419">
        <f>ROUND(+(R115*C115)*S115,4)</f>
        <v>0</v>
      </c>
      <c r="U115" s="419">
        <f>ROUND(+J115+M115+T115,4)</f>
        <v>0</v>
      </c>
      <c r="V115" s="235"/>
      <c r="AN115" s="230">
        <f t="shared" si="14"/>
        <v>0</v>
      </c>
      <c r="AO115" s="230">
        <f t="shared" si="15"/>
        <v>0</v>
      </c>
    </row>
    <row r="116" spans="1:41" ht="15.75" x14ac:dyDescent="0.25">
      <c r="A116" s="231"/>
      <c r="B116" s="232"/>
      <c r="C116" s="400"/>
      <c r="D116" s="233"/>
      <c r="E116" s="405"/>
      <c r="F116" s="405"/>
      <c r="G116" s="405"/>
      <c r="H116" s="408">
        <f>ROUND(+E116+F116+G116,4)</f>
        <v>0</v>
      </c>
      <c r="I116" s="234"/>
      <c r="J116" s="411"/>
      <c r="K116" s="411"/>
      <c r="L116" s="414">
        <v>0.1</v>
      </c>
      <c r="M116" s="414">
        <f>ROUND(+L116*C116,4)</f>
        <v>0</v>
      </c>
      <c r="N116" s="414"/>
      <c r="O116" s="414"/>
      <c r="P116" s="414"/>
      <c r="Q116" s="419">
        <f>ROUND(+N116+O116+P116,4)</f>
        <v>0</v>
      </c>
      <c r="R116" s="419">
        <f>ROUND(IF(+Q116-H116&lt;=0,0,Q116-H116),4)</f>
        <v>0</v>
      </c>
      <c r="S116" s="423">
        <v>0.5</v>
      </c>
      <c r="T116" s="419">
        <f>ROUND(+(R116*C116)*S116,4)</f>
        <v>0</v>
      </c>
      <c r="U116" s="419">
        <f>ROUND(+J116+M116+T116,4)</f>
        <v>0</v>
      </c>
      <c r="V116" s="235"/>
      <c r="AN116" s="230">
        <f t="shared" si="14"/>
        <v>0</v>
      </c>
      <c r="AO116" s="230">
        <f t="shared" si="15"/>
        <v>0</v>
      </c>
    </row>
    <row r="117" spans="1:41" ht="15.75" x14ac:dyDescent="0.25">
      <c r="A117" s="231"/>
      <c r="B117" s="232"/>
      <c r="C117" s="400"/>
      <c r="D117" s="233"/>
      <c r="E117" s="405"/>
      <c r="F117" s="405"/>
      <c r="G117" s="405"/>
      <c r="H117" s="408">
        <f>ROUND(+E117+F117+G117,4)</f>
        <v>0</v>
      </c>
      <c r="I117" s="234"/>
      <c r="J117" s="411"/>
      <c r="K117" s="411"/>
      <c r="L117" s="414">
        <v>0.1</v>
      </c>
      <c r="M117" s="414">
        <f>ROUND(+L117*C117,4)</f>
        <v>0</v>
      </c>
      <c r="N117" s="414"/>
      <c r="O117" s="414"/>
      <c r="P117" s="414"/>
      <c r="Q117" s="419">
        <f>ROUND(+N117+O117+P117,4)</f>
        <v>0</v>
      </c>
      <c r="R117" s="419">
        <f>ROUND(IF(+Q117-H117&lt;=0,0,Q117-H117),4)</f>
        <v>0</v>
      </c>
      <c r="S117" s="423">
        <v>0.5</v>
      </c>
      <c r="T117" s="419">
        <f>ROUND(+(R117*C117)*S117,4)</f>
        <v>0</v>
      </c>
      <c r="U117" s="419">
        <f>ROUND(+J117+M117+T117,4)</f>
        <v>0</v>
      </c>
      <c r="V117" s="235"/>
      <c r="AN117" s="230">
        <f t="shared" si="14"/>
        <v>0</v>
      </c>
      <c r="AO117" s="230">
        <f t="shared" si="15"/>
        <v>0</v>
      </c>
    </row>
    <row r="118" spans="1:41" ht="15.75" x14ac:dyDescent="0.25">
      <c r="A118" s="231"/>
      <c r="B118" s="232"/>
      <c r="C118" s="400"/>
      <c r="D118" s="233"/>
      <c r="E118" s="405"/>
      <c r="F118" s="405"/>
      <c r="G118" s="405"/>
      <c r="H118" s="408">
        <f>ROUND(+E118+F118+G118,4)</f>
        <v>0</v>
      </c>
      <c r="I118" s="234"/>
      <c r="J118" s="411"/>
      <c r="K118" s="411"/>
      <c r="L118" s="414">
        <v>0.1</v>
      </c>
      <c r="M118" s="414">
        <f>ROUND(+L118*C118,4)</f>
        <v>0</v>
      </c>
      <c r="N118" s="414"/>
      <c r="O118" s="414"/>
      <c r="P118" s="414"/>
      <c r="Q118" s="419">
        <f>ROUND(+N118+O118+P118,4)</f>
        <v>0</v>
      </c>
      <c r="R118" s="419">
        <f>ROUND(IF(+Q118-H118&lt;=0,0,Q118-H118),4)</f>
        <v>0</v>
      </c>
      <c r="S118" s="423">
        <v>0.5</v>
      </c>
      <c r="T118" s="419">
        <f>ROUND(+(R118*C118)*S118,4)</f>
        <v>0</v>
      </c>
      <c r="U118" s="419">
        <f>ROUND(+J118+M118+T118,4)</f>
        <v>0</v>
      </c>
      <c r="V118" s="235"/>
      <c r="AN118" s="230">
        <f t="shared" si="14"/>
        <v>0</v>
      </c>
      <c r="AO118" s="230">
        <f t="shared" si="15"/>
        <v>0</v>
      </c>
    </row>
    <row r="119" spans="1:41" ht="15.75" x14ac:dyDescent="0.25">
      <c r="A119" s="231"/>
      <c r="B119" s="232"/>
      <c r="C119" s="400"/>
      <c r="D119" s="233"/>
      <c r="E119" s="405"/>
      <c r="F119" s="405"/>
      <c r="G119" s="405"/>
      <c r="H119" s="408">
        <f>ROUND(+E119+F119+G119,4)</f>
        <v>0</v>
      </c>
      <c r="I119" s="234"/>
      <c r="J119" s="411"/>
      <c r="K119" s="411"/>
      <c r="L119" s="414">
        <v>0.1</v>
      </c>
      <c r="M119" s="414">
        <f>ROUND(+L119*C119,4)</f>
        <v>0</v>
      </c>
      <c r="N119" s="414"/>
      <c r="O119" s="414"/>
      <c r="P119" s="414"/>
      <c r="Q119" s="419">
        <f>ROUND(+N119+O119+P119,4)</f>
        <v>0</v>
      </c>
      <c r="R119" s="419">
        <f>ROUND(IF(+Q119-H119&lt;=0,0,Q119-H119),4)</f>
        <v>0</v>
      </c>
      <c r="S119" s="423">
        <v>0.5</v>
      </c>
      <c r="T119" s="419">
        <f>ROUND(+(R119*C119)*S119,4)</f>
        <v>0</v>
      </c>
      <c r="U119" s="419">
        <f>ROUND(+J119+M119+T119,4)</f>
        <v>0</v>
      </c>
      <c r="V119" s="235"/>
      <c r="AN119" s="230">
        <f t="shared" si="14"/>
        <v>0</v>
      </c>
      <c r="AO119" s="230">
        <f t="shared" si="15"/>
        <v>0</v>
      </c>
    </row>
    <row r="120" spans="1:41" ht="15.75" x14ac:dyDescent="0.25">
      <c r="A120" s="231"/>
      <c r="B120" s="232"/>
      <c r="C120" s="400"/>
      <c r="D120" s="233"/>
      <c r="E120" s="405"/>
      <c r="F120" s="405"/>
      <c r="G120" s="405"/>
      <c r="H120" s="408">
        <f>ROUND(+E120+F120+G120,4)</f>
        <v>0</v>
      </c>
      <c r="I120" s="234"/>
      <c r="J120" s="411"/>
      <c r="K120" s="411"/>
      <c r="L120" s="414">
        <v>0.1</v>
      </c>
      <c r="M120" s="414">
        <f>ROUND(+L120*C120,4)</f>
        <v>0</v>
      </c>
      <c r="N120" s="414"/>
      <c r="O120" s="414"/>
      <c r="P120" s="414"/>
      <c r="Q120" s="419">
        <f>ROUND(+N120+O120+P120,4)</f>
        <v>0</v>
      </c>
      <c r="R120" s="419">
        <f>ROUND(IF(+Q120-H120&lt;=0,0,Q120-H120),4)</f>
        <v>0</v>
      </c>
      <c r="S120" s="423">
        <v>0.5</v>
      </c>
      <c r="T120" s="419">
        <f>ROUND(+(R120*C120)*S120,4)</f>
        <v>0</v>
      </c>
      <c r="U120" s="419">
        <f>ROUND(+J120+M120+T120,4)</f>
        <v>0</v>
      </c>
      <c r="V120" s="235"/>
      <c r="AN120" s="230">
        <f t="shared" si="14"/>
        <v>0</v>
      </c>
      <c r="AO120" s="230">
        <f t="shared" si="15"/>
        <v>0</v>
      </c>
    </row>
    <row r="121" spans="1:41" ht="15.75" x14ac:dyDescent="0.25">
      <c r="A121" s="231"/>
      <c r="B121" s="232"/>
      <c r="C121" s="400"/>
      <c r="D121" s="233"/>
      <c r="E121" s="405"/>
      <c r="F121" s="405"/>
      <c r="G121" s="405"/>
      <c r="H121" s="408">
        <f>ROUND(+E121+F121+G121,4)</f>
        <v>0</v>
      </c>
      <c r="I121" s="234"/>
      <c r="J121" s="411"/>
      <c r="K121" s="411"/>
      <c r="L121" s="414">
        <v>0.1</v>
      </c>
      <c r="M121" s="414">
        <f>ROUND(+L121*C121,4)</f>
        <v>0</v>
      </c>
      <c r="N121" s="414"/>
      <c r="O121" s="414"/>
      <c r="P121" s="414"/>
      <c r="Q121" s="419">
        <f>ROUND(+N121+O121+P121,4)</f>
        <v>0</v>
      </c>
      <c r="R121" s="419">
        <f>ROUND(IF(+Q121-H121&lt;=0,0,Q121-H121),4)</f>
        <v>0</v>
      </c>
      <c r="S121" s="423">
        <v>0.5</v>
      </c>
      <c r="T121" s="419">
        <f>ROUND(+(R121*C121)*S121,4)</f>
        <v>0</v>
      </c>
      <c r="U121" s="419">
        <f>ROUND(+J121+M121+T121,4)</f>
        <v>0</v>
      </c>
      <c r="V121" s="235"/>
      <c r="AN121" s="230">
        <f t="shared" si="14"/>
        <v>0</v>
      </c>
      <c r="AO121" s="230">
        <f t="shared" si="15"/>
        <v>0</v>
      </c>
    </row>
    <row r="122" spans="1:41" ht="15.75" x14ac:dyDescent="0.25">
      <c r="A122" s="231"/>
      <c r="B122" s="232"/>
      <c r="C122" s="400"/>
      <c r="D122" s="233"/>
      <c r="E122" s="405"/>
      <c r="F122" s="405"/>
      <c r="G122" s="405"/>
      <c r="H122" s="408">
        <f>ROUND(+E122+F122+G122,4)</f>
        <v>0</v>
      </c>
      <c r="I122" s="234"/>
      <c r="J122" s="411"/>
      <c r="K122" s="411"/>
      <c r="L122" s="414">
        <v>0.1</v>
      </c>
      <c r="M122" s="414">
        <f>ROUND(+L122*C122,4)</f>
        <v>0</v>
      </c>
      <c r="N122" s="414"/>
      <c r="O122" s="414"/>
      <c r="P122" s="414"/>
      <c r="Q122" s="419">
        <f>ROUND(+N122+O122+P122,4)</f>
        <v>0</v>
      </c>
      <c r="R122" s="419">
        <f>ROUND(IF(+Q122-H122&lt;=0,0,Q122-H122),4)</f>
        <v>0</v>
      </c>
      <c r="S122" s="423">
        <v>0.5</v>
      </c>
      <c r="T122" s="419">
        <f>ROUND(+(R122*C122)*S122,4)</f>
        <v>0</v>
      </c>
      <c r="U122" s="419">
        <f>ROUND(+J122+M122+T122,4)</f>
        <v>0</v>
      </c>
      <c r="V122" s="235"/>
      <c r="AN122" s="230">
        <f t="shared" si="14"/>
        <v>0</v>
      </c>
      <c r="AO122" s="230">
        <f t="shared" si="15"/>
        <v>0</v>
      </c>
    </row>
    <row r="123" spans="1:41" ht="15.75" x14ac:dyDescent="0.25">
      <c r="A123" s="231"/>
      <c r="B123" s="232"/>
      <c r="C123" s="400"/>
      <c r="D123" s="233"/>
      <c r="E123" s="405"/>
      <c r="F123" s="405"/>
      <c r="G123" s="405"/>
      <c r="H123" s="408">
        <f>ROUND(+E123+F123+G123,4)</f>
        <v>0</v>
      </c>
      <c r="I123" s="234"/>
      <c r="J123" s="411"/>
      <c r="K123" s="411"/>
      <c r="L123" s="414">
        <v>0.1</v>
      </c>
      <c r="M123" s="414">
        <f>ROUND(+L123*C123,4)</f>
        <v>0</v>
      </c>
      <c r="N123" s="414"/>
      <c r="O123" s="414"/>
      <c r="P123" s="414"/>
      <c r="Q123" s="419">
        <f>ROUND(+N123+O123+P123,4)</f>
        <v>0</v>
      </c>
      <c r="R123" s="419">
        <f>ROUND(IF(+Q123-H123&lt;=0,0,Q123-H123),4)</f>
        <v>0</v>
      </c>
      <c r="S123" s="423">
        <v>0.5</v>
      </c>
      <c r="T123" s="419">
        <f>ROUND(+(R123*C123)*S123,4)</f>
        <v>0</v>
      </c>
      <c r="U123" s="419">
        <f>ROUND(+J123+M123+T123,4)</f>
        <v>0</v>
      </c>
      <c r="V123" s="235"/>
      <c r="AN123" s="230">
        <f t="shared" si="14"/>
        <v>0</v>
      </c>
      <c r="AO123" s="230">
        <f t="shared" si="15"/>
        <v>0</v>
      </c>
    </row>
    <row r="124" spans="1:41" ht="15.75" x14ac:dyDescent="0.25">
      <c r="A124" s="231"/>
      <c r="B124" s="232"/>
      <c r="C124" s="400"/>
      <c r="D124" s="233"/>
      <c r="E124" s="405"/>
      <c r="F124" s="405"/>
      <c r="G124" s="405"/>
      <c r="H124" s="408">
        <f>ROUND(+E124+F124+G124,4)</f>
        <v>0</v>
      </c>
      <c r="I124" s="234"/>
      <c r="J124" s="411"/>
      <c r="K124" s="411"/>
      <c r="L124" s="414">
        <v>0.1</v>
      </c>
      <c r="M124" s="414">
        <f>ROUND(+L124*C124,4)</f>
        <v>0</v>
      </c>
      <c r="N124" s="414"/>
      <c r="O124" s="414"/>
      <c r="P124" s="414"/>
      <c r="Q124" s="419">
        <f>ROUND(+N124+O124+P124,4)</f>
        <v>0</v>
      </c>
      <c r="R124" s="419">
        <f>ROUND(IF(+Q124-H124&lt;=0,0,Q124-H124),4)</f>
        <v>0</v>
      </c>
      <c r="S124" s="423">
        <v>0.5</v>
      </c>
      <c r="T124" s="419">
        <f>ROUND(+(R124*C124)*S124,4)</f>
        <v>0</v>
      </c>
      <c r="U124" s="419">
        <f>ROUND(+J124+M124+T124,4)</f>
        <v>0</v>
      </c>
      <c r="V124" s="235"/>
      <c r="AN124" s="230">
        <f t="shared" si="14"/>
        <v>0</v>
      </c>
      <c r="AO124" s="230">
        <f t="shared" si="15"/>
        <v>0</v>
      </c>
    </row>
    <row r="125" spans="1:41" ht="15.75" x14ac:dyDescent="0.25">
      <c r="A125" s="231"/>
      <c r="B125" s="232"/>
      <c r="C125" s="400"/>
      <c r="D125" s="233"/>
      <c r="E125" s="405"/>
      <c r="F125" s="405"/>
      <c r="G125" s="405"/>
      <c r="H125" s="408">
        <f>ROUND(+E125+F125+G125,4)</f>
        <v>0</v>
      </c>
      <c r="I125" s="234"/>
      <c r="J125" s="411"/>
      <c r="K125" s="411"/>
      <c r="L125" s="414">
        <v>0.1</v>
      </c>
      <c r="M125" s="414">
        <f>ROUND(+L125*C125,4)</f>
        <v>0</v>
      </c>
      <c r="N125" s="414"/>
      <c r="O125" s="414"/>
      <c r="P125" s="414"/>
      <c r="Q125" s="419">
        <f>ROUND(+N125+O125+P125,4)</f>
        <v>0</v>
      </c>
      <c r="R125" s="419">
        <f>ROUND(IF(+Q125-H125&lt;=0,0,Q125-H125),4)</f>
        <v>0</v>
      </c>
      <c r="S125" s="423">
        <v>0.5</v>
      </c>
      <c r="T125" s="419">
        <f>ROUND(+(R125*C125)*S125,4)</f>
        <v>0</v>
      </c>
      <c r="U125" s="419">
        <f>ROUND(+J125+M125+T125,4)</f>
        <v>0</v>
      </c>
      <c r="V125" s="235"/>
      <c r="AN125" s="230">
        <f t="shared" si="14"/>
        <v>0</v>
      </c>
      <c r="AO125" s="230">
        <f t="shared" si="15"/>
        <v>0</v>
      </c>
    </row>
    <row r="126" spans="1:41" ht="15.75" x14ac:dyDescent="0.25">
      <c r="A126" s="231"/>
      <c r="B126" s="232"/>
      <c r="C126" s="400"/>
      <c r="D126" s="233"/>
      <c r="E126" s="405"/>
      <c r="F126" s="405"/>
      <c r="G126" s="405"/>
      <c r="H126" s="408">
        <f>ROUND(+E126+F126+G126,4)</f>
        <v>0</v>
      </c>
      <c r="I126" s="234"/>
      <c r="J126" s="411"/>
      <c r="K126" s="411"/>
      <c r="L126" s="414">
        <v>0.1</v>
      </c>
      <c r="M126" s="414">
        <f>ROUND(+L126*C126,4)</f>
        <v>0</v>
      </c>
      <c r="N126" s="414"/>
      <c r="O126" s="414"/>
      <c r="P126" s="414"/>
      <c r="Q126" s="419">
        <f>ROUND(+N126+O126+P126,4)</f>
        <v>0</v>
      </c>
      <c r="R126" s="419">
        <f>ROUND(IF(+Q126-H126&lt;=0,0,Q126-H126),4)</f>
        <v>0</v>
      </c>
      <c r="S126" s="423">
        <v>0.5</v>
      </c>
      <c r="T126" s="419">
        <f>ROUND(+(R126*C126)*S126,4)</f>
        <v>0</v>
      </c>
      <c r="U126" s="419">
        <f>ROUND(+J126+M126+T126,4)</f>
        <v>0</v>
      </c>
      <c r="V126" s="235"/>
      <c r="AN126" s="230">
        <f t="shared" si="14"/>
        <v>0</v>
      </c>
      <c r="AO126" s="230">
        <f t="shared" si="15"/>
        <v>0</v>
      </c>
    </row>
    <row r="127" spans="1:41" ht="15.75" x14ac:dyDescent="0.25">
      <c r="A127" s="231"/>
      <c r="B127" s="232"/>
      <c r="C127" s="400"/>
      <c r="D127" s="233"/>
      <c r="E127" s="405"/>
      <c r="F127" s="405"/>
      <c r="G127" s="405"/>
      <c r="H127" s="408">
        <f>ROUND(+E127+F127+G127,4)</f>
        <v>0</v>
      </c>
      <c r="I127" s="234"/>
      <c r="J127" s="411"/>
      <c r="K127" s="411"/>
      <c r="L127" s="414">
        <v>0.1</v>
      </c>
      <c r="M127" s="414">
        <f>ROUND(+L127*C127,4)</f>
        <v>0</v>
      </c>
      <c r="N127" s="414"/>
      <c r="O127" s="414"/>
      <c r="P127" s="414"/>
      <c r="Q127" s="419">
        <f>ROUND(+N127+O127+P127,4)</f>
        <v>0</v>
      </c>
      <c r="R127" s="419">
        <f>ROUND(IF(+Q127-H127&lt;=0,0,Q127-H127),4)</f>
        <v>0</v>
      </c>
      <c r="S127" s="423">
        <v>0.5</v>
      </c>
      <c r="T127" s="419">
        <f>ROUND(+(R127*C127)*S127,4)</f>
        <v>0</v>
      </c>
      <c r="U127" s="419">
        <f>ROUND(+J127+M127+T127,4)</f>
        <v>0</v>
      </c>
      <c r="V127" s="235"/>
      <c r="AN127" s="230">
        <f t="shared" si="14"/>
        <v>0</v>
      </c>
      <c r="AO127" s="230">
        <f t="shared" si="15"/>
        <v>0</v>
      </c>
    </row>
    <row r="128" spans="1:41" ht="15.75" x14ac:dyDescent="0.25">
      <c r="A128" s="231"/>
      <c r="B128" s="232"/>
      <c r="C128" s="400"/>
      <c r="D128" s="233"/>
      <c r="E128" s="405"/>
      <c r="F128" s="405"/>
      <c r="G128" s="405"/>
      <c r="H128" s="408">
        <f>ROUND(+E128+F128+G128,4)</f>
        <v>0</v>
      </c>
      <c r="I128" s="234"/>
      <c r="J128" s="411"/>
      <c r="K128" s="411"/>
      <c r="L128" s="414">
        <v>0.1</v>
      </c>
      <c r="M128" s="414">
        <f>ROUND(+L128*C128,4)</f>
        <v>0</v>
      </c>
      <c r="N128" s="414"/>
      <c r="O128" s="414"/>
      <c r="P128" s="414"/>
      <c r="Q128" s="419">
        <f>ROUND(+N128+O128+P128,4)</f>
        <v>0</v>
      </c>
      <c r="R128" s="419">
        <f>ROUND(IF(+Q128-H128&lt;=0,0,Q128-H128),4)</f>
        <v>0</v>
      </c>
      <c r="S128" s="423">
        <v>0.5</v>
      </c>
      <c r="T128" s="419">
        <f>ROUND(+(R128*C128)*S128,4)</f>
        <v>0</v>
      </c>
      <c r="U128" s="419">
        <f>ROUND(+J128+M128+T128,4)</f>
        <v>0</v>
      </c>
      <c r="V128" s="235"/>
      <c r="AN128" s="230">
        <f t="shared" si="14"/>
        <v>0</v>
      </c>
      <c r="AO128" s="230">
        <f t="shared" si="15"/>
        <v>0</v>
      </c>
    </row>
    <row r="129" spans="1:41" ht="15.75" x14ac:dyDescent="0.25">
      <c r="A129" s="231"/>
      <c r="B129" s="232"/>
      <c r="C129" s="400"/>
      <c r="D129" s="233"/>
      <c r="E129" s="405"/>
      <c r="F129" s="405"/>
      <c r="G129" s="405"/>
      <c r="H129" s="408">
        <f>ROUND(+E129+F129+G129,4)</f>
        <v>0</v>
      </c>
      <c r="I129" s="234"/>
      <c r="J129" s="411"/>
      <c r="K129" s="411"/>
      <c r="L129" s="414">
        <v>0.1</v>
      </c>
      <c r="M129" s="414">
        <f>ROUND(+L129*C129,4)</f>
        <v>0</v>
      </c>
      <c r="N129" s="414"/>
      <c r="O129" s="414"/>
      <c r="P129" s="414"/>
      <c r="Q129" s="419">
        <f>ROUND(+N129+O129+P129,4)</f>
        <v>0</v>
      </c>
      <c r="R129" s="419">
        <f>ROUND(IF(+Q129-H129&lt;=0,0,Q129-H129),4)</f>
        <v>0</v>
      </c>
      <c r="S129" s="423">
        <v>0.5</v>
      </c>
      <c r="T129" s="419">
        <f>ROUND(+(R129*C129)*S129,4)</f>
        <v>0</v>
      </c>
      <c r="U129" s="419">
        <f>ROUND(+J129+M129+T129,4)</f>
        <v>0</v>
      </c>
      <c r="V129" s="235"/>
      <c r="AN129" s="230">
        <f t="shared" si="14"/>
        <v>0</v>
      </c>
      <c r="AO129" s="230">
        <f t="shared" si="15"/>
        <v>0</v>
      </c>
    </row>
    <row r="130" spans="1:41" ht="15.75" x14ac:dyDescent="0.25">
      <c r="A130" s="231"/>
      <c r="B130" s="232"/>
      <c r="C130" s="400"/>
      <c r="D130" s="233"/>
      <c r="E130" s="405"/>
      <c r="F130" s="405"/>
      <c r="G130" s="405"/>
      <c r="H130" s="408">
        <f>ROUND(+E130+F130+G130,4)</f>
        <v>0</v>
      </c>
      <c r="I130" s="234"/>
      <c r="J130" s="411"/>
      <c r="K130" s="411"/>
      <c r="L130" s="414">
        <v>0.1</v>
      </c>
      <c r="M130" s="414">
        <f>ROUND(+L130*C130,4)</f>
        <v>0</v>
      </c>
      <c r="N130" s="414"/>
      <c r="O130" s="414"/>
      <c r="P130" s="414"/>
      <c r="Q130" s="419">
        <f>ROUND(+N130+O130+P130,4)</f>
        <v>0</v>
      </c>
      <c r="R130" s="419">
        <f>ROUND(IF(+Q130-H130&lt;=0,0,Q130-H130),4)</f>
        <v>0</v>
      </c>
      <c r="S130" s="423">
        <v>0.5</v>
      </c>
      <c r="T130" s="419">
        <f>ROUND(+(R130*C130)*S130,4)</f>
        <v>0</v>
      </c>
      <c r="U130" s="419">
        <f>ROUND(+J130+M130+T130,4)</f>
        <v>0</v>
      </c>
      <c r="V130" s="235"/>
      <c r="AN130" s="230">
        <f t="shared" si="14"/>
        <v>0</v>
      </c>
      <c r="AO130" s="230">
        <f t="shared" si="15"/>
        <v>0</v>
      </c>
    </row>
    <row r="131" spans="1:41" ht="15.75" x14ac:dyDescent="0.25">
      <c r="A131" s="231"/>
      <c r="B131" s="232"/>
      <c r="C131" s="400"/>
      <c r="D131" s="233"/>
      <c r="E131" s="405"/>
      <c r="F131" s="405"/>
      <c r="G131" s="405"/>
      <c r="H131" s="408">
        <f>ROUND(+E131+F131+G131,4)</f>
        <v>0</v>
      </c>
      <c r="I131" s="234"/>
      <c r="J131" s="411"/>
      <c r="K131" s="411"/>
      <c r="L131" s="414">
        <v>0.1</v>
      </c>
      <c r="M131" s="414">
        <f>ROUND(+L131*C131,4)</f>
        <v>0</v>
      </c>
      <c r="N131" s="414"/>
      <c r="O131" s="414"/>
      <c r="P131" s="414"/>
      <c r="Q131" s="419">
        <f>ROUND(+N131+O131+P131,4)</f>
        <v>0</v>
      </c>
      <c r="R131" s="419">
        <f>ROUND(IF(+Q131-H131&lt;=0,0,Q131-H131),4)</f>
        <v>0</v>
      </c>
      <c r="S131" s="423">
        <v>0.5</v>
      </c>
      <c r="T131" s="419">
        <f>ROUND(+(R131*C131)*S131,4)</f>
        <v>0</v>
      </c>
      <c r="U131" s="419">
        <f>ROUND(+J131+M131+T131,4)</f>
        <v>0</v>
      </c>
      <c r="V131" s="235"/>
      <c r="AN131" s="230">
        <f t="shared" si="14"/>
        <v>0</v>
      </c>
      <c r="AO131" s="230">
        <f t="shared" si="15"/>
        <v>0</v>
      </c>
    </row>
    <row r="132" spans="1:41" ht="15.75" x14ac:dyDescent="0.25">
      <c r="A132" s="231"/>
      <c r="B132" s="232"/>
      <c r="C132" s="400"/>
      <c r="D132" s="233"/>
      <c r="E132" s="405"/>
      <c r="F132" s="405"/>
      <c r="G132" s="405"/>
      <c r="H132" s="408">
        <f>ROUND(+E132+F132+G132,4)</f>
        <v>0</v>
      </c>
      <c r="I132" s="234"/>
      <c r="J132" s="411"/>
      <c r="K132" s="411"/>
      <c r="L132" s="414">
        <v>0.1</v>
      </c>
      <c r="M132" s="414">
        <f>ROUND(+L132*C132,4)</f>
        <v>0</v>
      </c>
      <c r="N132" s="414"/>
      <c r="O132" s="414"/>
      <c r="P132" s="414"/>
      <c r="Q132" s="419">
        <f>ROUND(+N132+O132+P132,4)</f>
        <v>0</v>
      </c>
      <c r="R132" s="419">
        <f>ROUND(IF(+Q132-H132&lt;=0,0,Q132-H132),4)</f>
        <v>0</v>
      </c>
      <c r="S132" s="423">
        <v>0.5</v>
      </c>
      <c r="T132" s="419">
        <f>ROUND(+(R132*C132)*S132,4)</f>
        <v>0</v>
      </c>
      <c r="U132" s="419">
        <f>ROUND(+J132+M132+T132,4)</f>
        <v>0</v>
      </c>
      <c r="V132" s="235"/>
      <c r="AN132" s="230">
        <f t="shared" si="14"/>
        <v>0</v>
      </c>
      <c r="AO132" s="230">
        <f t="shared" si="15"/>
        <v>0</v>
      </c>
    </row>
    <row r="133" spans="1:41" ht="15.75" x14ac:dyDescent="0.25">
      <c r="A133" s="231"/>
      <c r="B133" s="232"/>
      <c r="C133" s="400"/>
      <c r="D133" s="233"/>
      <c r="E133" s="405"/>
      <c r="F133" s="405"/>
      <c r="G133" s="405"/>
      <c r="H133" s="408">
        <f>ROUND(+E133+F133+G133,4)</f>
        <v>0</v>
      </c>
      <c r="I133" s="234"/>
      <c r="J133" s="411"/>
      <c r="K133" s="411"/>
      <c r="L133" s="414">
        <v>0.1</v>
      </c>
      <c r="M133" s="414">
        <f>ROUND(+L133*C133,4)</f>
        <v>0</v>
      </c>
      <c r="N133" s="414"/>
      <c r="O133" s="414"/>
      <c r="P133" s="414"/>
      <c r="Q133" s="419">
        <f>ROUND(+N133+O133+P133,4)</f>
        <v>0</v>
      </c>
      <c r="R133" s="419">
        <f>ROUND(IF(+Q133-H133&lt;=0,0,Q133-H133),4)</f>
        <v>0</v>
      </c>
      <c r="S133" s="423">
        <v>0.5</v>
      </c>
      <c r="T133" s="419">
        <f>ROUND(+(R133*C133)*S133,4)</f>
        <v>0</v>
      </c>
      <c r="U133" s="419">
        <f>ROUND(+J133+M133+T133,4)</f>
        <v>0</v>
      </c>
      <c r="V133" s="235"/>
      <c r="AN133" s="230">
        <f t="shared" si="14"/>
        <v>0</v>
      </c>
      <c r="AO133" s="230">
        <f t="shared" si="15"/>
        <v>0</v>
      </c>
    </row>
    <row r="134" spans="1:41" ht="15.75" x14ac:dyDescent="0.25">
      <c r="A134" s="231"/>
      <c r="B134" s="232"/>
      <c r="C134" s="400"/>
      <c r="D134" s="233"/>
      <c r="E134" s="405"/>
      <c r="F134" s="405"/>
      <c r="G134" s="405"/>
      <c r="H134" s="408">
        <f>ROUND(+E134+F134+G134,4)</f>
        <v>0</v>
      </c>
      <c r="I134" s="234"/>
      <c r="J134" s="411"/>
      <c r="K134" s="411"/>
      <c r="L134" s="414">
        <v>0.1</v>
      </c>
      <c r="M134" s="414">
        <f>ROUND(+L134*C134,4)</f>
        <v>0</v>
      </c>
      <c r="N134" s="414"/>
      <c r="O134" s="414"/>
      <c r="P134" s="414"/>
      <c r="Q134" s="419">
        <f>ROUND(+N134+O134+P134,4)</f>
        <v>0</v>
      </c>
      <c r="R134" s="419">
        <f>ROUND(IF(+Q134-H134&lt;=0,0,Q134-H134),4)</f>
        <v>0</v>
      </c>
      <c r="S134" s="423">
        <v>0.5</v>
      </c>
      <c r="T134" s="419">
        <f>ROUND(+(R134*C134)*S134,4)</f>
        <v>0</v>
      </c>
      <c r="U134" s="419">
        <f>ROUND(+J134+M134+T134,4)</f>
        <v>0</v>
      </c>
      <c r="V134" s="235"/>
      <c r="AN134" s="230">
        <f t="shared" si="14"/>
        <v>0</v>
      </c>
      <c r="AO134" s="230">
        <f t="shared" si="15"/>
        <v>0</v>
      </c>
    </row>
    <row r="135" spans="1:41" ht="15.75" x14ac:dyDescent="0.25">
      <c r="A135" s="231"/>
      <c r="B135" s="232"/>
      <c r="C135" s="400"/>
      <c r="D135" s="233"/>
      <c r="E135" s="405"/>
      <c r="F135" s="405"/>
      <c r="G135" s="405"/>
      <c r="H135" s="408">
        <f>ROUND(+E135+F135+G135,4)</f>
        <v>0</v>
      </c>
      <c r="I135" s="234"/>
      <c r="J135" s="411"/>
      <c r="K135" s="411"/>
      <c r="L135" s="414">
        <v>0.1</v>
      </c>
      <c r="M135" s="414">
        <f>ROUND(+L135*C135,4)</f>
        <v>0</v>
      </c>
      <c r="N135" s="414"/>
      <c r="O135" s="414"/>
      <c r="P135" s="414"/>
      <c r="Q135" s="419">
        <f>ROUND(+N135+O135+P135,4)</f>
        <v>0</v>
      </c>
      <c r="R135" s="419">
        <f>ROUND(IF(+Q135-H135&lt;=0,0,Q135-H135),4)</f>
        <v>0</v>
      </c>
      <c r="S135" s="423">
        <v>0.5</v>
      </c>
      <c r="T135" s="419">
        <f>ROUND(+(R135*C135)*S135,4)</f>
        <v>0</v>
      </c>
      <c r="U135" s="419">
        <f>ROUND(+J135+M135+T135,4)</f>
        <v>0</v>
      </c>
      <c r="V135" s="235"/>
      <c r="AN135" s="230">
        <f t="shared" si="14"/>
        <v>0</v>
      </c>
      <c r="AO135" s="230">
        <f t="shared" si="15"/>
        <v>0</v>
      </c>
    </row>
    <row r="136" spans="1:41" ht="15.75" x14ac:dyDescent="0.25">
      <c r="A136" s="231"/>
      <c r="B136" s="232"/>
      <c r="C136" s="400"/>
      <c r="D136" s="233"/>
      <c r="E136" s="405"/>
      <c r="F136" s="405"/>
      <c r="G136" s="405"/>
      <c r="H136" s="408">
        <f>ROUND(+E136+F136+G136,4)</f>
        <v>0</v>
      </c>
      <c r="I136" s="234"/>
      <c r="J136" s="411"/>
      <c r="K136" s="411"/>
      <c r="L136" s="414">
        <v>0.1</v>
      </c>
      <c r="M136" s="414">
        <f>ROUND(+L136*C136,4)</f>
        <v>0</v>
      </c>
      <c r="N136" s="414"/>
      <c r="O136" s="414"/>
      <c r="P136" s="414"/>
      <c r="Q136" s="419">
        <f>ROUND(+N136+O136+P136,4)</f>
        <v>0</v>
      </c>
      <c r="R136" s="419">
        <f>ROUND(IF(+Q136-H136&lt;=0,0,Q136-H136),4)</f>
        <v>0</v>
      </c>
      <c r="S136" s="423">
        <v>0.5</v>
      </c>
      <c r="T136" s="419">
        <f>ROUND(+(R136*C136)*S136,4)</f>
        <v>0</v>
      </c>
      <c r="U136" s="419">
        <f>ROUND(+J136+M136+T136,4)</f>
        <v>0</v>
      </c>
      <c r="V136" s="235"/>
      <c r="AN136" s="230">
        <f t="shared" si="14"/>
        <v>0</v>
      </c>
      <c r="AO136" s="230">
        <f t="shared" si="15"/>
        <v>0</v>
      </c>
    </row>
    <row r="137" spans="1:41" ht="15.75" x14ac:dyDescent="0.25">
      <c r="A137" s="231"/>
      <c r="B137" s="232"/>
      <c r="C137" s="400"/>
      <c r="D137" s="233"/>
      <c r="E137" s="405"/>
      <c r="F137" s="405"/>
      <c r="G137" s="405"/>
      <c r="H137" s="408">
        <f>ROUND(+E137+F137+G137,4)</f>
        <v>0</v>
      </c>
      <c r="I137" s="234"/>
      <c r="J137" s="411"/>
      <c r="K137" s="411"/>
      <c r="L137" s="414">
        <v>0.1</v>
      </c>
      <c r="M137" s="414">
        <f>ROUND(+L137*C137,4)</f>
        <v>0</v>
      </c>
      <c r="N137" s="414"/>
      <c r="O137" s="414"/>
      <c r="P137" s="414"/>
      <c r="Q137" s="419">
        <f>ROUND(+N137+O137+P137,4)</f>
        <v>0</v>
      </c>
      <c r="R137" s="419">
        <f>ROUND(IF(+Q137-H137&lt;=0,0,Q137-H137),4)</f>
        <v>0</v>
      </c>
      <c r="S137" s="423">
        <v>0.5</v>
      </c>
      <c r="T137" s="419">
        <f>ROUND(+(R137*C137)*S137,4)</f>
        <v>0</v>
      </c>
      <c r="U137" s="419">
        <f>ROUND(+J137+M137+T137,4)</f>
        <v>0</v>
      </c>
      <c r="V137" s="235"/>
      <c r="AN137" s="230">
        <f t="shared" si="14"/>
        <v>0</v>
      </c>
      <c r="AO137" s="230">
        <f t="shared" si="15"/>
        <v>0</v>
      </c>
    </row>
    <row r="138" spans="1:41" ht="15.75" x14ac:dyDescent="0.25">
      <c r="A138" s="231"/>
      <c r="B138" s="232"/>
      <c r="C138" s="400"/>
      <c r="D138" s="233"/>
      <c r="E138" s="405"/>
      <c r="F138" s="405"/>
      <c r="G138" s="405"/>
      <c r="H138" s="408">
        <f>ROUND(+E138+F138+G138,4)</f>
        <v>0</v>
      </c>
      <c r="I138" s="234"/>
      <c r="J138" s="411"/>
      <c r="K138" s="411"/>
      <c r="L138" s="414">
        <v>0.1</v>
      </c>
      <c r="M138" s="414">
        <f>ROUND(+L138*C138,4)</f>
        <v>0</v>
      </c>
      <c r="N138" s="414"/>
      <c r="O138" s="414"/>
      <c r="P138" s="414"/>
      <c r="Q138" s="419">
        <f>ROUND(+N138+O138+P138,4)</f>
        <v>0</v>
      </c>
      <c r="R138" s="419">
        <f>ROUND(IF(+Q138-H138&lt;=0,0,Q138-H138),4)</f>
        <v>0</v>
      </c>
      <c r="S138" s="423">
        <v>0.5</v>
      </c>
      <c r="T138" s="419">
        <f>ROUND(+(R138*C138)*S138,4)</f>
        <v>0</v>
      </c>
      <c r="U138" s="419">
        <f>ROUND(+J138+M138+T138,4)</f>
        <v>0</v>
      </c>
      <c r="V138" s="235"/>
      <c r="AN138" s="230">
        <f t="shared" si="14"/>
        <v>0</v>
      </c>
      <c r="AO138" s="230">
        <f t="shared" si="15"/>
        <v>0</v>
      </c>
    </row>
    <row r="139" spans="1:41" ht="15.75" x14ac:dyDescent="0.25">
      <c r="A139" s="231"/>
      <c r="B139" s="232"/>
      <c r="C139" s="400"/>
      <c r="D139" s="233"/>
      <c r="E139" s="405"/>
      <c r="F139" s="405"/>
      <c r="G139" s="405"/>
      <c r="H139" s="408">
        <f>ROUND(+E139+F139+G139,4)</f>
        <v>0</v>
      </c>
      <c r="I139" s="234"/>
      <c r="J139" s="411"/>
      <c r="K139" s="411"/>
      <c r="L139" s="414">
        <v>0.1</v>
      </c>
      <c r="M139" s="414">
        <f>ROUND(+L139*C139,4)</f>
        <v>0</v>
      </c>
      <c r="N139" s="414"/>
      <c r="O139" s="414"/>
      <c r="P139" s="414"/>
      <c r="Q139" s="419">
        <f>ROUND(+N139+O139+P139,4)</f>
        <v>0</v>
      </c>
      <c r="R139" s="419">
        <f>ROUND(IF(+Q139-H139&lt;=0,0,Q139-H139),4)</f>
        <v>0</v>
      </c>
      <c r="S139" s="423">
        <v>0.5</v>
      </c>
      <c r="T139" s="419">
        <f>ROUND(+(R139*C139)*S139,4)</f>
        <v>0</v>
      </c>
      <c r="U139" s="419">
        <f>ROUND(+J139+M139+T139,4)</f>
        <v>0</v>
      </c>
      <c r="V139" s="235"/>
      <c r="AN139" s="230">
        <f t="shared" si="14"/>
        <v>0</v>
      </c>
      <c r="AO139" s="230">
        <f t="shared" si="15"/>
        <v>0</v>
      </c>
    </row>
    <row r="140" spans="1:41" ht="15.75" x14ac:dyDescent="0.25">
      <c r="A140" s="231"/>
      <c r="B140" s="232"/>
      <c r="C140" s="400"/>
      <c r="D140" s="233"/>
      <c r="E140" s="405"/>
      <c r="F140" s="405"/>
      <c r="G140" s="405"/>
      <c r="H140" s="408">
        <f>ROUND(+E140+F140+G140,4)</f>
        <v>0</v>
      </c>
      <c r="I140" s="234"/>
      <c r="J140" s="411"/>
      <c r="K140" s="411"/>
      <c r="L140" s="414">
        <v>0.1</v>
      </c>
      <c r="M140" s="414">
        <f>ROUND(+L140*C140,4)</f>
        <v>0</v>
      </c>
      <c r="N140" s="414"/>
      <c r="O140" s="414"/>
      <c r="P140" s="414"/>
      <c r="Q140" s="419">
        <f>ROUND(+N140+O140+P140,4)</f>
        <v>0</v>
      </c>
      <c r="R140" s="419">
        <f>ROUND(IF(+Q140-H140&lt;=0,0,Q140-H140),4)</f>
        <v>0</v>
      </c>
      <c r="S140" s="423">
        <v>0.5</v>
      </c>
      <c r="T140" s="419">
        <f>ROUND(+(R140*C140)*S140,4)</f>
        <v>0</v>
      </c>
      <c r="U140" s="419">
        <f>ROUND(+J140+M140+T140,4)</f>
        <v>0</v>
      </c>
      <c r="V140" s="235"/>
      <c r="AN140" s="230">
        <f t="shared" si="14"/>
        <v>0</v>
      </c>
      <c r="AO140" s="230">
        <f t="shared" si="15"/>
        <v>0</v>
      </c>
    </row>
    <row r="141" spans="1:41" ht="15.75" x14ac:dyDescent="0.25">
      <c r="A141" s="231"/>
      <c r="B141" s="232"/>
      <c r="C141" s="400"/>
      <c r="D141" s="233"/>
      <c r="E141" s="405"/>
      <c r="F141" s="405"/>
      <c r="G141" s="405"/>
      <c r="H141" s="408">
        <f>ROUND(+E141+F141+G141,4)</f>
        <v>0</v>
      </c>
      <c r="I141" s="234"/>
      <c r="J141" s="411"/>
      <c r="K141" s="411"/>
      <c r="L141" s="414">
        <v>0.1</v>
      </c>
      <c r="M141" s="414">
        <f>ROUND(+L141*C141,4)</f>
        <v>0</v>
      </c>
      <c r="N141" s="414"/>
      <c r="O141" s="414"/>
      <c r="P141" s="414"/>
      <c r="Q141" s="419">
        <f>ROUND(+N141+O141+P141,4)</f>
        <v>0</v>
      </c>
      <c r="R141" s="419">
        <f>ROUND(IF(+Q141-H141&lt;=0,0,Q141-H141),4)</f>
        <v>0</v>
      </c>
      <c r="S141" s="423">
        <v>0.5</v>
      </c>
      <c r="T141" s="419">
        <f>ROUND(+(R141*C141)*S141,4)</f>
        <v>0</v>
      </c>
      <c r="U141" s="419">
        <f>ROUND(+J141+M141+T141,4)</f>
        <v>0</v>
      </c>
      <c r="V141" s="235"/>
      <c r="AN141" s="230">
        <f t="shared" si="14"/>
        <v>0</v>
      </c>
      <c r="AO141" s="230">
        <f t="shared" si="15"/>
        <v>0</v>
      </c>
    </row>
    <row r="142" spans="1:41" ht="15.75" x14ac:dyDescent="0.25">
      <c r="A142" s="231"/>
      <c r="B142" s="232"/>
      <c r="C142" s="400"/>
      <c r="D142" s="233"/>
      <c r="E142" s="405"/>
      <c r="F142" s="405"/>
      <c r="G142" s="405"/>
      <c r="H142" s="408">
        <f>ROUND(+E142+F142+G142,4)</f>
        <v>0</v>
      </c>
      <c r="I142" s="234"/>
      <c r="J142" s="411"/>
      <c r="K142" s="411"/>
      <c r="L142" s="414">
        <v>0.1</v>
      </c>
      <c r="M142" s="414">
        <f>ROUND(+L142*C142,4)</f>
        <v>0</v>
      </c>
      <c r="N142" s="414"/>
      <c r="O142" s="414"/>
      <c r="P142" s="414"/>
      <c r="Q142" s="419">
        <f>ROUND(+N142+O142+P142,4)</f>
        <v>0</v>
      </c>
      <c r="R142" s="419">
        <f>ROUND(IF(+Q142-H142&lt;=0,0,Q142-H142),4)</f>
        <v>0</v>
      </c>
      <c r="S142" s="423">
        <v>0.5</v>
      </c>
      <c r="T142" s="419">
        <f>ROUND(+(R142*C142)*S142,4)</f>
        <v>0</v>
      </c>
      <c r="U142" s="419">
        <f>ROUND(+J142+M142+T142,4)</f>
        <v>0</v>
      </c>
      <c r="V142" s="235"/>
      <c r="AN142" s="230">
        <f t="shared" si="14"/>
        <v>0</v>
      </c>
      <c r="AO142" s="230">
        <f t="shared" si="15"/>
        <v>0</v>
      </c>
    </row>
    <row r="143" spans="1:41" ht="15.75" x14ac:dyDescent="0.25">
      <c r="A143" s="231"/>
      <c r="B143" s="232"/>
      <c r="C143" s="400"/>
      <c r="D143" s="233"/>
      <c r="E143" s="405"/>
      <c r="F143" s="405"/>
      <c r="G143" s="405"/>
      <c r="H143" s="408">
        <f>ROUND(+E143+F143+G143,4)</f>
        <v>0</v>
      </c>
      <c r="I143" s="234"/>
      <c r="J143" s="411"/>
      <c r="K143" s="411"/>
      <c r="L143" s="414">
        <v>0.1</v>
      </c>
      <c r="M143" s="414">
        <f>ROUND(+L143*C143,4)</f>
        <v>0</v>
      </c>
      <c r="N143" s="414"/>
      <c r="O143" s="414"/>
      <c r="P143" s="414"/>
      <c r="Q143" s="419">
        <f>ROUND(+N143+O143+P143,4)</f>
        <v>0</v>
      </c>
      <c r="R143" s="419">
        <f>ROUND(IF(+Q143-H143&lt;=0,0,Q143-H143),4)</f>
        <v>0</v>
      </c>
      <c r="S143" s="423">
        <v>0.5</v>
      </c>
      <c r="T143" s="419">
        <f>ROUND(+(R143*C143)*S143,4)</f>
        <v>0</v>
      </c>
      <c r="U143" s="419">
        <f>ROUND(+J143+M143+T143,4)</f>
        <v>0</v>
      </c>
      <c r="V143" s="235"/>
      <c r="AN143" s="230">
        <f t="shared" si="14"/>
        <v>0</v>
      </c>
      <c r="AO143" s="230">
        <f t="shared" si="15"/>
        <v>0</v>
      </c>
    </row>
    <row r="144" spans="1:41" ht="15.75" x14ac:dyDescent="0.25">
      <c r="A144" s="231"/>
      <c r="B144" s="232"/>
      <c r="C144" s="400"/>
      <c r="D144" s="233"/>
      <c r="E144" s="405"/>
      <c r="F144" s="405"/>
      <c r="G144" s="405"/>
      <c r="H144" s="408">
        <f>ROUND(+E144+F144+G144,4)</f>
        <v>0</v>
      </c>
      <c r="I144" s="234"/>
      <c r="J144" s="411"/>
      <c r="K144" s="411"/>
      <c r="L144" s="414">
        <v>0.1</v>
      </c>
      <c r="M144" s="414">
        <f>ROUND(+L144*C144,4)</f>
        <v>0</v>
      </c>
      <c r="N144" s="414"/>
      <c r="O144" s="414"/>
      <c r="P144" s="414"/>
      <c r="Q144" s="419">
        <f>ROUND(+N144+O144+P144,4)</f>
        <v>0</v>
      </c>
      <c r="R144" s="419">
        <f>ROUND(IF(+Q144-H144&lt;=0,0,Q144-H144),4)</f>
        <v>0</v>
      </c>
      <c r="S144" s="423">
        <v>0.5</v>
      </c>
      <c r="T144" s="419">
        <f>ROUND(+(R144*C144)*S144,4)</f>
        <v>0</v>
      </c>
      <c r="U144" s="419">
        <f>ROUND(+J144+M144+T144,4)</f>
        <v>0</v>
      </c>
      <c r="V144" s="235"/>
      <c r="AN144" s="230">
        <f t="shared" si="14"/>
        <v>0</v>
      </c>
      <c r="AO144" s="230">
        <f t="shared" si="15"/>
        <v>0</v>
      </c>
    </row>
    <row r="145" spans="1:41" ht="15.75" x14ac:dyDescent="0.25">
      <c r="A145" s="231"/>
      <c r="B145" s="232"/>
      <c r="C145" s="400"/>
      <c r="D145" s="233"/>
      <c r="E145" s="405"/>
      <c r="F145" s="405"/>
      <c r="G145" s="405"/>
      <c r="H145" s="408">
        <f>ROUND(+E145+F145+G145,4)</f>
        <v>0</v>
      </c>
      <c r="I145" s="234"/>
      <c r="J145" s="411"/>
      <c r="K145" s="411"/>
      <c r="L145" s="414">
        <v>0.1</v>
      </c>
      <c r="M145" s="414">
        <f>ROUND(+L145*C145,4)</f>
        <v>0</v>
      </c>
      <c r="N145" s="414"/>
      <c r="O145" s="414"/>
      <c r="P145" s="414"/>
      <c r="Q145" s="419">
        <f>ROUND(+N145+O145+P145,4)</f>
        <v>0</v>
      </c>
      <c r="R145" s="419">
        <f>ROUND(IF(+Q145-H145&lt;=0,0,Q145-H145),4)</f>
        <v>0</v>
      </c>
      <c r="S145" s="423">
        <v>0.5</v>
      </c>
      <c r="T145" s="419">
        <f>ROUND(+(R145*C145)*S145,4)</f>
        <v>0</v>
      </c>
      <c r="U145" s="419">
        <f>ROUND(+J145+M145+T145,4)</f>
        <v>0</v>
      </c>
      <c r="V145" s="235"/>
      <c r="AN145" s="230">
        <f t="shared" si="14"/>
        <v>0</v>
      </c>
      <c r="AO145" s="230">
        <f t="shared" si="15"/>
        <v>0</v>
      </c>
    </row>
    <row r="146" spans="1:41" ht="15.75" x14ac:dyDescent="0.25">
      <c r="A146" s="231"/>
      <c r="B146" s="232"/>
      <c r="C146" s="400"/>
      <c r="D146" s="233"/>
      <c r="E146" s="405"/>
      <c r="F146" s="405"/>
      <c r="G146" s="405"/>
      <c r="H146" s="408">
        <f>ROUND(+E146+F146+G146,4)</f>
        <v>0</v>
      </c>
      <c r="I146" s="234"/>
      <c r="J146" s="411"/>
      <c r="K146" s="411"/>
      <c r="L146" s="414">
        <v>0.1</v>
      </c>
      <c r="M146" s="414">
        <f>ROUND(+L146*C146,4)</f>
        <v>0</v>
      </c>
      <c r="N146" s="414"/>
      <c r="O146" s="414"/>
      <c r="P146" s="414"/>
      <c r="Q146" s="419">
        <f>ROUND(+N146+O146+P146,4)</f>
        <v>0</v>
      </c>
      <c r="R146" s="419">
        <f>ROUND(IF(+Q146-H146&lt;=0,0,Q146-H146),4)</f>
        <v>0</v>
      </c>
      <c r="S146" s="423">
        <v>0.5</v>
      </c>
      <c r="T146" s="419">
        <f>ROUND(+(R146*C146)*S146,4)</f>
        <v>0</v>
      </c>
      <c r="U146" s="419">
        <f>ROUND(+J146+M146+T146,4)</f>
        <v>0</v>
      </c>
      <c r="V146" s="235"/>
      <c r="AN146" s="230">
        <f t="shared" si="14"/>
        <v>0</v>
      </c>
      <c r="AO146" s="230">
        <f t="shared" si="15"/>
        <v>0</v>
      </c>
    </row>
    <row r="147" spans="1:41" ht="15.75" x14ac:dyDescent="0.25">
      <c r="A147" s="231"/>
      <c r="B147" s="232"/>
      <c r="C147" s="400"/>
      <c r="D147" s="233"/>
      <c r="E147" s="405"/>
      <c r="F147" s="405"/>
      <c r="G147" s="405"/>
      <c r="H147" s="408">
        <f>ROUND(+E147+F147+G147,4)</f>
        <v>0</v>
      </c>
      <c r="I147" s="234"/>
      <c r="J147" s="411"/>
      <c r="K147" s="411"/>
      <c r="L147" s="414">
        <v>0.1</v>
      </c>
      <c r="M147" s="414">
        <f>ROUND(+L147*C147,4)</f>
        <v>0</v>
      </c>
      <c r="N147" s="414"/>
      <c r="O147" s="414"/>
      <c r="P147" s="414"/>
      <c r="Q147" s="419">
        <f>ROUND(+N147+O147+P147,4)</f>
        <v>0</v>
      </c>
      <c r="R147" s="419">
        <f>ROUND(IF(+Q147-H147&lt;=0,0,Q147-H147),4)</f>
        <v>0</v>
      </c>
      <c r="S147" s="423">
        <v>0.5</v>
      </c>
      <c r="T147" s="419">
        <f>ROUND(+(R147*C147)*S147,4)</f>
        <v>0</v>
      </c>
      <c r="U147" s="419">
        <f>ROUND(+J147+M147+T147,4)</f>
        <v>0</v>
      </c>
      <c r="V147" s="235"/>
      <c r="AN147" s="230">
        <f t="shared" si="14"/>
        <v>0</v>
      </c>
      <c r="AO147" s="230">
        <f t="shared" si="15"/>
        <v>0</v>
      </c>
    </row>
    <row r="148" spans="1:41" ht="15.75" x14ac:dyDescent="0.25">
      <c r="A148" s="231"/>
      <c r="B148" s="232"/>
      <c r="C148" s="400"/>
      <c r="D148" s="233"/>
      <c r="E148" s="405"/>
      <c r="F148" s="405"/>
      <c r="G148" s="405"/>
      <c r="H148" s="408">
        <f>ROUND(+E148+F148+G148,4)</f>
        <v>0</v>
      </c>
      <c r="I148" s="234"/>
      <c r="J148" s="411"/>
      <c r="K148" s="411"/>
      <c r="L148" s="414">
        <v>0.1</v>
      </c>
      <c r="M148" s="414">
        <f>ROUND(+L148*C148,4)</f>
        <v>0</v>
      </c>
      <c r="N148" s="414"/>
      <c r="O148" s="414"/>
      <c r="P148" s="414"/>
      <c r="Q148" s="419">
        <f>ROUND(+N148+O148+P148,4)</f>
        <v>0</v>
      </c>
      <c r="R148" s="419">
        <f>ROUND(IF(+Q148-H148&lt;=0,0,Q148-H148),4)</f>
        <v>0</v>
      </c>
      <c r="S148" s="423">
        <v>0.5</v>
      </c>
      <c r="T148" s="419">
        <f>ROUND(+(R148*C148)*S148,4)</f>
        <v>0</v>
      </c>
      <c r="U148" s="419">
        <f>ROUND(+J148+M148+T148,4)</f>
        <v>0</v>
      </c>
      <c r="V148" s="235"/>
      <c r="AN148" s="230">
        <f t="shared" si="14"/>
        <v>0</v>
      </c>
      <c r="AO148" s="230">
        <f t="shared" si="15"/>
        <v>0</v>
      </c>
    </row>
    <row r="149" spans="1:41" ht="15.75" x14ac:dyDescent="0.25">
      <c r="A149" s="231"/>
      <c r="B149" s="232"/>
      <c r="C149" s="400"/>
      <c r="D149" s="233"/>
      <c r="E149" s="405"/>
      <c r="F149" s="405"/>
      <c r="G149" s="405"/>
      <c r="H149" s="408">
        <f>ROUND(+E149+F149+G149,4)</f>
        <v>0</v>
      </c>
      <c r="I149" s="234"/>
      <c r="J149" s="411"/>
      <c r="K149" s="411"/>
      <c r="L149" s="414">
        <v>0.1</v>
      </c>
      <c r="M149" s="414">
        <f>ROUND(+L149*C149,4)</f>
        <v>0</v>
      </c>
      <c r="N149" s="414"/>
      <c r="O149" s="414"/>
      <c r="P149" s="414"/>
      <c r="Q149" s="419">
        <f>ROUND(+N149+O149+P149,4)</f>
        <v>0</v>
      </c>
      <c r="R149" s="419">
        <f>ROUND(IF(+Q149-H149&lt;=0,0,Q149-H149),4)</f>
        <v>0</v>
      </c>
      <c r="S149" s="423">
        <v>0.5</v>
      </c>
      <c r="T149" s="419">
        <f>ROUND(+(R149*C149)*S149,4)</f>
        <v>0</v>
      </c>
      <c r="U149" s="419">
        <f>ROUND(+J149+M149+T149,4)</f>
        <v>0</v>
      </c>
      <c r="V149" s="235"/>
      <c r="AN149" s="230">
        <f t="shared" si="14"/>
        <v>0</v>
      </c>
      <c r="AO149" s="230">
        <f t="shared" si="15"/>
        <v>0</v>
      </c>
    </row>
    <row r="150" spans="1:41" ht="15.75" x14ac:dyDescent="0.25">
      <c r="A150" s="231"/>
      <c r="B150" s="232"/>
      <c r="C150" s="400"/>
      <c r="D150" s="233"/>
      <c r="E150" s="405"/>
      <c r="F150" s="405"/>
      <c r="G150" s="405"/>
      <c r="H150" s="408">
        <f>ROUND(+E150+F150+G150,4)</f>
        <v>0</v>
      </c>
      <c r="I150" s="234"/>
      <c r="J150" s="411"/>
      <c r="K150" s="411"/>
      <c r="L150" s="414">
        <v>0.1</v>
      </c>
      <c r="M150" s="414">
        <f>ROUND(+L150*C150,4)</f>
        <v>0</v>
      </c>
      <c r="N150" s="414"/>
      <c r="O150" s="414"/>
      <c r="P150" s="414"/>
      <c r="Q150" s="419">
        <f>ROUND(+N150+O150+P150,4)</f>
        <v>0</v>
      </c>
      <c r="R150" s="419">
        <f>ROUND(IF(+Q150-H150&lt;=0,0,Q150-H150),4)</f>
        <v>0</v>
      </c>
      <c r="S150" s="423">
        <v>0.5</v>
      </c>
      <c r="T150" s="419">
        <f>ROUND(+(R150*C150)*S150,4)</f>
        <v>0</v>
      </c>
      <c r="U150" s="419">
        <f>ROUND(+J150+M150+T150,4)</f>
        <v>0</v>
      </c>
      <c r="V150" s="235"/>
      <c r="AN150" s="230">
        <f t="shared" si="14"/>
        <v>0</v>
      </c>
      <c r="AO150" s="230">
        <f t="shared" si="15"/>
        <v>0</v>
      </c>
    </row>
    <row r="151" spans="1:41" ht="15.75" x14ac:dyDescent="0.25">
      <c r="A151" s="231"/>
      <c r="B151" s="232"/>
      <c r="C151" s="400"/>
      <c r="D151" s="233"/>
      <c r="E151" s="405"/>
      <c r="F151" s="405"/>
      <c r="G151" s="405"/>
      <c r="H151" s="408">
        <f>ROUND(+E151+F151+G151,4)</f>
        <v>0</v>
      </c>
      <c r="I151" s="234"/>
      <c r="J151" s="411"/>
      <c r="K151" s="411"/>
      <c r="L151" s="414">
        <v>0.1</v>
      </c>
      <c r="M151" s="414">
        <f>ROUND(+L151*C151,4)</f>
        <v>0</v>
      </c>
      <c r="N151" s="414"/>
      <c r="O151" s="414"/>
      <c r="P151" s="414"/>
      <c r="Q151" s="419">
        <f>ROUND(+N151+O151+P151,4)</f>
        <v>0</v>
      </c>
      <c r="R151" s="419">
        <f>ROUND(IF(+Q151-H151&lt;=0,0,Q151-H151),4)</f>
        <v>0</v>
      </c>
      <c r="S151" s="423">
        <v>0.5</v>
      </c>
      <c r="T151" s="419">
        <f>ROUND(+(R151*C151)*S151,4)</f>
        <v>0</v>
      </c>
      <c r="U151" s="419">
        <f>ROUND(+J151+M151+T151,4)</f>
        <v>0</v>
      </c>
      <c r="V151" s="235"/>
      <c r="AN151" s="230">
        <f t="shared" si="14"/>
        <v>0</v>
      </c>
      <c r="AO151" s="230">
        <f t="shared" si="15"/>
        <v>0</v>
      </c>
    </row>
    <row r="152" spans="1:41" ht="15.75" x14ac:dyDescent="0.25">
      <c r="A152" s="231"/>
      <c r="B152" s="232"/>
      <c r="C152" s="400"/>
      <c r="D152" s="233"/>
      <c r="E152" s="405"/>
      <c r="F152" s="405"/>
      <c r="G152" s="405"/>
      <c r="H152" s="408">
        <f>ROUND(+E152+F152+G152,4)</f>
        <v>0</v>
      </c>
      <c r="I152" s="234"/>
      <c r="J152" s="411"/>
      <c r="K152" s="411"/>
      <c r="L152" s="414">
        <v>0.1</v>
      </c>
      <c r="M152" s="414">
        <f>ROUND(+L152*C152,4)</f>
        <v>0</v>
      </c>
      <c r="N152" s="414"/>
      <c r="O152" s="414"/>
      <c r="P152" s="414"/>
      <c r="Q152" s="419">
        <f>ROUND(+N152+O152+P152,4)</f>
        <v>0</v>
      </c>
      <c r="R152" s="419">
        <f>ROUND(IF(+Q152-H152&lt;=0,0,Q152-H152),4)</f>
        <v>0</v>
      </c>
      <c r="S152" s="423">
        <v>0.5</v>
      </c>
      <c r="T152" s="419">
        <f>ROUND(+(R152*C152)*S152,4)</f>
        <v>0</v>
      </c>
      <c r="U152" s="419">
        <f>ROUND(+J152+M152+T152,4)</f>
        <v>0</v>
      </c>
      <c r="V152" s="235"/>
      <c r="AN152" s="230">
        <f t="shared" si="14"/>
        <v>0</v>
      </c>
      <c r="AO152" s="230">
        <f t="shared" si="15"/>
        <v>0</v>
      </c>
    </row>
    <row r="153" spans="1:41" ht="15.75" x14ac:dyDescent="0.25">
      <c r="A153" s="231"/>
      <c r="B153" s="232"/>
      <c r="C153" s="400"/>
      <c r="D153" s="233"/>
      <c r="E153" s="405"/>
      <c r="F153" s="405"/>
      <c r="G153" s="405"/>
      <c r="H153" s="408">
        <f>ROUND(+E153+F153+G153,4)</f>
        <v>0</v>
      </c>
      <c r="I153" s="234"/>
      <c r="J153" s="411"/>
      <c r="K153" s="411"/>
      <c r="L153" s="414">
        <v>0.1</v>
      </c>
      <c r="M153" s="414">
        <f>ROUND(+L153*C153,4)</f>
        <v>0</v>
      </c>
      <c r="N153" s="414"/>
      <c r="O153" s="414"/>
      <c r="P153" s="414"/>
      <c r="Q153" s="419">
        <f>ROUND(+N153+O153+P153,4)</f>
        <v>0</v>
      </c>
      <c r="R153" s="419">
        <f>ROUND(IF(+Q153-H153&lt;=0,0,Q153-H153),4)</f>
        <v>0</v>
      </c>
      <c r="S153" s="423">
        <v>0.5</v>
      </c>
      <c r="T153" s="419">
        <f>ROUND(+(R153*C153)*S153,4)</f>
        <v>0</v>
      </c>
      <c r="U153" s="419">
        <f>ROUND(+J153+M153+T153,4)</f>
        <v>0</v>
      </c>
      <c r="V153" s="235"/>
      <c r="AN153" s="230">
        <f t="shared" si="14"/>
        <v>0</v>
      </c>
      <c r="AO153" s="230">
        <f t="shared" si="15"/>
        <v>0</v>
      </c>
    </row>
    <row r="154" spans="1:41" ht="15.75" x14ac:dyDescent="0.25">
      <c r="A154" s="231"/>
      <c r="B154" s="232"/>
      <c r="C154" s="400"/>
      <c r="D154" s="233"/>
      <c r="E154" s="405"/>
      <c r="F154" s="405"/>
      <c r="G154" s="405"/>
      <c r="H154" s="408">
        <f>ROUND(+E154+F154+G154,4)</f>
        <v>0</v>
      </c>
      <c r="I154" s="234"/>
      <c r="J154" s="411"/>
      <c r="K154" s="411"/>
      <c r="L154" s="414">
        <v>0.1</v>
      </c>
      <c r="M154" s="414">
        <f>ROUND(+L154*C154,4)</f>
        <v>0</v>
      </c>
      <c r="N154" s="414"/>
      <c r="O154" s="414"/>
      <c r="P154" s="414"/>
      <c r="Q154" s="419">
        <f>ROUND(+N154+O154+P154,4)</f>
        <v>0</v>
      </c>
      <c r="R154" s="419">
        <f>ROUND(IF(+Q154-H154&lt;=0,0,Q154-H154),4)</f>
        <v>0</v>
      </c>
      <c r="S154" s="423">
        <v>0.5</v>
      </c>
      <c r="T154" s="419">
        <f>ROUND(+(R154*C154)*S154,4)</f>
        <v>0</v>
      </c>
      <c r="U154" s="419">
        <f>ROUND(+J154+M154+T154,4)</f>
        <v>0</v>
      </c>
      <c r="V154" s="235"/>
      <c r="AN154" s="230">
        <f t="shared" si="14"/>
        <v>0</v>
      </c>
      <c r="AO154" s="230">
        <f t="shared" si="15"/>
        <v>0</v>
      </c>
    </row>
    <row r="155" spans="1:41" ht="15.75" x14ac:dyDescent="0.25">
      <c r="A155" s="231"/>
      <c r="B155" s="232"/>
      <c r="C155" s="400"/>
      <c r="D155" s="233"/>
      <c r="E155" s="405"/>
      <c r="F155" s="405"/>
      <c r="G155" s="405"/>
      <c r="H155" s="408">
        <f>ROUND(+E155+F155+G155,4)</f>
        <v>0</v>
      </c>
      <c r="I155" s="234"/>
      <c r="J155" s="411"/>
      <c r="K155" s="411"/>
      <c r="L155" s="414">
        <v>0.1</v>
      </c>
      <c r="M155" s="414">
        <f>ROUND(+L155*C155,4)</f>
        <v>0</v>
      </c>
      <c r="N155" s="414"/>
      <c r="O155" s="414"/>
      <c r="P155" s="414"/>
      <c r="Q155" s="419">
        <f>ROUND(+N155+O155+P155,4)</f>
        <v>0</v>
      </c>
      <c r="R155" s="419">
        <f>ROUND(IF(+Q155-H155&lt;=0,0,Q155-H155),4)</f>
        <v>0</v>
      </c>
      <c r="S155" s="423">
        <v>0.5</v>
      </c>
      <c r="T155" s="419">
        <f>ROUND(+(R155*C155)*S155,4)</f>
        <v>0</v>
      </c>
      <c r="U155" s="419">
        <f>ROUND(+J155+M155+T155,4)</f>
        <v>0</v>
      </c>
      <c r="V155" s="235"/>
      <c r="AN155" s="230">
        <f t="shared" si="14"/>
        <v>0</v>
      </c>
      <c r="AO155" s="230">
        <f t="shared" si="15"/>
        <v>0</v>
      </c>
    </row>
    <row r="156" spans="1:41" ht="15.75" x14ac:dyDescent="0.25">
      <c r="A156" s="231"/>
      <c r="B156" s="232"/>
      <c r="C156" s="400"/>
      <c r="D156" s="233"/>
      <c r="E156" s="405"/>
      <c r="F156" s="405"/>
      <c r="G156" s="405"/>
      <c r="H156" s="408">
        <f>ROUND(+E156+F156+G156,4)</f>
        <v>0</v>
      </c>
      <c r="I156" s="234"/>
      <c r="J156" s="411"/>
      <c r="K156" s="411"/>
      <c r="L156" s="414">
        <v>0.1</v>
      </c>
      <c r="M156" s="414">
        <f>ROUND(+L156*C156,4)</f>
        <v>0</v>
      </c>
      <c r="N156" s="414"/>
      <c r="O156" s="414"/>
      <c r="P156" s="414"/>
      <c r="Q156" s="419">
        <f>ROUND(+N156+O156+P156,4)</f>
        <v>0</v>
      </c>
      <c r="R156" s="419">
        <f>ROUND(IF(+Q156-H156&lt;=0,0,Q156-H156),4)</f>
        <v>0</v>
      </c>
      <c r="S156" s="423">
        <v>0.5</v>
      </c>
      <c r="T156" s="419">
        <f>ROUND(+(R156*C156)*S156,4)</f>
        <v>0</v>
      </c>
      <c r="U156" s="419">
        <f>ROUND(+J156+M156+T156,4)</f>
        <v>0</v>
      </c>
      <c r="V156" s="235"/>
      <c r="AN156" s="230">
        <f t="shared" si="14"/>
        <v>0</v>
      </c>
      <c r="AO156" s="230">
        <f t="shared" si="15"/>
        <v>0</v>
      </c>
    </row>
    <row r="157" spans="1:41" ht="15.75" x14ac:dyDescent="0.25">
      <c r="A157" s="231"/>
      <c r="B157" s="232"/>
      <c r="C157" s="400"/>
      <c r="D157" s="233"/>
      <c r="E157" s="405"/>
      <c r="F157" s="405"/>
      <c r="G157" s="405"/>
      <c r="H157" s="408">
        <f>ROUND(+E157+F157+G157,4)</f>
        <v>0</v>
      </c>
      <c r="I157" s="234"/>
      <c r="J157" s="411"/>
      <c r="K157" s="411"/>
      <c r="L157" s="414">
        <v>0.1</v>
      </c>
      <c r="M157" s="414">
        <f>ROUND(+L157*C157,4)</f>
        <v>0</v>
      </c>
      <c r="N157" s="414"/>
      <c r="O157" s="414"/>
      <c r="P157" s="414"/>
      <c r="Q157" s="419">
        <f>ROUND(+N157+O157+P157,4)</f>
        <v>0</v>
      </c>
      <c r="R157" s="419">
        <f>ROUND(IF(+Q157-H157&lt;=0,0,Q157-H157),4)</f>
        <v>0</v>
      </c>
      <c r="S157" s="423">
        <v>0.5</v>
      </c>
      <c r="T157" s="419">
        <f>ROUND(+(R157*C157)*S157,4)</f>
        <v>0</v>
      </c>
      <c r="U157" s="419">
        <f>ROUND(+J157+M157+T157,4)</f>
        <v>0</v>
      </c>
      <c r="V157" s="235"/>
      <c r="AN157" s="230">
        <f t="shared" si="14"/>
        <v>0</v>
      </c>
      <c r="AO157" s="230">
        <f t="shared" si="15"/>
        <v>0</v>
      </c>
    </row>
    <row r="158" spans="1:41" ht="15.75" x14ac:dyDescent="0.25">
      <c r="A158" s="231"/>
      <c r="B158" s="232"/>
      <c r="C158" s="400"/>
      <c r="D158" s="233"/>
      <c r="E158" s="405"/>
      <c r="F158" s="405"/>
      <c r="G158" s="405"/>
      <c r="H158" s="408">
        <f>ROUND(+E158+F158+G158,4)</f>
        <v>0</v>
      </c>
      <c r="I158" s="234"/>
      <c r="J158" s="411"/>
      <c r="K158" s="411"/>
      <c r="L158" s="414">
        <v>0.1</v>
      </c>
      <c r="M158" s="414">
        <f>ROUND(+L158*C158,4)</f>
        <v>0</v>
      </c>
      <c r="N158" s="414"/>
      <c r="O158" s="414"/>
      <c r="P158" s="414"/>
      <c r="Q158" s="419">
        <f>ROUND(+N158+O158+P158,4)</f>
        <v>0</v>
      </c>
      <c r="R158" s="419">
        <f>ROUND(IF(+Q158-H158&lt;=0,0,Q158-H158),4)</f>
        <v>0</v>
      </c>
      <c r="S158" s="423">
        <v>0.5</v>
      </c>
      <c r="T158" s="419">
        <f>ROUND(+(R158*C158)*S158,4)</f>
        <v>0</v>
      </c>
      <c r="U158" s="419">
        <f>ROUND(+J158+M158+T158,4)</f>
        <v>0</v>
      </c>
      <c r="V158" s="235"/>
      <c r="AN158" s="230">
        <f t="shared" si="14"/>
        <v>0</v>
      </c>
      <c r="AO158" s="230">
        <f t="shared" si="15"/>
        <v>0</v>
      </c>
    </row>
    <row r="159" spans="1:41" ht="15.75" x14ac:dyDescent="0.25">
      <c r="A159" s="231"/>
      <c r="B159" s="232"/>
      <c r="C159" s="400"/>
      <c r="D159" s="233"/>
      <c r="E159" s="405"/>
      <c r="F159" s="405"/>
      <c r="G159" s="405"/>
      <c r="H159" s="408">
        <f>ROUND(+E159+F159+G159,4)</f>
        <v>0</v>
      </c>
      <c r="I159" s="234"/>
      <c r="J159" s="411"/>
      <c r="K159" s="411"/>
      <c r="L159" s="414">
        <v>0.1</v>
      </c>
      <c r="M159" s="414">
        <f>ROUND(+L159*C159,4)</f>
        <v>0</v>
      </c>
      <c r="N159" s="414"/>
      <c r="O159" s="414"/>
      <c r="P159" s="414"/>
      <c r="Q159" s="419">
        <f>ROUND(+N159+O159+P159,4)</f>
        <v>0</v>
      </c>
      <c r="R159" s="419">
        <f>ROUND(IF(+Q159-H159&lt;=0,0,Q159-H159),4)</f>
        <v>0</v>
      </c>
      <c r="S159" s="423">
        <v>0.5</v>
      </c>
      <c r="T159" s="419">
        <f>ROUND(+(R159*C159)*S159,4)</f>
        <v>0</v>
      </c>
      <c r="U159" s="419">
        <f>ROUND(+J159+M159+T159,4)</f>
        <v>0</v>
      </c>
      <c r="V159" s="235"/>
      <c r="AN159" s="230">
        <f t="shared" ref="AN159:AN182" si="16">IF(V159="",0,MONTH(V159))</f>
        <v>0</v>
      </c>
      <c r="AO159" s="230">
        <f t="shared" ref="AO159:AO182" si="17">IF(V159="",0,YEAR(V159))</f>
        <v>0</v>
      </c>
    </row>
    <row r="160" spans="1:41" ht="15.75" x14ac:dyDescent="0.25">
      <c r="A160" s="231"/>
      <c r="B160" s="232"/>
      <c r="C160" s="400"/>
      <c r="D160" s="233"/>
      <c r="E160" s="405"/>
      <c r="F160" s="405"/>
      <c r="G160" s="405"/>
      <c r="H160" s="408">
        <f>ROUND(+E160+F160+G160,4)</f>
        <v>0</v>
      </c>
      <c r="I160" s="234"/>
      <c r="J160" s="411"/>
      <c r="K160" s="411"/>
      <c r="L160" s="414">
        <v>0.1</v>
      </c>
      <c r="M160" s="414">
        <f>ROUND(+L160*C160,4)</f>
        <v>0</v>
      </c>
      <c r="N160" s="414"/>
      <c r="O160" s="414"/>
      <c r="P160" s="414"/>
      <c r="Q160" s="419">
        <f>ROUND(+N160+O160+P160,4)</f>
        <v>0</v>
      </c>
      <c r="R160" s="419">
        <f>ROUND(IF(+Q160-H160&lt;=0,0,Q160-H160),4)</f>
        <v>0</v>
      </c>
      <c r="S160" s="423">
        <v>0.5</v>
      </c>
      <c r="T160" s="419">
        <f>ROUND(+(R160*C160)*S160,4)</f>
        <v>0</v>
      </c>
      <c r="U160" s="419">
        <f>ROUND(+J160+M160+T160,4)</f>
        <v>0</v>
      </c>
      <c r="V160" s="235"/>
      <c r="AN160" s="230">
        <f t="shared" si="16"/>
        <v>0</v>
      </c>
      <c r="AO160" s="230">
        <f t="shared" si="17"/>
        <v>0</v>
      </c>
    </row>
    <row r="161" spans="1:41" ht="15.75" x14ac:dyDescent="0.25">
      <c r="A161" s="231"/>
      <c r="B161" s="232"/>
      <c r="C161" s="400"/>
      <c r="D161" s="233"/>
      <c r="E161" s="405"/>
      <c r="F161" s="405"/>
      <c r="G161" s="405"/>
      <c r="H161" s="408">
        <f>ROUND(+E161+F161+G161,4)</f>
        <v>0</v>
      </c>
      <c r="I161" s="234"/>
      <c r="J161" s="411"/>
      <c r="K161" s="411"/>
      <c r="L161" s="414">
        <v>0.1</v>
      </c>
      <c r="M161" s="414">
        <f>ROUND(+L161*C161,4)</f>
        <v>0</v>
      </c>
      <c r="N161" s="414"/>
      <c r="O161" s="414"/>
      <c r="P161" s="414"/>
      <c r="Q161" s="419">
        <f>ROUND(+N161+O161+P161,4)</f>
        <v>0</v>
      </c>
      <c r="R161" s="419">
        <f>ROUND(IF(+Q161-H161&lt;=0,0,Q161-H161),4)</f>
        <v>0</v>
      </c>
      <c r="S161" s="423">
        <v>0.5</v>
      </c>
      <c r="T161" s="419">
        <f>ROUND(+(R161*C161)*S161,4)</f>
        <v>0</v>
      </c>
      <c r="U161" s="419">
        <f>ROUND(+J161+M161+T161,4)</f>
        <v>0</v>
      </c>
      <c r="V161" s="235"/>
      <c r="AN161" s="230">
        <f t="shared" si="16"/>
        <v>0</v>
      </c>
      <c r="AO161" s="230">
        <f t="shared" si="17"/>
        <v>0</v>
      </c>
    </row>
    <row r="162" spans="1:41" ht="15.75" x14ac:dyDescent="0.25">
      <c r="A162" s="231"/>
      <c r="B162" s="232"/>
      <c r="C162" s="400"/>
      <c r="D162" s="233"/>
      <c r="E162" s="405"/>
      <c r="F162" s="405"/>
      <c r="G162" s="405"/>
      <c r="H162" s="408">
        <f>ROUND(+E162+F162+G162,4)</f>
        <v>0</v>
      </c>
      <c r="I162" s="234"/>
      <c r="J162" s="411"/>
      <c r="K162" s="411"/>
      <c r="L162" s="414">
        <v>0.1</v>
      </c>
      <c r="M162" s="414">
        <f>ROUND(+L162*C162,4)</f>
        <v>0</v>
      </c>
      <c r="N162" s="414"/>
      <c r="O162" s="414"/>
      <c r="P162" s="414"/>
      <c r="Q162" s="419">
        <f>ROUND(+N162+O162+P162,4)</f>
        <v>0</v>
      </c>
      <c r="R162" s="419">
        <f>ROUND(IF(+Q162-H162&lt;=0,0,Q162-H162),4)</f>
        <v>0</v>
      </c>
      <c r="S162" s="423">
        <v>0.5</v>
      </c>
      <c r="T162" s="419">
        <f>ROUND(+(R162*C162)*S162,4)</f>
        <v>0</v>
      </c>
      <c r="U162" s="419">
        <f>ROUND(+J162+M162+T162,4)</f>
        <v>0</v>
      </c>
      <c r="V162" s="235"/>
      <c r="AN162" s="230">
        <f t="shared" si="16"/>
        <v>0</v>
      </c>
      <c r="AO162" s="230">
        <f t="shared" si="17"/>
        <v>0</v>
      </c>
    </row>
    <row r="163" spans="1:41" ht="15.75" x14ac:dyDescent="0.25">
      <c r="A163" s="231"/>
      <c r="B163" s="232"/>
      <c r="C163" s="400"/>
      <c r="D163" s="233"/>
      <c r="E163" s="405"/>
      <c r="F163" s="405"/>
      <c r="G163" s="405"/>
      <c r="H163" s="408">
        <f>ROUND(+E163+F163+G163,4)</f>
        <v>0</v>
      </c>
      <c r="I163" s="234"/>
      <c r="J163" s="411"/>
      <c r="K163" s="411"/>
      <c r="L163" s="414">
        <v>0.1</v>
      </c>
      <c r="M163" s="414">
        <f>ROUND(+L163*C163,4)</f>
        <v>0</v>
      </c>
      <c r="N163" s="414"/>
      <c r="O163" s="414"/>
      <c r="P163" s="414"/>
      <c r="Q163" s="419">
        <f>ROUND(+N163+O163+P163,4)</f>
        <v>0</v>
      </c>
      <c r="R163" s="419">
        <f>ROUND(IF(+Q163-H163&lt;=0,0,Q163-H163),4)</f>
        <v>0</v>
      </c>
      <c r="S163" s="423">
        <v>0.5</v>
      </c>
      <c r="T163" s="419">
        <f>ROUND(+(R163*C163)*S163,4)</f>
        <v>0</v>
      </c>
      <c r="U163" s="419">
        <f>ROUND(+J163+M163+T163,4)</f>
        <v>0</v>
      </c>
      <c r="V163" s="235"/>
      <c r="AN163" s="230">
        <f t="shared" si="16"/>
        <v>0</v>
      </c>
      <c r="AO163" s="230">
        <f t="shared" si="17"/>
        <v>0</v>
      </c>
    </row>
    <row r="164" spans="1:41" ht="15.75" x14ac:dyDescent="0.25">
      <c r="A164" s="231"/>
      <c r="B164" s="232"/>
      <c r="C164" s="400"/>
      <c r="D164" s="233"/>
      <c r="E164" s="405"/>
      <c r="F164" s="405"/>
      <c r="G164" s="405"/>
      <c r="H164" s="408">
        <f>ROUND(+E164+F164+G164,4)</f>
        <v>0</v>
      </c>
      <c r="I164" s="234"/>
      <c r="J164" s="411"/>
      <c r="K164" s="411"/>
      <c r="L164" s="414">
        <v>0.1</v>
      </c>
      <c r="M164" s="414">
        <f>ROUND(+L164*C164,4)</f>
        <v>0</v>
      </c>
      <c r="N164" s="414"/>
      <c r="O164" s="414"/>
      <c r="P164" s="414"/>
      <c r="Q164" s="419">
        <f>ROUND(+N164+O164+P164,4)</f>
        <v>0</v>
      </c>
      <c r="R164" s="419">
        <f>ROUND(IF(+Q164-H164&lt;=0,0,Q164-H164),4)</f>
        <v>0</v>
      </c>
      <c r="S164" s="423">
        <v>0.5</v>
      </c>
      <c r="T164" s="419">
        <f>ROUND(+(R164*C164)*S164,4)</f>
        <v>0</v>
      </c>
      <c r="U164" s="419">
        <f>ROUND(+J164+M164+T164,4)</f>
        <v>0</v>
      </c>
      <c r="V164" s="235"/>
      <c r="AN164" s="230">
        <f t="shared" si="16"/>
        <v>0</v>
      </c>
      <c r="AO164" s="230">
        <f t="shared" si="17"/>
        <v>0</v>
      </c>
    </row>
    <row r="165" spans="1:41" ht="15.75" x14ac:dyDescent="0.25">
      <c r="A165" s="231"/>
      <c r="B165" s="232"/>
      <c r="C165" s="400"/>
      <c r="D165" s="233"/>
      <c r="E165" s="405"/>
      <c r="F165" s="405"/>
      <c r="G165" s="405"/>
      <c r="H165" s="408">
        <f>ROUND(+E165+F165+G165,4)</f>
        <v>0</v>
      </c>
      <c r="I165" s="234"/>
      <c r="J165" s="411"/>
      <c r="K165" s="411"/>
      <c r="L165" s="414">
        <v>0.1</v>
      </c>
      <c r="M165" s="414">
        <f>ROUND(+L165*C165,4)</f>
        <v>0</v>
      </c>
      <c r="N165" s="414"/>
      <c r="O165" s="414"/>
      <c r="P165" s="414"/>
      <c r="Q165" s="419">
        <f>ROUND(+N165+O165+P165,4)</f>
        <v>0</v>
      </c>
      <c r="R165" s="419">
        <f>ROUND(IF(+Q165-H165&lt;=0,0,Q165-H165),4)</f>
        <v>0</v>
      </c>
      <c r="S165" s="423">
        <v>0.5</v>
      </c>
      <c r="T165" s="419">
        <f>ROUND(+(R165*C165)*S165,4)</f>
        <v>0</v>
      </c>
      <c r="U165" s="419">
        <f>ROUND(+J165+M165+T165,4)</f>
        <v>0</v>
      </c>
      <c r="V165" s="235"/>
      <c r="AN165" s="230">
        <f t="shared" si="16"/>
        <v>0</v>
      </c>
      <c r="AO165" s="230">
        <f t="shared" si="17"/>
        <v>0</v>
      </c>
    </row>
    <row r="166" spans="1:41" ht="15.75" x14ac:dyDescent="0.25">
      <c r="A166" s="231"/>
      <c r="B166" s="232"/>
      <c r="C166" s="400"/>
      <c r="D166" s="233"/>
      <c r="E166" s="405"/>
      <c r="F166" s="405"/>
      <c r="G166" s="405"/>
      <c r="H166" s="408">
        <f>ROUND(+E166+F166+G166,4)</f>
        <v>0</v>
      </c>
      <c r="I166" s="234"/>
      <c r="J166" s="411"/>
      <c r="K166" s="411"/>
      <c r="L166" s="414">
        <v>0.1</v>
      </c>
      <c r="M166" s="414">
        <f>ROUND(+L166*C166,4)</f>
        <v>0</v>
      </c>
      <c r="N166" s="414"/>
      <c r="O166" s="414"/>
      <c r="P166" s="414"/>
      <c r="Q166" s="419">
        <f>ROUND(+N166+O166+P166,4)</f>
        <v>0</v>
      </c>
      <c r="R166" s="419">
        <f>ROUND(IF(+Q166-H166&lt;=0,0,Q166-H166),4)</f>
        <v>0</v>
      </c>
      <c r="S166" s="423">
        <v>0.5</v>
      </c>
      <c r="T166" s="419">
        <f>ROUND(+(R166*C166)*S166,4)</f>
        <v>0</v>
      </c>
      <c r="U166" s="419">
        <f>ROUND(+J166+M166+T166,4)</f>
        <v>0</v>
      </c>
      <c r="V166" s="235"/>
      <c r="AN166" s="230">
        <f t="shared" si="16"/>
        <v>0</v>
      </c>
      <c r="AO166" s="230">
        <f t="shared" si="17"/>
        <v>0</v>
      </c>
    </row>
    <row r="167" spans="1:41" ht="15.75" x14ac:dyDescent="0.25">
      <c r="A167" s="231"/>
      <c r="B167" s="232"/>
      <c r="C167" s="400"/>
      <c r="D167" s="233"/>
      <c r="E167" s="405"/>
      <c r="F167" s="405"/>
      <c r="G167" s="405"/>
      <c r="H167" s="408">
        <f>ROUND(+E167+F167+G167,4)</f>
        <v>0</v>
      </c>
      <c r="I167" s="234"/>
      <c r="J167" s="411"/>
      <c r="K167" s="411"/>
      <c r="L167" s="414">
        <v>0.1</v>
      </c>
      <c r="M167" s="414">
        <f>ROUND(+L167*C167,4)</f>
        <v>0</v>
      </c>
      <c r="N167" s="414"/>
      <c r="O167" s="414"/>
      <c r="P167" s="414"/>
      <c r="Q167" s="419">
        <f>ROUND(+N167+O167+P167,4)</f>
        <v>0</v>
      </c>
      <c r="R167" s="419">
        <f>ROUND(IF(+Q167-H167&lt;=0,0,Q167-H167),4)</f>
        <v>0</v>
      </c>
      <c r="S167" s="423">
        <v>0.5</v>
      </c>
      <c r="T167" s="419">
        <f>ROUND(+(R167*C167)*S167,4)</f>
        <v>0</v>
      </c>
      <c r="U167" s="419">
        <f>ROUND(+J167+M167+T167,4)</f>
        <v>0</v>
      </c>
      <c r="V167" s="235"/>
      <c r="AN167" s="230">
        <f t="shared" si="16"/>
        <v>0</v>
      </c>
      <c r="AO167" s="230">
        <f t="shared" si="17"/>
        <v>0</v>
      </c>
    </row>
    <row r="168" spans="1:41" ht="15.75" x14ac:dyDescent="0.25">
      <c r="A168" s="231"/>
      <c r="B168" s="232"/>
      <c r="C168" s="400"/>
      <c r="D168" s="233"/>
      <c r="E168" s="405"/>
      <c r="F168" s="405"/>
      <c r="G168" s="405"/>
      <c r="H168" s="408">
        <f>ROUND(+E168+F168+G168,4)</f>
        <v>0</v>
      </c>
      <c r="I168" s="234"/>
      <c r="J168" s="411"/>
      <c r="K168" s="411"/>
      <c r="L168" s="414">
        <v>0.1</v>
      </c>
      <c r="M168" s="414">
        <f>ROUND(+L168*C168,4)</f>
        <v>0</v>
      </c>
      <c r="N168" s="414"/>
      <c r="O168" s="414"/>
      <c r="P168" s="414"/>
      <c r="Q168" s="419">
        <f>ROUND(+N168+O168+P168,4)</f>
        <v>0</v>
      </c>
      <c r="R168" s="419">
        <f>ROUND(IF(+Q168-H168&lt;=0,0,Q168-H168),4)</f>
        <v>0</v>
      </c>
      <c r="S168" s="423">
        <v>0.5</v>
      </c>
      <c r="T168" s="419">
        <f>ROUND(+(R168*C168)*S168,4)</f>
        <v>0</v>
      </c>
      <c r="U168" s="419">
        <f>ROUND(+J168+M168+T168,4)</f>
        <v>0</v>
      </c>
      <c r="V168" s="235"/>
      <c r="AN168" s="230">
        <f t="shared" si="16"/>
        <v>0</v>
      </c>
      <c r="AO168" s="230">
        <f t="shared" si="17"/>
        <v>0</v>
      </c>
    </row>
    <row r="169" spans="1:41" ht="15.75" x14ac:dyDescent="0.25">
      <c r="A169" s="231"/>
      <c r="B169" s="232"/>
      <c r="C169" s="400"/>
      <c r="D169" s="233"/>
      <c r="E169" s="405"/>
      <c r="F169" s="405"/>
      <c r="G169" s="405"/>
      <c r="H169" s="408">
        <f>ROUND(+E169+F169+G169,4)</f>
        <v>0</v>
      </c>
      <c r="I169" s="234"/>
      <c r="J169" s="411"/>
      <c r="K169" s="411"/>
      <c r="L169" s="414">
        <v>0.1</v>
      </c>
      <c r="M169" s="414">
        <f>ROUND(+L169*C169,4)</f>
        <v>0</v>
      </c>
      <c r="N169" s="414"/>
      <c r="O169" s="414"/>
      <c r="P169" s="414"/>
      <c r="Q169" s="419">
        <f>ROUND(+N169+O169+P169,4)</f>
        <v>0</v>
      </c>
      <c r="R169" s="419">
        <f>ROUND(IF(+Q169-H169&lt;=0,0,Q169-H169),4)</f>
        <v>0</v>
      </c>
      <c r="S169" s="423">
        <v>0.5</v>
      </c>
      <c r="T169" s="419">
        <f>ROUND(+(R169*C169)*S169,4)</f>
        <v>0</v>
      </c>
      <c r="U169" s="419">
        <f>ROUND(+J169+M169+T169,4)</f>
        <v>0</v>
      </c>
      <c r="V169" s="235"/>
      <c r="AN169" s="230">
        <f t="shared" si="16"/>
        <v>0</v>
      </c>
      <c r="AO169" s="230">
        <f t="shared" si="17"/>
        <v>0</v>
      </c>
    </row>
    <row r="170" spans="1:41" ht="15.75" x14ac:dyDescent="0.25">
      <c r="A170" s="231"/>
      <c r="B170" s="232"/>
      <c r="C170" s="400"/>
      <c r="D170" s="233"/>
      <c r="E170" s="405"/>
      <c r="F170" s="405"/>
      <c r="G170" s="405"/>
      <c r="H170" s="408">
        <f>ROUND(+E170+F170+G170,4)</f>
        <v>0</v>
      </c>
      <c r="I170" s="234"/>
      <c r="J170" s="411"/>
      <c r="K170" s="411"/>
      <c r="L170" s="414">
        <v>0.1</v>
      </c>
      <c r="M170" s="414">
        <f>ROUND(+L170*C170,4)</f>
        <v>0</v>
      </c>
      <c r="N170" s="414"/>
      <c r="O170" s="414"/>
      <c r="P170" s="414"/>
      <c r="Q170" s="419">
        <f>ROUND(+N170+O170+P170,4)</f>
        <v>0</v>
      </c>
      <c r="R170" s="419">
        <f>ROUND(IF(+Q170-H170&lt;=0,0,Q170-H170),4)</f>
        <v>0</v>
      </c>
      <c r="S170" s="423">
        <v>0.5</v>
      </c>
      <c r="T170" s="419">
        <f>ROUND(+(R170*C170)*S170,4)</f>
        <v>0</v>
      </c>
      <c r="U170" s="419">
        <f>ROUND(+J170+M170+T170,4)</f>
        <v>0</v>
      </c>
      <c r="V170" s="235"/>
      <c r="AN170" s="230">
        <f t="shared" si="16"/>
        <v>0</v>
      </c>
      <c r="AO170" s="230">
        <f t="shared" si="17"/>
        <v>0</v>
      </c>
    </row>
    <row r="171" spans="1:41" ht="15.75" x14ac:dyDescent="0.25">
      <c r="A171" s="231"/>
      <c r="B171" s="232"/>
      <c r="C171" s="400"/>
      <c r="D171" s="233"/>
      <c r="E171" s="405"/>
      <c r="F171" s="405"/>
      <c r="G171" s="405"/>
      <c r="H171" s="408">
        <f>ROUND(+E171+F171+G171,4)</f>
        <v>0</v>
      </c>
      <c r="I171" s="234"/>
      <c r="J171" s="411"/>
      <c r="K171" s="411"/>
      <c r="L171" s="414">
        <v>0.1</v>
      </c>
      <c r="M171" s="414">
        <f>ROUND(+L171*C171,4)</f>
        <v>0</v>
      </c>
      <c r="N171" s="414"/>
      <c r="O171" s="414"/>
      <c r="P171" s="414"/>
      <c r="Q171" s="419">
        <f>ROUND(+N171+O171+P171,4)</f>
        <v>0</v>
      </c>
      <c r="R171" s="419">
        <f>ROUND(IF(+Q171-H171&lt;=0,0,Q171-H171),4)</f>
        <v>0</v>
      </c>
      <c r="S171" s="423">
        <v>0.5</v>
      </c>
      <c r="T171" s="419">
        <f>ROUND(+(R171*C171)*S171,4)</f>
        <v>0</v>
      </c>
      <c r="U171" s="419">
        <f>ROUND(+J171+M171+T171,4)</f>
        <v>0</v>
      </c>
      <c r="V171" s="235"/>
      <c r="AN171" s="230">
        <f t="shared" si="16"/>
        <v>0</v>
      </c>
      <c r="AO171" s="230">
        <f t="shared" si="17"/>
        <v>0</v>
      </c>
    </row>
    <row r="172" spans="1:41" ht="15.75" x14ac:dyDescent="0.25">
      <c r="A172" s="231"/>
      <c r="B172" s="232"/>
      <c r="C172" s="400"/>
      <c r="D172" s="233"/>
      <c r="E172" s="405"/>
      <c r="F172" s="405"/>
      <c r="G172" s="405"/>
      <c r="H172" s="408">
        <f>ROUND(+E172+F172+G172,4)</f>
        <v>0</v>
      </c>
      <c r="I172" s="234"/>
      <c r="J172" s="411"/>
      <c r="K172" s="411"/>
      <c r="L172" s="414">
        <v>0.1</v>
      </c>
      <c r="M172" s="414">
        <f>ROUND(+L172*C172,4)</f>
        <v>0</v>
      </c>
      <c r="N172" s="414"/>
      <c r="O172" s="414"/>
      <c r="P172" s="414"/>
      <c r="Q172" s="419">
        <f>ROUND(+N172+O172+P172,4)</f>
        <v>0</v>
      </c>
      <c r="R172" s="419">
        <f>ROUND(IF(+Q172-H172&lt;=0,0,Q172-H172),4)</f>
        <v>0</v>
      </c>
      <c r="S172" s="423">
        <v>0.5</v>
      </c>
      <c r="T172" s="419">
        <f>ROUND(+(R172*C172)*S172,4)</f>
        <v>0</v>
      </c>
      <c r="U172" s="419">
        <f>ROUND(+J172+M172+T172,4)</f>
        <v>0</v>
      </c>
      <c r="V172" s="235"/>
      <c r="AN172" s="230">
        <f t="shared" si="16"/>
        <v>0</v>
      </c>
      <c r="AO172" s="230">
        <f t="shared" si="17"/>
        <v>0</v>
      </c>
    </row>
    <row r="173" spans="1:41" ht="15.75" x14ac:dyDescent="0.25">
      <c r="A173" s="231"/>
      <c r="B173" s="232"/>
      <c r="C173" s="400"/>
      <c r="D173" s="233"/>
      <c r="E173" s="405"/>
      <c r="F173" s="405"/>
      <c r="G173" s="405"/>
      <c r="H173" s="408">
        <f>ROUND(+E173+F173+G173,4)</f>
        <v>0</v>
      </c>
      <c r="I173" s="234"/>
      <c r="J173" s="411"/>
      <c r="K173" s="411"/>
      <c r="L173" s="414">
        <v>0.1</v>
      </c>
      <c r="M173" s="414">
        <f>ROUND(+L173*C173,4)</f>
        <v>0</v>
      </c>
      <c r="N173" s="414"/>
      <c r="O173" s="414"/>
      <c r="P173" s="414"/>
      <c r="Q173" s="419">
        <f>ROUND(+N173+O173+P173,4)</f>
        <v>0</v>
      </c>
      <c r="R173" s="419">
        <f>ROUND(IF(+Q173-H173&lt;=0,0,Q173-H173),4)</f>
        <v>0</v>
      </c>
      <c r="S173" s="423">
        <v>0.5</v>
      </c>
      <c r="T173" s="419">
        <f>ROUND(+(R173*C173)*S173,4)</f>
        <v>0</v>
      </c>
      <c r="U173" s="419">
        <f>ROUND(+J173+M173+T173,4)</f>
        <v>0</v>
      </c>
      <c r="V173" s="235"/>
      <c r="AN173" s="230">
        <f t="shared" si="16"/>
        <v>0</v>
      </c>
      <c r="AO173" s="230">
        <f t="shared" si="17"/>
        <v>0</v>
      </c>
    </row>
    <row r="174" spans="1:41" ht="15.75" x14ac:dyDescent="0.25">
      <c r="A174" s="231"/>
      <c r="B174" s="232"/>
      <c r="C174" s="400"/>
      <c r="D174" s="233"/>
      <c r="E174" s="405"/>
      <c r="F174" s="405"/>
      <c r="G174" s="405"/>
      <c r="H174" s="408">
        <f>ROUND(+E174+F174+G174,4)</f>
        <v>0</v>
      </c>
      <c r="I174" s="234"/>
      <c r="J174" s="411"/>
      <c r="K174" s="411"/>
      <c r="L174" s="414">
        <v>0.1</v>
      </c>
      <c r="M174" s="414">
        <f>ROUND(+L174*C174,4)</f>
        <v>0</v>
      </c>
      <c r="N174" s="414"/>
      <c r="O174" s="414"/>
      <c r="P174" s="414"/>
      <c r="Q174" s="419">
        <f>ROUND(+N174+O174+P174,4)</f>
        <v>0</v>
      </c>
      <c r="R174" s="419">
        <f>ROUND(IF(+Q174-H174&lt;=0,0,Q174-H174),4)</f>
        <v>0</v>
      </c>
      <c r="S174" s="423">
        <v>0.5</v>
      </c>
      <c r="T174" s="419">
        <f>ROUND(+(R174*C174)*S174,4)</f>
        <v>0</v>
      </c>
      <c r="U174" s="419">
        <f>ROUND(+J174+M174+T174,4)</f>
        <v>0</v>
      </c>
      <c r="V174" s="235"/>
      <c r="AN174" s="230">
        <f t="shared" si="16"/>
        <v>0</v>
      </c>
      <c r="AO174" s="230">
        <f t="shared" si="17"/>
        <v>0</v>
      </c>
    </row>
    <row r="175" spans="1:41" ht="15.75" x14ac:dyDescent="0.25">
      <c r="A175" s="231"/>
      <c r="B175" s="232"/>
      <c r="C175" s="400"/>
      <c r="D175" s="233"/>
      <c r="E175" s="405"/>
      <c r="F175" s="405"/>
      <c r="G175" s="405"/>
      <c r="H175" s="408">
        <f>ROUND(+E175+F175+G175,4)</f>
        <v>0</v>
      </c>
      <c r="I175" s="234"/>
      <c r="J175" s="411"/>
      <c r="K175" s="411"/>
      <c r="L175" s="414">
        <v>0.1</v>
      </c>
      <c r="M175" s="414">
        <f>ROUND(+L175*C175,4)</f>
        <v>0</v>
      </c>
      <c r="N175" s="414"/>
      <c r="O175" s="414"/>
      <c r="P175" s="414"/>
      <c r="Q175" s="419">
        <f>ROUND(+N175+O175+P175,4)</f>
        <v>0</v>
      </c>
      <c r="R175" s="419">
        <f>ROUND(IF(+Q175-H175&lt;=0,0,Q175-H175),4)</f>
        <v>0</v>
      </c>
      <c r="S175" s="423">
        <v>0.5</v>
      </c>
      <c r="T175" s="419">
        <f>ROUND(+(R175*C175)*S175,4)</f>
        <v>0</v>
      </c>
      <c r="U175" s="419">
        <f>ROUND(+J175+M175+T175,4)</f>
        <v>0</v>
      </c>
      <c r="V175" s="235"/>
      <c r="AN175" s="230">
        <f t="shared" si="16"/>
        <v>0</v>
      </c>
      <c r="AO175" s="230">
        <f t="shared" si="17"/>
        <v>0</v>
      </c>
    </row>
    <row r="176" spans="1:41" ht="15.75" x14ac:dyDescent="0.25">
      <c r="A176" s="231"/>
      <c r="B176" s="232"/>
      <c r="C176" s="400"/>
      <c r="D176" s="233"/>
      <c r="E176" s="405"/>
      <c r="F176" s="405"/>
      <c r="G176" s="405"/>
      <c r="H176" s="408">
        <f>ROUND(+E176+F176+G176,4)</f>
        <v>0</v>
      </c>
      <c r="I176" s="234"/>
      <c r="J176" s="411"/>
      <c r="K176" s="411"/>
      <c r="L176" s="414">
        <v>0.1</v>
      </c>
      <c r="M176" s="414">
        <f>ROUND(+L176*C176,4)</f>
        <v>0</v>
      </c>
      <c r="N176" s="414"/>
      <c r="O176" s="414"/>
      <c r="P176" s="414"/>
      <c r="Q176" s="419">
        <f>ROUND(+N176+O176+P176,4)</f>
        <v>0</v>
      </c>
      <c r="R176" s="419">
        <f>ROUND(IF(+Q176-H176&lt;=0,0,Q176-H176),4)</f>
        <v>0</v>
      </c>
      <c r="S176" s="423">
        <v>0.5</v>
      </c>
      <c r="T176" s="419">
        <f>ROUND(+(R176*C176)*S176,4)</f>
        <v>0</v>
      </c>
      <c r="U176" s="419">
        <f>ROUND(+J176+M176+T176,4)</f>
        <v>0</v>
      </c>
      <c r="V176" s="235"/>
      <c r="AN176" s="230">
        <f t="shared" si="16"/>
        <v>0</v>
      </c>
      <c r="AO176" s="230">
        <f t="shared" si="17"/>
        <v>0</v>
      </c>
    </row>
    <row r="177" spans="1:41" ht="15.75" x14ac:dyDescent="0.25">
      <c r="A177" s="231"/>
      <c r="B177" s="232"/>
      <c r="C177" s="400"/>
      <c r="D177" s="233"/>
      <c r="E177" s="405"/>
      <c r="F177" s="405"/>
      <c r="G177" s="405"/>
      <c r="H177" s="408">
        <f>ROUND(+E177+F177+G177,4)</f>
        <v>0</v>
      </c>
      <c r="I177" s="234"/>
      <c r="J177" s="411"/>
      <c r="K177" s="411"/>
      <c r="L177" s="414">
        <v>0.1</v>
      </c>
      <c r="M177" s="414">
        <f>ROUND(+L177*C177,4)</f>
        <v>0</v>
      </c>
      <c r="N177" s="414"/>
      <c r="O177" s="414"/>
      <c r="P177" s="414"/>
      <c r="Q177" s="419">
        <f>ROUND(+N177+O177+P177,4)</f>
        <v>0</v>
      </c>
      <c r="R177" s="419">
        <f>ROUND(IF(+Q177-H177&lt;=0,0,Q177-H177),4)</f>
        <v>0</v>
      </c>
      <c r="S177" s="423">
        <v>0.5</v>
      </c>
      <c r="T177" s="419">
        <f>ROUND(+(R177*C177)*S177,4)</f>
        <v>0</v>
      </c>
      <c r="U177" s="419">
        <f>ROUND(+J177+M177+T177,4)</f>
        <v>0</v>
      </c>
      <c r="V177" s="235"/>
      <c r="AN177" s="230">
        <f t="shared" si="16"/>
        <v>0</v>
      </c>
      <c r="AO177" s="230">
        <f t="shared" si="17"/>
        <v>0</v>
      </c>
    </row>
    <row r="178" spans="1:41" ht="15.75" x14ac:dyDescent="0.25">
      <c r="A178" s="231"/>
      <c r="B178" s="232"/>
      <c r="C178" s="400"/>
      <c r="D178" s="233"/>
      <c r="E178" s="405"/>
      <c r="F178" s="405"/>
      <c r="G178" s="405"/>
      <c r="H178" s="408">
        <f>ROUND(+E178+F178+G178,4)</f>
        <v>0</v>
      </c>
      <c r="I178" s="234"/>
      <c r="J178" s="411"/>
      <c r="K178" s="411"/>
      <c r="L178" s="414">
        <v>0.1</v>
      </c>
      <c r="M178" s="414">
        <f>ROUND(+L178*C178,4)</f>
        <v>0</v>
      </c>
      <c r="N178" s="414"/>
      <c r="O178" s="414"/>
      <c r="P178" s="414"/>
      <c r="Q178" s="419">
        <f>ROUND(+N178+O178+P178,4)</f>
        <v>0</v>
      </c>
      <c r="R178" s="419">
        <f>ROUND(IF(+Q178-H178&lt;=0,0,Q178-H178),4)</f>
        <v>0</v>
      </c>
      <c r="S178" s="423">
        <v>0.5</v>
      </c>
      <c r="T178" s="419">
        <f>ROUND(+(R178*C178)*S178,4)</f>
        <v>0</v>
      </c>
      <c r="U178" s="419">
        <f>ROUND(+J178+M178+T178,4)</f>
        <v>0</v>
      </c>
      <c r="V178" s="235"/>
      <c r="AN178" s="230">
        <f t="shared" si="16"/>
        <v>0</v>
      </c>
      <c r="AO178" s="230">
        <f t="shared" si="17"/>
        <v>0</v>
      </c>
    </row>
    <row r="179" spans="1:41" ht="15.75" x14ac:dyDescent="0.25">
      <c r="A179" s="231"/>
      <c r="B179" s="232"/>
      <c r="C179" s="400"/>
      <c r="D179" s="233"/>
      <c r="E179" s="405"/>
      <c r="F179" s="405"/>
      <c r="G179" s="405"/>
      <c r="H179" s="408">
        <f>ROUND(+E179+F179+G179,4)</f>
        <v>0</v>
      </c>
      <c r="I179" s="234"/>
      <c r="J179" s="411"/>
      <c r="K179" s="411"/>
      <c r="L179" s="414">
        <v>0.1</v>
      </c>
      <c r="M179" s="414">
        <f>ROUND(+L179*C179,4)</f>
        <v>0</v>
      </c>
      <c r="N179" s="414"/>
      <c r="O179" s="414"/>
      <c r="P179" s="414"/>
      <c r="Q179" s="419">
        <f>ROUND(+N179+O179+P179,4)</f>
        <v>0</v>
      </c>
      <c r="R179" s="419">
        <f>ROUND(IF(+Q179-H179&lt;=0,0,Q179-H179),4)</f>
        <v>0</v>
      </c>
      <c r="S179" s="423">
        <v>0.5</v>
      </c>
      <c r="T179" s="419">
        <f>ROUND(+(R179*C179)*S179,4)</f>
        <v>0</v>
      </c>
      <c r="U179" s="419">
        <f>ROUND(+J179+M179+T179,4)</f>
        <v>0</v>
      </c>
      <c r="V179" s="235"/>
      <c r="AN179" s="230">
        <f t="shared" si="16"/>
        <v>0</v>
      </c>
      <c r="AO179" s="230">
        <f t="shared" si="17"/>
        <v>0</v>
      </c>
    </row>
    <row r="180" spans="1:41" ht="15.75" x14ac:dyDescent="0.25">
      <c r="A180" s="231"/>
      <c r="B180" s="232"/>
      <c r="C180" s="400"/>
      <c r="D180" s="233"/>
      <c r="E180" s="405"/>
      <c r="F180" s="405"/>
      <c r="G180" s="405"/>
      <c r="H180" s="408">
        <f>ROUND(+E180+F180+G180,4)</f>
        <v>0</v>
      </c>
      <c r="I180" s="234"/>
      <c r="J180" s="411"/>
      <c r="K180" s="411"/>
      <c r="L180" s="414">
        <v>0.1</v>
      </c>
      <c r="M180" s="414">
        <f>ROUND(+L180*C180,4)</f>
        <v>0</v>
      </c>
      <c r="N180" s="414"/>
      <c r="O180" s="414"/>
      <c r="P180" s="414"/>
      <c r="Q180" s="419">
        <f>ROUND(+N180+O180+P180,4)</f>
        <v>0</v>
      </c>
      <c r="R180" s="419">
        <f>ROUND(IF(+Q180-H180&lt;=0,0,Q180-H180),4)</f>
        <v>0</v>
      </c>
      <c r="S180" s="423">
        <v>0.5</v>
      </c>
      <c r="T180" s="419">
        <f>ROUND(+(R180*C180)*S180,4)</f>
        <v>0</v>
      </c>
      <c r="U180" s="419">
        <f>ROUND(+J180+M180+T180,4)</f>
        <v>0</v>
      </c>
      <c r="V180" s="235"/>
      <c r="AN180" s="230">
        <f t="shared" si="16"/>
        <v>0</v>
      </c>
      <c r="AO180" s="230">
        <f t="shared" si="17"/>
        <v>0</v>
      </c>
    </row>
    <row r="181" spans="1:41" ht="15.75" x14ac:dyDescent="0.25">
      <c r="A181" s="231"/>
      <c r="B181" s="232"/>
      <c r="C181" s="400"/>
      <c r="D181" s="233"/>
      <c r="E181" s="405"/>
      <c r="F181" s="405"/>
      <c r="G181" s="405"/>
      <c r="H181" s="408">
        <f>ROUND(+E181+F181+G181,4)</f>
        <v>0</v>
      </c>
      <c r="I181" s="234"/>
      <c r="J181" s="411"/>
      <c r="K181" s="411"/>
      <c r="L181" s="414">
        <v>0.1</v>
      </c>
      <c r="M181" s="414">
        <f>ROUND(+L181*C181,4)</f>
        <v>0</v>
      </c>
      <c r="N181" s="414"/>
      <c r="O181" s="414"/>
      <c r="P181" s="414"/>
      <c r="Q181" s="419">
        <f>ROUND(+N181+O181+P181,4)</f>
        <v>0</v>
      </c>
      <c r="R181" s="419">
        <f>ROUND(IF(+Q181-H181&lt;=0,0,Q181-H181),4)</f>
        <v>0</v>
      </c>
      <c r="S181" s="423">
        <v>0.5</v>
      </c>
      <c r="T181" s="419">
        <f>ROUND(+(R181*C181)*S181,4)</f>
        <v>0</v>
      </c>
      <c r="U181" s="419">
        <f>ROUND(+J181+M181+T181,4)</f>
        <v>0</v>
      </c>
      <c r="V181" s="235"/>
      <c r="AN181" s="230">
        <f t="shared" si="16"/>
        <v>0</v>
      </c>
      <c r="AO181" s="230">
        <f t="shared" si="17"/>
        <v>0</v>
      </c>
    </row>
    <row r="182" spans="1:41" ht="15.75" x14ac:dyDescent="0.25">
      <c r="A182" s="231"/>
      <c r="B182" s="232"/>
      <c r="C182" s="400"/>
      <c r="D182" s="233"/>
      <c r="E182" s="405"/>
      <c r="F182" s="405"/>
      <c r="G182" s="405"/>
      <c r="H182" s="408">
        <f>ROUND(+E182+F182+G182,4)</f>
        <v>0</v>
      </c>
      <c r="I182" s="234"/>
      <c r="J182" s="411"/>
      <c r="K182" s="411"/>
      <c r="L182" s="414">
        <v>0.1</v>
      </c>
      <c r="M182" s="414">
        <f>ROUND(+L182*C182,4)</f>
        <v>0</v>
      </c>
      <c r="N182" s="414"/>
      <c r="O182" s="414"/>
      <c r="P182" s="414"/>
      <c r="Q182" s="419">
        <f>ROUND(+N182+O182+P182,4)</f>
        <v>0</v>
      </c>
      <c r="R182" s="419">
        <f>ROUND(IF(+Q182-H182&lt;=0,0,Q182-H182),4)</f>
        <v>0</v>
      </c>
      <c r="S182" s="423">
        <v>0.5</v>
      </c>
      <c r="T182" s="419">
        <f>ROUND(+(R182*C182)*S182,4)</f>
        <v>0</v>
      </c>
      <c r="U182" s="419">
        <f>ROUND(+J182+M182+T182,4)</f>
        <v>0</v>
      </c>
      <c r="V182" s="235"/>
      <c r="AN182" s="230">
        <f t="shared" si="16"/>
        <v>0</v>
      </c>
      <c r="AO182" s="230">
        <f t="shared" si="17"/>
        <v>0</v>
      </c>
    </row>
    <row r="183" spans="1:41" ht="15.75" x14ac:dyDescent="0.25">
      <c r="A183" s="231"/>
      <c r="B183" s="232"/>
      <c r="C183" s="400"/>
      <c r="D183" s="233"/>
      <c r="E183" s="405"/>
      <c r="F183" s="405"/>
      <c r="G183" s="405"/>
      <c r="H183" s="408">
        <f>ROUND(+E183+F183+G183,4)</f>
        <v>0</v>
      </c>
      <c r="I183" s="234"/>
      <c r="J183" s="411"/>
      <c r="K183" s="411"/>
      <c r="L183" s="414">
        <v>0.1</v>
      </c>
      <c r="M183" s="414">
        <f>ROUND(+L183*C183,4)</f>
        <v>0</v>
      </c>
      <c r="N183" s="414"/>
      <c r="O183" s="414"/>
      <c r="P183" s="414"/>
      <c r="Q183" s="419">
        <f>ROUND(+N183+O183+P183,4)</f>
        <v>0</v>
      </c>
      <c r="R183" s="419">
        <f>ROUND(IF(+Q183-H183&lt;=0,0,Q183-H183),4)</f>
        <v>0</v>
      </c>
      <c r="S183" s="423">
        <v>0.5</v>
      </c>
      <c r="T183" s="419">
        <f>ROUND(+(R183*C183)*S183,4)</f>
        <v>0</v>
      </c>
      <c r="U183" s="419">
        <f>ROUND(+J183+M183+T183,4)</f>
        <v>0</v>
      </c>
      <c r="V183" s="235"/>
    </row>
    <row r="184" spans="1:41" ht="15.75" x14ac:dyDescent="0.25">
      <c r="A184" s="231"/>
      <c r="B184" s="232"/>
      <c r="C184" s="400"/>
      <c r="D184" s="233"/>
      <c r="E184" s="405"/>
      <c r="F184" s="405"/>
      <c r="G184" s="405"/>
      <c r="H184" s="408">
        <f>ROUND(+E184+F184+G184,4)</f>
        <v>0</v>
      </c>
      <c r="I184" s="234"/>
      <c r="J184" s="411"/>
      <c r="K184" s="411"/>
      <c r="L184" s="414">
        <v>0.1</v>
      </c>
      <c r="M184" s="414">
        <f>ROUND(+L184*C184,4)</f>
        <v>0</v>
      </c>
      <c r="N184" s="414"/>
      <c r="O184" s="414"/>
      <c r="P184" s="414"/>
      <c r="Q184" s="419">
        <f>ROUND(+N184+O184+P184,4)</f>
        <v>0</v>
      </c>
      <c r="R184" s="419">
        <f>ROUND(IF(+Q184-H184&lt;=0,0,Q184-H184),4)</f>
        <v>0</v>
      </c>
      <c r="S184" s="423">
        <v>0.5</v>
      </c>
      <c r="T184" s="419">
        <f>ROUND(+(R184*C184)*S184,4)</f>
        <v>0</v>
      </c>
      <c r="U184" s="419">
        <f>ROUND(+J184+M184+T184,4)</f>
        <v>0</v>
      </c>
      <c r="V184" s="235"/>
    </row>
    <row r="185" spans="1:41" ht="15.75" x14ac:dyDescent="0.25">
      <c r="A185" s="231"/>
      <c r="B185" s="232"/>
      <c r="C185" s="400"/>
      <c r="D185" s="233"/>
      <c r="E185" s="405"/>
      <c r="F185" s="405"/>
      <c r="G185" s="405"/>
      <c r="H185" s="408">
        <f>ROUND(+E185+F185+G185,4)</f>
        <v>0</v>
      </c>
      <c r="I185" s="234"/>
      <c r="J185" s="411"/>
      <c r="K185" s="411"/>
      <c r="L185" s="414">
        <v>0.1</v>
      </c>
      <c r="M185" s="414">
        <f>ROUND(+L185*C185,4)</f>
        <v>0</v>
      </c>
      <c r="N185" s="414"/>
      <c r="O185" s="414"/>
      <c r="P185" s="414"/>
      <c r="Q185" s="419">
        <f>ROUND(+N185+O185+P185,4)</f>
        <v>0</v>
      </c>
      <c r="R185" s="419">
        <f>ROUND(IF(+Q185-H185&lt;=0,0,Q185-H185),4)</f>
        <v>0</v>
      </c>
      <c r="S185" s="423">
        <v>0.5</v>
      </c>
      <c r="T185" s="419">
        <f>ROUND(+(R185*C185)*S185,4)</f>
        <v>0</v>
      </c>
      <c r="U185" s="419">
        <f>ROUND(+J185+M185+T185,4)</f>
        <v>0</v>
      </c>
      <c r="V185" s="235"/>
    </row>
    <row r="186" spans="1:41" ht="15.75" x14ac:dyDescent="0.25">
      <c r="A186" s="231"/>
      <c r="B186" s="232"/>
      <c r="C186" s="400"/>
      <c r="D186" s="233"/>
      <c r="E186" s="405"/>
      <c r="F186" s="405"/>
      <c r="G186" s="405"/>
      <c r="H186" s="408">
        <f>ROUND(+E186+F186+G186,4)</f>
        <v>0</v>
      </c>
      <c r="I186" s="234"/>
      <c r="J186" s="411"/>
      <c r="K186" s="411"/>
      <c r="L186" s="414">
        <v>0.1</v>
      </c>
      <c r="M186" s="414">
        <f>ROUND(+L186*C186,4)</f>
        <v>0</v>
      </c>
      <c r="N186" s="414"/>
      <c r="O186" s="414"/>
      <c r="P186" s="414"/>
      <c r="Q186" s="419">
        <f>ROUND(+N186+O186+P186,4)</f>
        <v>0</v>
      </c>
      <c r="R186" s="419">
        <f>ROUND(IF(+Q186-H186&lt;=0,0,Q186-H186),4)</f>
        <v>0</v>
      </c>
      <c r="S186" s="423">
        <v>0.5</v>
      </c>
      <c r="T186" s="419">
        <f>ROUND(+(R186*C186)*S186,4)</f>
        <v>0</v>
      </c>
      <c r="U186" s="419">
        <f>ROUND(+J186+M186+T186,4)</f>
        <v>0</v>
      </c>
      <c r="V186" s="235"/>
    </row>
    <row r="187" spans="1:41" ht="15.75" x14ac:dyDescent="0.25">
      <c r="A187" s="231"/>
      <c r="B187" s="232"/>
      <c r="C187" s="400"/>
      <c r="D187" s="233"/>
      <c r="E187" s="405"/>
      <c r="F187" s="405"/>
      <c r="G187" s="405"/>
      <c r="H187" s="408">
        <f>ROUND(+E187+F187+G187,4)</f>
        <v>0</v>
      </c>
      <c r="I187" s="234"/>
      <c r="J187" s="411"/>
      <c r="K187" s="411"/>
      <c r="L187" s="414">
        <v>0.1</v>
      </c>
      <c r="M187" s="414">
        <f>ROUND(+L187*C187,4)</f>
        <v>0</v>
      </c>
      <c r="N187" s="414"/>
      <c r="O187" s="414"/>
      <c r="P187" s="414"/>
      <c r="Q187" s="419">
        <f>ROUND(+N187+O187+P187,4)</f>
        <v>0</v>
      </c>
      <c r="R187" s="419">
        <f>ROUND(IF(+Q187-H187&lt;=0,0,Q187-H187),4)</f>
        <v>0</v>
      </c>
      <c r="S187" s="423">
        <v>0.5</v>
      </c>
      <c r="T187" s="419">
        <f>ROUND(+(R187*C187)*S187,4)</f>
        <v>0</v>
      </c>
      <c r="U187" s="419">
        <f>ROUND(+J187+M187+T187,4)</f>
        <v>0</v>
      </c>
      <c r="V187" s="235"/>
    </row>
    <row r="188" spans="1:41" ht="15.75" x14ac:dyDescent="0.25">
      <c r="A188" s="231"/>
      <c r="B188" s="232"/>
      <c r="C188" s="400"/>
      <c r="D188" s="233"/>
      <c r="E188" s="405"/>
      <c r="F188" s="405"/>
      <c r="G188" s="405"/>
      <c r="H188" s="408">
        <f>ROUND(+E188+F188+G188,4)</f>
        <v>0</v>
      </c>
      <c r="I188" s="234"/>
      <c r="J188" s="411"/>
      <c r="K188" s="411"/>
      <c r="L188" s="414">
        <v>0.1</v>
      </c>
      <c r="M188" s="414">
        <f>ROUND(+L188*C188,4)</f>
        <v>0</v>
      </c>
      <c r="N188" s="414"/>
      <c r="O188" s="414"/>
      <c r="P188" s="414"/>
      <c r="Q188" s="419">
        <f>ROUND(+N188+O188+P188,4)</f>
        <v>0</v>
      </c>
      <c r="R188" s="419">
        <f>ROUND(IF(+Q188-H188&lt;=0,0,Q188-H188),4)</f>
        <v>0</v>
      </c>
      <c r="S188" s="423">
        <v>0.5</v>
      </c>
      <c r="T188" s="419">
        <f>ROUND(+(R188*C188)*S188,4)</f>
        <v>0</v>
      </c>
      <c r="U188" s="419">
        <f>ROUND(+J188+M188+T188,4)</f>
        <v>0</v>
      </c>
      <c r="V188" s="235"/>
    </row>
    <row r="189" spans="1:41" ht="15.75" x14ac:dyDescent="0.25">
      <c r="A189" s="231"/>
      <c r="B189" s="232"/>
      <c r="C189" s="400"/>
      <c r="D189" s="233"/>
      <c r="E189" s="405"/>
      <c r="F189" s="405"/>
      <c r="G189" s="405"/>
      <c r="H189" s="408">
        <f>ROUND(+E189+F189+G189,4)</f>
        <v>0</v>
      </c>
      <c r="I189" s="234"/>
      <c r="J189" s="411"/>
      <c r="K189" s="411"/>
      <c r="L189" s="414">
        <v>0.1</v>
      </c>
      <c r="M189" s="414">
        <f>ROUND(+L189*C189,4)</f>
        <v>0</v>
      </c>
      <c r="N189" s="414"/>
      <c r="O189" s="414"/>
      <c r="P189" s="414"/>
      <c r="Q189" s="419">
        <f>ROUND(+N189+O189+P189,4)</f>
        <v>0</v>
      </c>
      <c r="R189" s="419">
        <f>ROUND(IF(+Q189-H189&lt;=0,0,Q189-H189),4)</f>
        <v>0</v>
      </c>
      <c r="S189" s="423">
        <v>0.5</v>
      </c>
      <c r="T189" s="419">
        <f>ROUND(+(R189*C189)*S189,4)</f>
        <v>0</v>
      </c>
      <c r="U189" s="419">
        <f>ROUND(+J189+M189+T189,4)</f>
        <v>0</v>
      </c>
      <c r="V189" s="235"/>
    </row>
    <row r="190" spans="1:41" ht="15.75" x14ac:dyDescent="0.25">
      <c r="A190" s="231"/>
      <c r="B190" s="232"/>
      <c r="C190" s="400"/>
      <c r="D190" s="233"/>
      <c r="E190" s="405"/>
      <c r="F190" s="405"/>
      <c r="G190" s="405"/>
      <c r="H190" s="408">
        <f>ROUND(+E190+F190+G190,4)</f>
        <v>0</v>
      </c>
      <c r="I190" s="234"/>
      <c r="J190" s="411"/>
      <c r="K190" s="411"/>
      <c r="L190" s="414">
        <v>0.1</v>
      </c>
      <c r="M190" s="414">
        <f>ROUND(+L190*C190,4)</f>
        <v>0</v>
      </c>
      <c r="N190" s="414"/>
      <c r="O190" s="414"/>
      <c r="P190" s="414"/>
      <c r="Q190" s="419">
        <f>ROUND(+N190+O190+P190,4)</f>
        <v>0</v>
      </c>
      <c r="R190" s="419">
        <f>ROUND(IF(+Q190-H190&lt;=0,0,Q190-H190),4)</f>
        <v>0</v>
      </c>
      <c r="S190" s="423">
        <v>0.5</v>
      </c>
      <c r="T190" s="419">
        <f>ROUND(+(R190*C190)*S190,4)</f>
        <v>0</v>
      </c>
      <c r="U190" s="419">
        <f>ROUND(+J190+M190+T190,4)</f>
        <v>0</v>
      </c>
      <c r="V190" s="235"/>
    </row>
    <row r="191" spans="1:41" ht="15.75" x14ac:dyDescent="0.25">
      <c r="A191" s="231"/>
      <c r="B191" s="232"/>
      <c r="C191" s="400"/>
      <c r="D191" s="233"/>
      <c r="E191" s="405"/>
      <c r="F191" s="405"/>
      <c r="G191" s="405"/>
      <c r="H191" s="408">
        <f>ROUND(+E191+F191+G191,4)</f>
        <v>0</v>
      </c>
      <c r="I191" s="234"/>
      <c r="J191" s="411"/>
      <c r="K191" s="411"/>
      <c r="L191" s="414">
        <v>0.1</v>
      </c>
      <c r="M191" s="414">
        <f>ROUND(+L191*C191,4)</f>
        <v>0</v>
      </c>
      <c r="N191" s="414"/>
      <c r="O191" s="414"/>
      <c r="P191" s="414"/>
      <c r="Q191" s="419">
        <f>ROUND(+N191+O191+P191,4)</f>
        <v>0</v>
      </c>
      <c r="R191" s="419">
        <f>ROUND(IF(+Q191-H191&lt;=0,0,Q191-H191),4)</f>
        <v>0</v>
      </c>
      <c r="S191" s="423">
        <v>0.5</v>
      </c>
      <c r="T191" s="419">
        <f>ROUND(+(R191*C191)*S191,4)</f>
        <v>0</v>
      </c>
      <c r="U191" s="419">
        <f>ROUND(+J191+M191+T191,4)</f>
        <v>0</v>
      </c>
      <c r="V191" s="235"/>
    </row>
    <row r="192" spans="1:41" ht="15.75" x14ac:dyDescent="0.25">
      <c r="A192" s="231"/>
      <c r="B192" s="232"/>
      <c r="C192" s="400"/>
      <c r="D192" s="233"/>
      <c r="E192" s="405"/>
      <c r="F192" s="405"/>
      <c r="G192" s="405"/>
      <c r="H192" s="408">
        <f>ROUND(+E192+F192+G192,4)</f>
        <v>0</v>
      </c>
      <c r="I192" s="234"/>
      <c r="J192" s="411"/>
      <c r="K192" s="411"/>
      <c r="L192" s="414">
        <v>0.1</v>
      </c>
      <c r="M192" s="414">
        <f>ROUND(+L192*C192,4)</f>
        <v>0</v>
      </c>
      <c r="N192" s="414"/>
      <c r="O192" s="414"/>
      <c r="P192" s="414"/>
      <c r="Q192" s="419">
        <f>ROUND(+N192+O192+P192,4)</f>
        <v>0</v>
      </c>
      <c r="R192" s="419">
        <f>ROUND(IF(+Q192-H192&lt;=0,0,Q192-H192),4)</f>
        <v>0</v>
      </c>
      <c r="S192" s="423">
        <v>0.5</v>
      </c>
      <c r="T192" s="419">
        <f>ROUND(+(R192*C192)*S192,4)</f>
        <v>0</v>
      </c>
      <c r="U192" s="419">
        <f>ROUND(+J192+M192+T192,4)</f>
        <v>0</v>
      </c>
      <c r="V192" s="235"/>
    </row>
    <row r="193" spans="1:22" ht="15.75" x14ac:dyDescent="0.25">
      <c r="A193" s="231"/>
      <c r="B193" s="232"/>
      <c r="C193" s="400"/>
      <c r="D193" s="233"/>
      <c r="E193" s="405"/>
      <c r="F193" s="405"/>
      <c r="G193" s="405"/>
      <c r="H193" s="408">
        <f>ROUND(+E193+F193+G193,4)</f>
        <v>0</v>
      </c>
      <c r="I193" s="234"/>
      <c r="J193" s="411"/>
      <c r="K193" s="411"/>
      <c r="L193" s="414">
        <v>0.1</v>
      </c>
      <c r="M193" s="414">
        <f>ROUND(+L193*C193,4)</f>
        <v>0</v>
      </c>
      <c r="N193" s="414"/>
      <c r="O193" s="414"/>
      <c r="P193" s="414"/>
      <c r="Q193" s="419">
        <f>ROUND(+N193+O193+P193,4)</f>
        <v>0</v>
      </c>
      <c r="R193" s="419">
        <f>ROUND(IF(+Q193-H193&lt;=0,0,Q193-H193),4)</f>
        <v>0</v>
      </c>
      <c r="S193" s="423">
        <v>0.5</v>
      </c>
      <c r="T193" s="419">
        <f>ROUND(+(R193*C193)*S193,4)</f>
        <v>0</v>
      </c>
      <c r="U193" s="419">
        <f>ROUND(+J193+M193+T193,4)</f>
        <v>0</v>
      </c>
      <c r="V193" s="235"/>
    </row>
    <row r="194" spans="1:22" ht="15.75" x14ac:dyDescent="0.25">
      <c r="A194" s="231"/>
      <c r="B194" s="232"/>
      <c r="C194" s="400"/>
      <c r="D194" s="233"/>
      <c r="E194" s="405"/>
      <c r="F194" s="405"/>
      <c r="G194" s="405"/>
      <c r="H194" s="408">
        <f>ROUND(+E194+F194+G194,4)</f>
        <v>0</v>
      </c>
      <c r="I194" s="234"/>
      <c r="J194" s="411"/>
      <c r="K194" s="411"/>
      <c r="L194" s="414">
        <v>0.1</v>
      </c>
      <c r="M194" s="414">
        <f>ROUND(+L194*C194,4)</f>
        <v>0</v>
      </c>
      <c r="N194" s="414"/>
      <c r="O194" s="414"/>
      <c r="P194" s="414"/>
      <c r="Q194" s="419">
        <f>ROUND(+N194+O194+P194,4)</f>
        <v>0</v>
      </c>
      <c r="R194" s="419">
        <f>ROUND(IF(+Q194-H194&lt;=0,0,Q194-H194),4)</f>
        <v>0</v>
      </c>
      <c r="S194" s="423">
        <v>0.5</v>
      </c>
      <c r="T194" s="419">
        <f>ROUND(+(R194*C194)*S194,4)</f>
        <v>0</v>
      </c>
      <c r="U194" s="419">
        <f>ROUND(+J194+M194+T194,4)</f>
        <v>0</v>
      </c>
      <c r="V194" s="235"/>
    </row>
    <row r="195" spans="1:22" ht="15.75" x14ac:dyDescent="0.25">
      <c r="A195" s="231"/>
      <c r="B195" s="232"/>
      <c r="C195" s="400"/>
      <c r="D195" s="233"/>
      <c r="E195" s="405"/>
      <c r="F195" s="405"/>
      <c r="G195" s="405"/>
      <c r="H195" s="408">
        <f>ROUND(+E195+F195+G195,4)</f>
        <v>0</v>
      </c>
      <c r="I195" s="234"/>
      <c r="J195" s="411"/>
      <c r="K195" s="411"/>
      <c r="L195" s="414">
        <v>0.1</v>
      </c>
      <c r="M195" s="414">
        <f>ROUND(+L195*C195,4)</f>
        <v>0</v>
      </c>
      <c r="N195" s="414"/>
      <c r="O195" s="414"/>
      <c r="P195" s="414"/>
      <c r="Q195" s="419">
        <f>ROUND(+N195+O195+P195,4)</f>
        <v>0</v>
      </c>
      <c r="R195" s="419">
        <f>ROUND(IF(+Q195-H195&lt;=0,0,Q195-H195),4)</f>
        <v>0</v>
      </c>
      <c r="S195" s="423">
        <v>0.5</v>
      </c>
      <c r="T195" s="419">
        <f>ROUND(+(R195*C195)*S195,4)</f>
        <v>0</v>
      </c>
      <c r="U195" s="419">
        <f>ROUND(+J195+M195+T195,4)</f>
        <v>0</v>
      </c>
      <c r="V195" s="235"/>
    </row>
    <row r="196" spans="1:22" ht="15.75" x14ac:dyDescent="0.25">
      <c r="A196" s="231"/>
      <c r="B196" s="232"/>
      <c r="C196" s="400"/>
      <c r="D196" s="233"/>
      <c r="E196" s="405"/>
      <c r="F196" s="405"/>
      <c r="G196" s="405"/>
      <c r="H196" s="408">
        <f>ROUND(+E196+F196+G196,4)</f>
        <v>0</v>
      </c>
      <c r="I196" s="234"/>
      <c r="J196" s="411"/>
      <c r="K196" s="411"/>
      <c r="L196" s="414">
        <v>0.1</v>
      </c>
      <c r="M196" s="414">
        <f>ROUND(+L196*C196,4)</f>
        <v>0</v>
      </c>
      <c r="N196" s="414"/>
      <c r="O196" s="414"/>
      <c r="P196" s="414"/>
      <c r="Q196" s="419">
        <f>ROUND(+N196+O196+P196,4)</f>
        <v>0</v>
      </c>
      <c r="R196" s="419">
        <f>ROUND(IF(+Q196-H196&lt;=0,0,Q196-H196),4)</f>
        <v>0</v>
      </c>
      <c r="S196" s="423">
        <v>0.5</v>
      </c>
      <c r="T196" s="419">
        <f>ROUND(+(R196*C196)*S196,4)</f>
        <v>0</v>
      </c>
      <c r="U196" s="419">
        <f>ROUND(+J196+M196+T196,4)</f>
        <v>0</v>
      </c>
      <c r="V196" s="235"/>
    </row>
    <row r="197" spans="1:22" ht="15.75" x14ac:dyDescent="0.25">
      <c r="A197" s="231"/>
      <c r="B197" s="232"/>
      <c r="C197" s="400"/>
      <c r="D197" s="233"/>
      <c r="E197" s="405"/>
      <c r="F197" s="405"/>
      <c r="G197" s="405"/>
      <c r="H197" s="408">
        <f>ROUND(+E197+F197+G197,4)</f>
        <v>0</v>
      </c>
      <c r="I197" s="234"/>
      <c r="J197" s="411"/>
      <c r="K197" s="411"/>
      <c r="L197" s="414">
        <v>0.1</v>
      </c>
      <c r="M197" s="414">
        <f>ROUND(+L197*C197,4)</f>
        <v>0</v>
      </c>
      <c r="N197" s="414"/>
      <c r="O197" s="414"/>
      <c r="P197" s="414"/>
      <c r="Q197" s="419">
        <f>ROUND(+N197+O197+P197,4)</f>
        <v>0</v>
      </c>
      <c r="R197" s="419">
        <f>ROUND(IF(+Q197-H197&lt;=0,0,Q197-H197),4)</f>
        <v>0</v>
      </c>
      <c r="S197" s="423">
        <v>0.5</v>
      </c>
      <c r="T197" s="419">
        <f>ROUND(+(R197*C197)*S197,4)</f>
        <v>0</v>
      </c>
      <c r="U197" s="419">
        <f>ROUND(+J197+M197+T197,4)</f>
        <v>0</v>
      </c>
      <c r="V197" s="235"/>
    </row>
    <row r="198" spans="1:22" ht="15.75" x14ac:dyDescent="0.25">
      <c r="A198" s="231"/>
      <c r="B198" s="232"/>
      <c r="C198" s="400"/>
      <c r="D198" s="233"/>
      <c r="E198" s="405"/>
      <c r="F198" s="405"/>
      <c r="G198" s="405"/>
      <c r="H198" s="408">
        <f>ROUND(+E198+F198+G198,4)</f>
        <v>0</v>
      </c>
      <c r="I198" s="234"/>
      <c r="J198" s="411"/>
      <c r="K198" s="411"/>
      <c r="L198" s="414">
        <v>0.1</v>
      </c>
      <c r="M198" s="414">
        <f>ROUND(+L198*C198,4)</f>
        <v>0</v>
      </c>
      <c r="N198" s="414"/>
      <c r="O198" s="414"/>
      <c r="P198" s="414"/>
      <c r="Q198" s="419">
        <f>ROUND(+N198+O198+P198,4)</f>
        <v>0</v>
      </c>
      <c r="R198" s="419">
        <f>ROUND(IF(+Q198-H198&lt;=0,0,Q198-H198),4)</f>
        <v>0</v>
      </c>
      <c r="S198" s="423">
        <v>0.5</v>
      </c>
      <c r="T198" s="419">
        <f>ROUND(+(R198*C198)*S198,4)</f>
        <v>0</v>
      </c>
      <c r="U198" s="419">
        <f>ROUND(+J198+M198+T198,4)</f>
        <v>0</v>
      </c>
      <c r="V198" s="235"/>
    </row>
    <row r="199" spans="1:22" ht="15.75" x14ac:dyDescent="0.25">
      <c r="A199" s="231"/>
      <c r="B199" s="232"/>
      <c r="C199" s="400"/>
      <c r="D199" s="233"/>
      <c r="E199" s="405"/>
      <c r="F199" s="405"/>
      <c r="G199" s="405"/>
      <c r="H199" s="408">
        <f>ROUND(+E199+F199+G199,4)</f>
        <v>0</v>
      </c>
      <c r="I199" s="234"/>
      <c r="J199" s="411"/>
      <c r="K199" s="411"/>
      <c r="L199" s="414">
        <v>0.1</v>
      </c>
      <c r="M199" s="414">
        <f>ROUND(+L199*C199,4)</f>
        <v>0</v>
      </c>
      <c r="N199" s="414"/>
      <c r="O199" s="414"/>
      <c r="P199" s="414"/>
      <c r="Q199" s="419">
        <f>ROUND(+N199+O199+P199,4)</f>
        <v>0</v>
      </c>
      <c r="R199" s="419">
        <f>ROUND(IF(+Q199-H199&lt;=0,0,Q199-H199),4)</f>
        <v>0</v>
      </c>
      <c r="S199" s="423">
        <v>0.5</v>
      </c>
      <c r="T199" s="419">
        <f>ROUND(+(R199*C199)*S199,4)</f>
        <v>0</v>
      </c>
      <c r="U199" s="419">
        <f>ROUND(+J199+M199+T199,4)</f>
        <v>0</v>
      </c>
      <c r="V199" s="235"/>
    </row>
    <row r="200" spans="1:22" ht="15.75" x14ac:dyDescent="0.25">
      <c r="A200" s="231"/>
      <c r="B200" s="232"/>
      <c r="C200" s="400"/>
      <c r="D200" s="233"/>
      <c r="E200" s="405"/>
      <c r="F200" s="405"/>
      <c r="G200" s="405"/>
      <c r="H200" s="408">
        <f>ROUND(+E200+F200+G200,4)</f>
        <v>0</v>
      </c>
      <c r="I200" s="234"/>
      <c r="J200" s="411"/>
      <c r="K200" s="411"/>
      <c r="L200" s="414">
        <v>0.1</v>
      </c>
      <c r="M200" s="414">
        <f>ROUND(+L200*C200,4)</f>
        <v>0</v>
      </c>
      <c r="N200" s="414"/>
      <c r="O200" s="414"/>
      <c r="P200" s="414"/>
      <c r="Q200" s="419">
        <f>ROUND(+N200+O200+P200,4)</f>
        <v>0</v>
      </c>
      <c r="R200" s="419">
        <f>ROUND(IF(+Q200-H200&lt;=0,0,Q200-H200),4)</f>
        <v>0</v>
      </c>
      <c r="S200" s="423">
        <v>0.5</v>
      </c>
      <c r="T200" s="419">
        <f>ROUND(+(R200*C200)*S200,4)</f>
        <v>0</v>
      </c>
      <c r="U200" s="419">
        <f>ROUND(+J200+M200+T200,4)</f>
        <v>0</v>
      </c>
      <c r="V200" s="235"/>
    </row>
    <row r="201" spans="1:22" ht="15.75" x14ac:dyDescent="0.25">
      <c r="A201" s="231"/>
      <c r="B201" s="232"/>
      <c r="C201" s="400"/>
      <c r="D201" s="233"/>
      <c r="E201" s="405"/>
      <c r="F201" s="405"/>
      <c r="G201" s="405"/>
      <c r="H201" s="408">
        <f>ROUND(+E201+F201+G201,4)</f>
        <v>0</v>
      </c>
      <c r="I201" s="234"/>
      <c r="J201" s="411"/>
      <c r="K201" s="411"/>
      <c r="L201" s="414">
        <v>0.1</v>
      </c>
      <c r="M201" s="414">
        <f>ROUND(+L201*C201,4)</f>
        <v>0</v>
      </c>
      <c r="N201" s="414"/>
      <c r="O201" s="414"/>
      <c r="P201" s="414"/>
      <c r="Q201" s="419">
        <f>ROUND(+N201+O201+P201,4)</f>
        <v>0</v>
      </c>
      <c r="R201" s="419">
        <f>ROUND(IF(+Q201-H201&lt;=0,0,Q201-H201),4)</f>
        <v>0</v>
      </c>
      <c r="S201" s="423">
        <v>0.5</v>
      </c>
      <c r="T201" s="419">
        <f>ROUND(+(R201*C201)*S201,4)</f>
        <v>0</v>
      </c>
      <c r="U201" s="419">
        <f>ROUND(+J201+M201+T201,4)</f>
        <v>0</v>
      </c>
      <c r="V201" s="235"/>
    </row>
    <row r="202" spans="1:22" ht="15.75" x14ac:dyDescent="0.25">
      <c r="A202" s="231"/>
      <c r="B202" s="232"/>
      <c r="C202" s="400"/>
      <c r="D202" s="233"/>
      <c r="E202" s="405"/>
      <c r="F202" s="405"/>
      <c r="G202" s="405"/>
      <c r="H202" s="408">
        <f>ROUND(+E202+F202+G202,4)</f>
        <v>0</v>
      </c>
      <c r="I202" s="234"/>
      <c r="J202" s="411"/>
      <c r="K202" s="411"/>
      <c r="L202" s="414">
        <v>0.1</v>
      </c>
      <c r="M202" s="414">
        <f>ROUND(+L202*C202,4)</f>
        <v>0</v>
      </c>
      <c r="N202" s="414"/>
      <c r="O202" s="414"/>
      <c r="P202" s="414"/>
      <c r="Q202" s="419">
        <f>ROUND(+N202+O202+P202,4)</f>
        <v>0</v>
      </c>
      <c r="R202" s="419">
        <f>ROUND(IF(+Q202-H202&lt;=0,0,Q202-H202),4)</f>
        <v>0</v>
      </c>
      <c r="S202" s="423">
        <v>0.5</v>
      </c>
      <c r="T202" s="419">
        <f>ROUND(+(R202*C202)*S202,4)</f>
        <v>0</v>
      </c>
      <c r="U202" s="419">
        <f>ROUND(+J202+M202+T202,4)</f>
        <v>0</v>
      </c>
      <c r="V202" s="235"/>
    </row>
    <row r="203" spans="1:22" ht="15.75" x14ac:dyDescent="0.25">
      <c r="A203" s="231"/>
      <c r="B203" s="232"/>
      <c r="C203" s="400"/>
      <c r="D203" s="233"/>
      <c r="E203" s="405"/>
      <c r="F203" s="405"/>
      <c r="G203" s="405"/>
      <c r="H203" s="408">
        <f>ROUND(+E203+F203+G203,4)</f>
        <v>0</v>
      </c>
      <c r="I203" s="234"/>
      <c r="J203" s="411"/>
      <c r="K203" s="411"/>
      <c r="L203" s="414">
        <v>0.1</v>
      </c>
      <c r="M203" s="414">
        <f>ROUND(+L203*C203,4)</f>
        <v>0</v>
      </c>
      <c r="N203" s="414"/>
      <c r="O203" s="414"/>
      <c r="P203" s="414"/>
      <c r="Q203" s="419">
        <f>ROUND(+N203+O203+P203,4)</f>
        <v>0</v>
      </c>
      <c r="R203" s="419">
        <f>ROUND(IF(+Q203-H203&lt;=0,0,Q203-H203),4)</f>
        <v>0</v>
      </c>
      <c r="S203" s="423">
        <v>0.5</v>
      </c>
      <c r="T203" s="419">
        <f>ROUND(+(R203*C203)*S203,4)</f>
        <v>0</v>
      </c>
      <c r="U203" s="419">
        <f>ROUND(+J203+M203+T203,4)</f>
        <v>0</v>
      </c>
      <c r="V203" s="235"/>
    </row>
    <row r="204" spans="1:22" ht="15.75" x14ac:dyDescent="0.25">
      <c r="A204" s="231"/>
      <c r="B204" s="232"/>
      <c r="C204" s="400"/>
      <c r="D204" s="233"/>
      <c r="E204" s="405"/>
      <c r="F204" s="405"/>
      <c r="G204" s="405"/>
      <c r="H204" s="408">
        <f>ROUND(+E204+F204+G204,4)</f>
        <v>0</v>
      </c>
      <c r="I204" s="234"/>
      <c r="J204" s="411"/>
      <c r="K204" s="411"/>
      <c r="L204" s="414">
        <v>0.1</v>
      </c>
      <c r="M204" s="414">
        <f>ROUND(+L204*C204,4)</f>
        <v>0</v>
      </c>
      <c r="N204" s="414"/>
      <c r="O204" s="414"/>
      <c r="P204" s="414"/>
      <c r="Q204" s="419">
        <f>ROUND(+N204+O204+P204,4)</f>
        <v>0</v>
      </c>
      <c r="R204" s="419">
        <f>ROUND(IF(+Q204-H204&lt;=0,0,Q204-H204),4)</f>
        <v>0</v>
      </c>
      <c r="S204" s="423">
        <v>0.5</v>
      </c>
      <c r="T204" s="419">
        <f>ROUND(+(R204*C204)*S204,4)</f>
        <v>0</v>
      </c>
      <c r="U204" s="419">
        <f>ROUND(+J204+M204+T204,4)</f>
        <v>0</v>
      </c>
      <c r="V204" s="235"/>
    </row>
    <row r="205" spans="1:22" ht="15.75" x14ac:dyDescent="0.25">
      <c r="A205" s="231"/>
      <c r="B205" s="232"/>
      <c r="C205" s="400"/>
      <c r="D205" s="233"/>
      <c r="E205" s="405"/>
      <c r="F205" s="405"/>
      <c r="G205" s="405"/>
      <c r="H205" s="408">
        <f>ROUND(+E205+F205+G205,4)</f>
        <v>0</v>
      </c>
      <c r="I205" s="234"/>
      <c r="J205" s="411"/>
      <c r="K205" s="411"/>
      <c r="L205" s="414">
        <v>0.1</v>
      </c>
      <c r="M205" s="414">
        <f>ROUND(+L205*C205,4)</f>
        <v>0</v>
      </c>
      <c r="N205" s="414"/>
      <c r="O205" s="414"/>
      <c r="P205" s="414"/>
      <c r="Q205" s="419">
        <f>ROUND(+N205+O205+P205,4)</f>
        <v>0</v>
      </c>
      <c r="R205" s="419">
        <f>ROUND(IF(+Q205-H205&lt;=0,0,Q205-H205),4)</f>
        <v>0</v>
      </c>
      <c r="S205" s="423">
        <v>0.5</v>
      </c>
      <c r="T205" s="419">
        <f>ROUND(+(R205*C205)*S205,4)</f>
        <v>0</v>
      </c>
      <c r="U205" s="419">
        <f>ROUND(+J205+M205+T205,4)</f>
        <v>0</v>
      </c>
      <c r="V205" s="235"/>
    </row>
    <row r="206" spans="1:22" ht="15.75" x14ac:dyDescent="0.25">
      <c r="A206" s="231"/>
      <c r="B206" s="232"/>
      <c r="C206" s="400"/>
      <c r="D206" s="233"/>
      <c r="E206" s="405"/>
      <c r="F206" s="405"/>
      <c r="G206" s="405"/>
      <c r="H206" s="408">
        <f>ROUND(+E206+F206+G206,4)</f>
        <v>0</v>
      </c>
      <c r="I206" s="234"/>
      <c r="J206" s="411"/>
      <c r="K206" s="411"/>
      <c r="L206" s="414">
        <v>0.1</v>
      </c>
      <c r="M206" s="414">
        <f>ROUND(+L206*C206,4)</f>
        <v>0</v>
      </c>
      <c r="N206" s="414"/>
      <c r="O206" s="414"/>
      <c r="P206" s="414"/>
      <c r="Q206" s="419">
        <f>ROUND(+N206+O206+P206,4)</f>
        <v>0</v>
      </c>
      <c r="R206" s="419">
        <f>ROUND(IF(+Q206-H206&lt;=0,0,Q206-H206),4)</f>
        <v>0</v>
      </c>
      <c r="S206" s="423">
        <v>0.5</v>
      </c>
      <c r="T206" s="419">
        <f>ROUND(+(R206*C206)*S206,4)</f>
        <v>0</v>
      </c>
      <c r="U206" s="419">
        <f>ROUND(+J206+M206+T206,4)</f>
        <v>0</v>
      </c>
      <c r="V206" s="235"/>
    </row>
    <row r="207" spans="1:22" ht="15.75" x14ac:dyDescent="0.25">
      <c r="A207" s="231"/>
      <c r="B207" s="232"/>
      <c r="C207" s="400"/>
      <c r="D207" s="233"/>
      <c r="E207" s="405"/>
      <c r="F207" s="405"/>
      <c r="G207" s="405"/>
      <c r="H207" s="408">
        <f>ROUND(+E207+F207+G207,4)</f>
        <v>0</v>
      </c>
      <c r="I207" s="234"/>
      <c r="J207" s="411"/>
      <c r="K207" s="411"/>
      <c r="L207" s="414">
        <v>0.1</v>
      </c>
      <c r="M207" s="414">
        <f>ROUND(+L207*C207,4)</f>
        <v>0</v>
      </c>
      <c r="N207" s="414"/>
      <c r="O207" s="414"/>
      <c r="P207" s="414"/>
      <c r="Q207" s="419">
        <f>ROUND(+N207+O207+P207,4)</f>
        <v>0</v>
      </c>
      <c r="R207" s="419">
        <f>ROUND(IF(+Q207-H207&lt;=0,0,Q207-H207),4)</f>
        <v>0</v>
      </c>
      <c r="S207" s="423">
        <v>0.5</v>
      </c>
      <c r="T207" s="419">
        <f>ROUND(+(R207*C207)*S207,4)</f>
        <v>0</v>
      </c>
      <c r="U207" s="419">
        <f>ROUND(+J207+M207+T207,4)</f>
        <v>0</v>
      </c>
      <c r="V207" s="235"/>
    </row>
    <row r="208" spans="1:22" ht="15.75" x14ac:dyDescent="0.25">
      <c r="A208" s="231"/>
      <c r="B208" s="232"/>
      <c r="C208" s="400"/>
      <c r="D208" s="233"/>
      <c r="E208" s="405"/>
      <c r="F208" s="405"/>
      <c r="G208" s="405"/>
      <c r="H208" s="408">
        <f>ROUND(+E208+F208+G208,4)</f>
        <v>0</v>
      </c>
      <c r="I208" s="234"/>
      <c r="J208" s="411"/>
      <c r="K208" s="411"/>
      <c r="L208" s="414">
        <v>0.1</v>
      </c>
      <c r="M208" s="414">
        <f>ROUND(+L208*C208,4)</f>
        <v>0</v>
      </c>
      <c r="N208" s="414"/>
      <c r="O208" s="414"/>
      <c r="P208" s="414"/>
      <c r="Q208" s="419">
        <f>ROUND(+N208+O208+P208,4)</f>
        <v>0</v>
      </c>
      <c r="R208" s="419">
        <f>ROUND(IF(+Q208-H208&lt;=0,0,Q208-H208),4)</f>
        <v>0</v>
      </c>
      <c r="S208" s="423">
        <v>0.5</v>
      </c>
      <c r="T208" s="419">
        <f>ROUND(+(R208*C208)*S208,4)</f>
        <v>0</v>
      </c>
      <c r="U208" s="419">
        <f>ROUND(+J208+M208+T208,4)</f>
        <v>0</v>
      </c>
      <c r="V208" s="235"/>
    </row>
    <row r="209" spans="1:22" ht="15.75" x14ac:dyDescent="0.25">
      <c r="A209" s="231"/>
      <c r="B209" s="232"/>
      <c r="C209" s="400"/>
      <c r="D209" s="233"/>
      <c r="E209" s="405"/>
      <c r="F209" s="405"/>
      <c r="G209" s="405"/>
      <c r="H209" s="408">
        <f>ROUND(+E209+F209+G209,4)</f>
        <v>0</v>
      </c>
      <c r="I209" s="234"/>
      <c r="J209" s="411"/>
      <c r="K209" s="411"/>
      <c r="L209" s="414">
        <v>0.1</v>
      </c>
      <c r="M209" s="414">
        <f>ROUND(+L209*C209,4)</f>
        <v>0</v>
      </c>
      <c r="N209" s="414"/>
      <c r="O209" s="414"/>
      <c r="P209" s="414"/>
      <c r="Q209" s="419">
        <f>ROUND(+N209+O209+P209,4)</f>
        <v>0</v>
      </c>
      <c r="R209" s="419">
        <f>ROUND(IF(+Q209-H209&lt;=0,0,Q209-H209),4)</f>
        <v>0</v>
      </c>
      <c r="S209" s="423">
        <v>0.5</v>
      </c>
      <c r="T209" s="419">
        <f>ROUND(+(R209*C209)*S209,4)</f>
        <v>0</v>
      </c>
      <c r="U209" s="419">
        <f>ROUND(+J209+M209+T209,4)</f>
        <v>0</v>
      </c>
      <c r="V209" s="235"/>
    </row>
    <row r="210" spans="1:22" ht="15.75" x14ac:dyDescent="0.25">
      <c r="A210" s="231"/>
      <c r="B210" s="232"/>
      <c r="C210" s="400"/>
      <c r="D210" s="233"/>
      <c r="E210" s="405"/>
      <c r="F210" s="405"/>
      <c r="G210" s="405"/>
      <c r="H210" s="408">
        <f>ROUND(+E210+F210+G210,4)</f>
        <v>0</v>
      </c>
      <c r="I210" s="234"/>
      <c r="J210" s="411"/>
      <c r="K210" s="411"/>
      <c r="L210" s="414">
        <v>0.1</v>
      </c>
      <c r="M210" s="414">
        <f>ROUND(+L210*C210,4)</f>
        <v>0</v>
      </c>
      <c r="N210" s="414"/>
      <c r="O210" s="414"/>
      <c r="P210" s="414"/>
      <c r="Q210" s="419">
        <f>ROUND(+N210+O210+P210,4)</f>
        <v>0</v>
      </c>
      <c r="R210" s="419">
        <f>ROUND(IF(+Q210-H210&lt;=0,0,Q210-H210),4)</f>
        <v>0</v>
      </c>
      <c r="S210" s="423">
        <v>0.5</v>
      </c>
      <c r="T210" s="419">
        <f>ROUND(+(R210*C210)*S210,4)</f>
        <v>0</v>
      </c>
      <c r="U210" s="419">
        <f>ROUND(+J210+M210+T210,4)</f>
        <v>0</v>
      </c>
      <c r="V210" s="235"/>
    </row>
    <row r="211" spans="1:22" ht="15.75" x14ac:dyDescent="0.25">
      <c r="A211" s="231"/>
      <c r="B211" s="232"/>
      <c r="C211" s="400"/>
      <c r="D211" s="233"/>
      <c r="E211" s="405"/>
      <c r="F211" s="405"/>
      <c r="G211" s="405"/>
      <c r="H211" s="408">
        <f>ROUND(+E211+F211+G211,4)</f>
        <v>0</v>
      </c>
      <c r="I211" s="234"/>
      <c r="J211" s="411"/>
      <c r="K211" s="411"/>
      <c r="L211" s="414">
        <v>0.1</v>
      </c>
      <c r="M211" s="414">
        <f>ROUND(+L211*C211,4)</f>
        <v>0</v>
      </c>
      <c r="N211" s="414"/>
      <c r="O211" s="414"/>
      <c r="P211" s="414"/>
      <c r="Q211" s="419">
        <f>ROUND(+N211+O211+P211,4)</f>
        <v>0</v>
      </c>
      <c r="R211" s="419">
        <f>ROUND(IF(+Q211-H211&lt;=0,0,Q211-H211),4)</f>
        <v>0</v>
      </c>
      <c r="S211" s="423">
        <v>0.5</v>
      </c>
      <c r="T211" s="419">
        <f>ROUND(+(R211*C211)*S211,4)</f>
        <v>0</v>
      </c>
      <c r="U211" s="419">
        <f>ROUND(+J211+M211+T211,4)</f>
        <v>0</v>
      </c>
      <c r="V211" s="235"/>
    </row>
    <row r="212" spans="1:22" ht="15.75" x14ac:dyDescent="0.25">
      <c r="A212" s="231"/>
      <c r="B212" s="232"/>
      <c r="C212" s="400"/>
      <c r="D212" s="233"/>
      <c r="E212" s="405"/>
      <c r="F212" s="405"/>
      <c r="G212" s="405"/>
      <c r="H212" s="408">
        <f>ROUND(+E212+F212+G212,4)</f>
        <v>0</v>
      </c>
      <c r="I212" s="234"/>
      <c r="J212" s="411"/>
      <c r="K212" s="411"/>
      <c r="L212" s="414">
        <v>0.1</v>
      </c>
      <c r="M212" s="414">
        <f>ROUND(+L212*C212,4)</f>
        <v>0</v>
      </c>
      <c r="N212" s="414"/>
      <c r="O212" s="414"/>
      <c r="P212" s="414"/>
      <c r="Q212" s="419">
        <f>ROUND(+N212+O212+P212,4)</f>
        <v>0</v>
      </c>
      <c r="R212" s="419">
        <f>ROUND(IF(+Q212-H212&lt;=0,0,Q212-H212),4)</f>
        <v>0</v>
      </c>
      <c r="S212" s="423">
        <v>0.5</v>
      </c>
      <c r="T212" s="419">
        <f>ROUND(+(R212*C212)*S212,4)</f>
        <v>0</v>
      </c>
      <c r="U212" s="419">
        <f>ROUND(+J212+M212+T212,4)</f>
        <v>0</v>
      </c>
      <c r="V212" s="235"/>
    </row>
    <row r="213" spans="1:22" ht="15.75" x14ac:dyDescent="0.25">
      <c r="A213" s="231"/>
      <c r="B213" s="232"/>
      <c r="C213" s="400"/>
      <c r="D213" s="233"/>
      <c r="E213" s="405"/>
      <c r="F213" s="405"/>
      <c r="G213" s="405"/>
      <c r="H213" s="408">
        <f>ROUND(+E213+F213+G213,4)</f>
        <v>0</v>
      </c>
      <c r="I213" s="234"/>
      <c r="J213" s="411"/>
      <c r="K213" s="411"/>
      <c r="L213" s="414">
        <v>0.1</v>
      </c>
      <c r="M213" s="414">
        <f>ROUND(+L213*C213,4)</f>
        <v>0</v>
      </c>
      <c r="N213" s="414"/>
      <c r="O213" s="414"/>
      <c r="P213" s="414"/>
      <c r="Q213" s="419">
        <f>ROUND(+N213+O213+P213,4)</f>
        <v>0</v>
      </c>
      <c r="R213" s="419">
        <f>ROUND(IF(+Q213-H213&lt;=0,0,Q213-H213),4)</f>
        <v>0</v>
      </c>
      <c r="S213" s="423">
        <v>0.5</v>
      </c>
      <c r="T213" s="419">
        <f>ROUND(+(R213*C213)*S213,4)</f>
        <v>0</v>
      </c>
      <c r="U213" s="419">
        <f>ROUND(+J213+M213+T213,4)</f>
        <v>0</v>
      </c>
      <c r="V213" s="235"/>
    </row>
    <row r="214" spans="1:22" ht="15.75" x14ac:dyDescent="0.25">
      <c r="A214" s="231"/>
      <c r="B214" s="232"/>
      <c r="C214" s="400"/>
      <c r="D214" s="233"/>
      <c r="E214" s="405"/>
      <c r="F214" s="405"/>
      <c r="G214" s="405"/>
      <c r="H214" s="408">
        <f>ROUND(+E214+F214+G214,4)</f>
        <v>0</v>
      </c>
      <c r="I214" s="234"/>
      <c r="J214" s="411"/>
      <c r="K214" s="411"/>
      <c r="L214" s="414">
        <v>0.1</v>
      </c>
      <c r="M214" s="414">
        <f>ROUND(+L214*C214,4)</f>
        <v>0</v>
      </c>
      <c r="N214" s="414"/>
      <c r="O214" s="414"/>
      <c r="P214" s="414"/>
      <c r="Q214" s="419">
        <f>ROUND(+N214+O214+P214,4)</f>
        <v>0</v>
      </c>
      <c r="R214" s="419">
        <f>ROUND(IF(+Q214-H214&lt;=0,0,Q214-H214),4)</f>
        <v>0</v>
      </c>
      <c r="S214" s="423">
        <v>0.5</v>
      </c>
      <c r="T214" s="419">
        <f>ROUND(+(R214*C214)*S214,4)</f>
        <v>0</v>
      </c>
      <c r="U214" s="419">
        <f>ROUND(+J214+M214+T214,4)</f>
        <v>0</v>
      </c>
      <c r="V214" s="235"/>
    </row>
    <row r="215" spans="1:22" ht="15.75" x14ac:dyDescent="0.25">
      <c r="A215" s="231"/>
      <c r="B215" s="232"/>
      <c r="C215" s="400"/>
      <c r="D215" s="233"/>
      <c r="E215" s="405"/>
      <c r="F215" s="405"/>
      <c r="G215" s="405"/>
      <c r="H215" s="408">
        <f>ROUND(+E215+F215+G215,4)</f>
        <v>0</v>
      </c>
      <c r="I215" s="234"/>
      <c r="J215" s="411"/>
      <c r="K215" s="411"/>
      <c r="L215" s="414">
        <v>0.1</v>
      </c>
      <c r="M215" s="414">
        <f>ROUND(+L215*C215,4)</f>
        <v>0</v>
      </c>
      <c r="N215" s="414"/>
      <c r="O215" s="414"/>
      <c r="P215" s="414"/>
      <c r="Q215" s="419">
        <f>ROUND(+N215+O215+P215,4)</f>
        <v>0</v>
      </c>
      <c r="R215" s="419">
        <f>ROUND(IF(+Q215-H215&lt;=0,0,Q215-H215),4)</f>
        <v>0</v>
      </c>
      <c r="S215" s="423">
        <v>0.5</v>
      </c>
      <c r="T215" s="419">
        <f>ROUND(+(R215*C215)*S215,4)</f>
        <v>0</v>
      </c>
      <c r="U215" s="419">
        <f>ROUND(+J215+M215+T215,4)</f>
        <v>0</v>
      </c>
      <c r="V215" s="235"/>
    </row>
    <row r="216" spans="1:22" ht="15.75" x14ac:dyDescent="0.25">
      <c r="A216" s="231"/>
      <c r="B216" s="232"/>
      <c r="C216" s="400"/>
      <c r="D216" s="233"/>
      <c r="E216" s="405"/>
      <c r="F216" s="405"/>
      <c r="G216" s="405"/>
      <c r="H216" s="408">
        <f>ROUND(+E216+F216+G216,4)</f>
        <v>0</v>
      </c>
      <c r="I216" s="234"/>
      <c r="J216" s="411"/>
      <c r="K216" s="411"/>
      <c r="L216" s="414">
        <v>0.1</v>
      </c>
      <c r="M216" s="414">
        <f>ROUND(+L216*C216,4)</f>
        <v>0</v>
      </c>
      <c r="N216" s="414"/>
      <c r="O216" s="414"/>
      <c r="P216" s="414"/>
      <c r="Q216" s="419">
        <f>ROUND(+N216+O216+P216,4)</f>
        <v>0</v>
      </c>
      <c r="R216" s="419">
        <f>ROUND(IF(+Q216-H216&lt;=0,0,Q216-H216),4)</f>
        <v>0</v>
      </c>
      <c r="S216" s="423">
        <v>0.5</v>
      </c>
      <c r="T216" s="419">
        <f>ROUND(+(R216*C216)*S216,4)</f>
        <v>0</v>
      </c>
      <c r="U216" s="419">
        <f>ROUND(+J216+M216+T216,4)</f>
        <v>0</v>
      </c>
      <c r="V216" s="235"/>
    </row>
    <row r="217" spans="1:22" ht="15.75" x14ac:dyDescent="0.25">
      <c r="A217" s="231"/>
      <c r="B217" s="232"/>
      <c r="C217" s="400"/>
      <c r="D217" s="233"/>
      <c r="E217" s="405"/>
      <c r="F217" s="405"/>
      <c r="G217" s="405"/>
      <c r="H217" s="408">
        <f>ROUND(+E217+F217+G217,4)</f>
        <v>0</v>
      </c>
      <c r="I217" s="234"/>
      <c r="J217" s="411"/>
      <c r="K217" s="411"/>
      <c r="L217" s="414">
        <v>0.1</v>
      </c>
      <c r="M217" s="414">
        <f>ROUND(+L217*C217,4)</f>
        <v>0</v>
      </c>
      <c r="N217" s="414"/>
      <c r="O217" s="414"/>
      <c r="P217" s="414"/>
      <c r="Q217" s="419">
        <f>ROUND(+N217+O217+P217,4)</f>
        <v>0</v>
      </c>
      <c r="R217" s="419">
        <f>ROUND(IF(+Q217-H217&lt;=0,0,Q217-H217),4)</f>
        <v>0</v>
      </c>
      <c r="S217" s="423">
        <v>0.5</v>
      </c>
      <c r="T217" s="419">
        <f>ROUND(+(R217*C217)*S217,4)</f>
        <v>0</v>
      </c>
      <c r="U217" s="419">
        <f>ROUND(+J217+M217+T217,4)</f>
        <v>0</v>
      </c>
      <c r="V217" s="235"/>
    </row>
    <row r="218" spans="1:22" ht="15.75" x14ac:dyDescent="0.25">
      <c r="A218" s="231"/>
      <c r="B218" s="232"/>
      <c r="C218" s="400"/>
      <c r="D218" s="233"/>
      <c r="E218" s="405"/>
      <c r="F218" s="405"/>
      <c r="G218" s="405"/>
      <c r="H218" s="408">
        <f>ROUND(+E218+F218+G218,4)</f>
        <v>0</v>
      </c>
      <c r="I218" s="234"/>
      <c r="J218" s="411"/>
      <c r="K218" s="411"/>
      <c r="L218" s="414">
        <v>0.1</v>
      </c>
      <c r="M218" s="414">
        <f>ROUND(+L218*C218,4)</f>
        <v>0</v>
      </c>
      <c r="N218" s="414"/>
      <c r="O218" s="414"/>
      <c r="P218" s="414"/>
      <c r="Q218" s="419">
        <f>ROUND(+N218+O218+P218,4)</f>
        <v>0</v>
      </c>
      <c r="R218" s="419">
        <f>ROUND(IF(+Q218-H218&lt;=0,0,Q218-H218),4)</f>
        <v>0</v>
      </c>
      <c r="S218" s="423">
        <v>0.5</v>
      </c>
      <c r="T218" s="419">
        <f>ROUND(+(R218*C218)*S218,4)</f>
        <v>0</v>
      </c>
      <c r="U218" s="419">
        <f>ROUND(+J218+M218+T218,4)</f>
        <v>0</v>
      </c>
      <c r="V218" s="235"/>
    </row>
    <row r="219" spans="1:22" ht="15.75" x14ac:dyDescent="0.25">
      <c r="A219" s="231"/>
      <c r="B219" s="232"/>
      <c r="C219" s="400"/>
      <c r="D219" s="233"/>
      <c r="E219" s="405"/>
      <c r="F219" s="405"/>
      <c r="G219" s="405"/>
      <c r="H219" s="408">
        <f>ROUND(+E219+F219+G219,4)</f>
        <v>0</v>
      </c>
      <c r="I219" s="234"/>
      <c r="J219" s="411"/>
      <c r="K219" s="411"/>
      <c r="L219" s="414">
        <v>0.1</v>
      </c>
      <c r="M219" s="414">
        <f>ROUND(+L219*C219,4)</f>
        <v>0</v>
      </c>
      <c r="N219" s="414"/>
      <c r="O219" s="414"/>
      <c r="P219" s="414"/>
      <c r="Q219" s="419">
        <f>ROUND(+N219+O219+P219,4)</f>
        <v>0</v>
      </c>
      <c r="R219" s="419">
        <f>ROUND(IF(+Q219-H219&lt;=0,0,Q219-H219),4)</f>
        <v>0</v>
      </c>
      <c r="S219" s="423">
        <v>0.5</v>
      </c>
      <c r="T219" s="419">
        <f>ROUND(+(R219*C219)*S219,4)</f>
        <v>0</v>
      </c>
      <c r="U219" s="419">
        <f>ROUND(+J219+M219+T219,4)</f>
        <v>0</v>
      </c>
      <c r="V219" s="235"/>
    </row>
    <row r="220" spans="1:22" ht="15.75" x14ac:dyDescent="0.25">
      <c r="A220" s="231"/>
      <c r="B220" s="232"/>
      <c r="C220" s="400"/>
      <c r="D220" s="233"/>
      <c r="E220" s="405"/>
      <c r="F220" s="405"/>
      <c r="G220" s="405"/>
      <c r="H220" s="408">
        <f>ROUND(+E220+F220+G220,4)</f>
        <v>0</v>
      </c>
      <c r="I220" s="234"/>
      <c r="J220" s="411"/>
      <c r="K220" s="411"/>
      <c r="L220" s="414">
        <v>0.1</v>
      </c>
      <c r="M220" s="414">
        <f>ROUND(+L220*C220,4)</f>
        <v>0</v>
      </c>
      <c r="N220" s="414"/>
      <c r="O220" s="414"/>
      <c r="P220" s="414"/>
      <c r="Q220" s="419">
        <f>ROUND(+N220+O220+P220,4)</f>
        <v>0</v>
      </c>
      <c r="R220" s="419">
        <f>ROUND(IF(+Q220-H220&lt;=0,0,Q220-H220),4)</f>
        <v>0</v>
      </c>
      <c r="S220" s="423">
        <v>0.5</v>
      </c>
      <c r="T220" s="419">
        <f>ROUND(+(R220*C220)*S220,4)</f>
        <v>0</v>
      </c>
      <c r="U220" s="419">
        <f>ROUND(+J220+M220+T220,4)</f>
        <v>0</v>
      </c>
      <c r="V220" s="235"/>
    </row>
    <row r="221" spans="1:22" ht="15.75" x14ac:dyDescent="0.25">
      <c r="A221" s="231"/>
      <c r="B221" s="232"/>
      <c r="C221" s="400"/>
      <c r="D221" s="233"/>
      <c r="E221" s="405"/>
      <c r="F221" s="405"/>
      <c r="G221" s="405"/>
      <c r="H221" s="408">
        <f>ROUND(+E221+F221+G221,4)</f>
        <v>0</v>
      </c>
      <c r="I221" s="234"/>
      <c r="J221" s="411"/>
      <c r="K221" s="411"/>
      <c r="L221" s="414">
        <v>0.1</v>
      </c>
      <c r="M221" s="414">
        <f>ROUND(+L221*C221,4)</f>
        <v>0</v>
      </c>
      <c r="N221" s="414"/>
      <c r="O221" s="414"/>
      <c r="P221" s="414"/>
      <c r="Q221" s="419">
        <f>ROUND(+N221+O221+P221,4)</f>
        <v>0</v>
      </c>
      <c r="R221" s="419">
        <f>ROUND(IF(+Q221-H221&lt;=0,0,Q221-H221),4)</f>
        <v>0</v>
      </c>
      <c r="S221" s="423">
        <v>0.5</v>
      </c>
      <c r="T221" s="419">
        <f>ROUND(+(R221*C221)*S221,4)</f>
        <v>0</v>
      </c>
      <c r="U221" s="419">
        <f>ROUND(+J221+M221+T221,4)</f>
        <v>0</v>
      </c>
      <c r="V221" s="235"/>
    </row>
    <row r="222" spans="1:22" ht="15.75" x14ac:dyDescent="0.25">
      <c r="A222" s="231"/>
      <c r="B222" s="232"/>
      <c r="C222" s="400"/>
      <c r="D222" s="233"/>
      <c r="E222" s="405"/>
      <c r="F222" s="405"/>
      <c r="G222" s="405"/>
      <c r="H222" s="408">
        <f>ROUND(+E222+F222+G222,4)</f>
        <v>0</v>
      </c>
      <c r="I222" s="234"/>
      <c r="J222" s="411"/>
      <c r="K222" s="411"/>
      <c r="L222" s="414">
        <v>0.1</v>
      </c>
      <c r="M222" s="414">
        <f>ROUND(+L222*C222,4)</f>
        <v>0</v>
      </c>
      <c r="N222" s="414"/>
      <c r="O222" s="414"/>
      <c r="P222" s="414"/>
      <c r="Q222" s="419">
        <f>ROUND(+N222+O222+P222,4)</f>
        <v>0</v>
      </c>
      <c r="R222" s="419">
        <f>ROUND(IF(+Q222-H222&lt;=0,0,Q222-H222),4)</f>
        <v>0</v>
      </c>
      <c r="S222" s="423">
        <v>0.5</v>
      </c>
      <c r="T222" s="419">
        <f>ROUND(+(R222*C222)*S222,4)</f>
        <v>0</v>
      </c>
      <c r="U222" s="419">
        <f>ROUND(+J222+M222+T222,4)</f>
        <v>0</v>
      </c>
      <c r="V222" s="235"/>
    </row>
    <row r="223" spans="1:22" ht="15.75" x14ac:dyDescent="0.25">
      <c r="A223" s="231"/>
      <c r="B223" s="232"/>
      <c r="C223" s="400"/>
      <c r="D223" s="233"/>
      <c r="E223" s="405"/>
      <c r="F223" s="405"/>
      <c r="G223" s="405"/>
      <c r="H223" s="408">
        <f>ROUND(+E223+F223+G223,4)</f>
        <v>0</v>
      </c>
      <c r="I223" s="234"/>
      <c r="J223" s="411"/>
      <c r="K223" s="411"/>
      <c r="L223" s="414">
        <v>0.1</v>
      </c>
      <c r="M223" s="414">
        <f>ROUND(+L223*C223,4)</f>
        <v>0</v>
      </c>
      <c r="N223" s="414"/>
      <c r="O223" s="414"/>
      <c r="P223" s="414"/>
      <c r="Q223" s="419">
        <f>ROUND(+N223+O223+P223,4)</f>
        <v>0</v>
      </c>
      <c r="R223" s="419">
        <f>ROUND(IF(+Q223-H223&lt;=0,0,Q223-H223),4)</f>
        <v>0</v>
      </c>
      <c r="S223" s="423">
        <v>0.5</v>
      </c>
      <c r="T223" s="419">
        <f>ROUND(+(R223*C223)*S223,4)</f>
        <v>0</v>
      </c>
      <c r="U223" s="419">
        <f>ROUND(+J223+M223+T223,4)</f>
        <v>0</v>
      </c>
      <c r="V223" s="235"/>
    </row>
    <row r="224" spans="1:22" ht="15.75" x14ac:dyDescent="0.25">
      <c r="A224" s="231"/>
      <c r="B224" s="232"/>
      <c r="C224" s="400"/>
      <c r="D224" s="233"/>
      <c r="E224" s="405"/>
      <c r="F224" s="405"/>
      <c r="G224" s="405"/>
      <c r="H224" s="408">
        <f>ROUND(+E224+F224+G224,4)</f>
        <v>0</v>
      </c>
      <c r="I224" s="234"/>
      <c r="J224" s="411"/>
      <c r="K224" s="411"/>
      <c r="L224" s="414">
        <v>0.1</v>
      </c>
      <c r="M224" s="414">
        <f>ROUND(+L224*C224,4)</f>
        <v>0</v>
      </c>
      <c r="N224" s="414"/>
      <c r="O224" s="414"/>
      <c r="P224" s="414"/>
      <c r="Q224" s="419">
        <f>ROUND(+N224+O224+P224,4)</f>
        <v>0</v>
      </c>
      <c r="R224" s="419">
        <f>ROUND(IF(+Q224-H224&lt;=0,0,Q224-H224),4)</f>
        <v>0</v>
      </c>
      <c r="S224" s="423">
        <v>0.5</v>
      </c>
      <c r="T224" s="419">
        <f>ROUND(+(R224*C224)*S224,4)</f>
        <v>0</v>
      </c>
      <c r="U224" s="419">
        <f>ROUND(+J224+M224+T224,4)</f>
        <v>0</v>
      </c>
      <c r="V224" s="235"/>
    </row>
    <row r="225" spans="1:22" ht="15.75" x14ac:dyDescent="0.25">
      <c r="A225" s="231"/>
      <c r="B225" s="232"/>
      <c r="C225" s="400"/>
      <c r="D225" s="233"/>
      <c r="E225" s="405"/>
      <c r="F225" s="405"/>
      <c r="G225" s="405"/>
      <c r="H225" s="408">
        <f>ROUND(+E225+F225+G225,4)</f>
        <v>0</v>
      </c>
      <c r="I225" s="234"/>
      <c r="J225" s="411"/>
      <c r="K225" s="411"/>
      <c r="L225" s="414">
        <v>0.1</v>
      </c>
      <c r="M225" s="414">
        <f>ROUND(+L225*C225,4)</f>
        <v>0</v>
      </c>
      <c r="N225" s="414"/>
      <c r="O225" s="414"/>
      <c r="P225" s="414"/>
      <c r="Q225" s="419">
        <f>ROUND(+N225+O225+P225,4)</f>
        <v>0</v>
      </c>
      <c r="R225" s="419">
        <f>ROUND(IF(+Q225-H225&lt;=0,0,Q225-H225),4)</f>
        <v>0</v>
      </c>
      <c r="S225" s="423">
        <v>0.5</v>
      </c>
      <c r="T225" s="419">
        <f>ROUND(+(R225*C225)*S225,4)</f>
        <v>0</v>
      </c>
      <c r="U225" s="419">
        <f>ROUND(+J225+M225+T225,4)</f>
        <v>0</v>
      </c>
      <c r="V225" s="235"/>
    </row>
    <row r="226" spans="1:22" ht="15.75" x14ac:dyDescent="0.25">
      <c r="A226" s="231"/>
      <c r="B226" s="232"/>
      <c r="C226" s="400"/>
      <c r="D226" s="233"/>
      <c r="E226" s="405"/>
      <c r="F226" s="405"/>
      <c r="G226" s="405"/>
      <c r="H226" s="408">
        <f>ROUND(+E226+F226+G226,4)</f>
        <v>0</v>
      </c>
      <c r="I226" s="234"/>
      <c r="J226" s="411"/>
      <c r="K226" s="411"/>
      <c r="L226" s="414">
        <v>0.1</v>
      </c>
      <c r="M226" s="414">
        <f>ROUND(+L226*C226,4)</f>
        <v>0</v>
      </c>
      <c r="N226" s="414"/>
      <c r="O226" s="414"/>
      <c r="P226" s="414"/>
      <c r="Q226" s="419">
        <f>ROUND(+N226+O226+P226,4)</f>
        <v>0</v>
      </c>
      <c r="R226" s="419">
        <f>ROUND(IF(+Q226-H226&lt;=0,0,Q226-H226),4)</f>
        <v>0</v>
      </c>
      <c r="S226" s="423">
        <v>0.5</v>
      </c>
      <c r="T226" s="419">
        <f>ROUND(+(R226*C226)*S226,4)</f>
        <v>0</v>
      </c>
      <c r="U226" s="419">
        <f>ROUND(+J226+M226+T226,4)</f>
        <v>0</v>
      </c>
      <c r="V226" s="235"/>
    </row>
    <row r="227" spans="1:22" ht="15.75" x14ac:dyDescent="0.25">
      <c r="A227" s="231"/>
      <c r="B227" s="232"/>
      <c r="C227" s="400"/>
      <c r="D227" s="233"/>
      <c r="E227" s="405"/>
      <c r="F227" s="405"/>
      <c r="G227" s="405"/>
      <c r="H227" s="408">
        <f>ROUND(+E227+F227+G227,4)</f>
        <v>0</v>
      </c>
      <c r="I227" s="234"/>
      <c r="J227" s="411"/>
      <c r="K227" s="411"/>
      <c r="L227" s="414">
        <v>0.1</v>
      </c>
      <c r="M227" s="414">
        <f>ROUND(+L227*C227,4)</f>
        <v>0</v>
      </c>
      <c r="N227" s="414"/>
      <c r="O227" s="414"/>
      <c r="P227" s="414"/>
      <c r="Q227" s="419">
        <f>ROUND(+N227+O227+P227,4)</f>
        <v>0</v>
      </c>
      <c r="R227" s="419">
        <f>ROUND(IF(+Q227-H227&lt;=0,0,Q227-H227),4)</f>
        <v>0</v>
      </c>
      <c r="S227" s="423">
        <v>0.5</v>
      </c>
      <c r="T227" s="419">
        <f>ROUND(+(R227*C227)*S227,4)</f>
        <v>0</v>
      </c>
      <c r="U227" s="419">
        <f>ROUND(+J227+M227+T227,4)</f>
        <v>0</v>
      </c>
      <c r="V227" s="235"/>
    </row>
    <row r="228" spans="1:22" ht="15.75" x14ac:dyDescent="0.25">
      <c r="A228" s="231"/>
      <c r="B228" s="232"/>
      <c r="C228" s="400"/>
      <c r="D228" s="233"/>
      <c r="E228" s="405"/>
      <c r="F228" s="405"/>
      <c r="G228" s="405"/>
      <c r="H228" s="408">
        <f>ROUND(+E228+F228+G228,4)</f>
        <v>0</v>
      </c>
      <c r="I228" s="234"/>
      <c r="J228" s="411"/>
      <c r="K228" s="411"/>
      <c r="L228" s="414">
        <v>0.1</v>
      </c>
      <c r="M228" s="414">
        <f>ROUND(+L228*C228,4)</f>
        <v>0</v>
      </c>
      <c r="N228" s="414"/>
      <c r="O228" s="414"/>
      <c r="P228" s="414"/>
      <c r="Q228" s="419">
        <f>ROUND(+N228+O228+P228,4)</f>
        <v>0</v>
      </c>
      <c r="R228" s="419">
        <f>ROUND(IF(+Q228-H228&lt;=0,0,Q228-H228),4)</f>
        <v>0</v>
      </c>
      <c r="S228" s="423">
        <v>0.5</v>
      </c>
      <c r="T228" s="419">
        <f>ROUND(+(R228*C228)*S228,4)</f>
        <v>0</v>
      </c>
      <c r="U228" s="419">
        <f>ROUND(+J228+M228+T228,4)</f>
        <v>0</v>
      </c>
      <c r="V228" s="235"/>
    </row>
    <row r="229" spans="1:22" ht="15.75" x14ac:dyDescent="0.25">
      <c r="A229" s="231"/>
      <c r="B229" s="232"/>
      <c r="C229" s="400"/>
      <c r="D229" s="233"/>
      <c r="E229" s="405"/>
      <c r="F229" s="405"/>
      <c r="G229" s="405"/>
      <c r="H229" s="408">
        <f>ROUND(+E229+F229+G229,4)</f>
        <v>0</v>
      </c>
      <c r="I229" s="234"/>
      <c r="J229" s="411"/>
      <c r="K229" s="411"/>
      <c r="L229" s="414">
        <v>0.1</v>
      </c>
      <c r="M229" s="414">
        <f>ROUND(+L229*C229,4)</f>
        <v>0</v>
      </c>
      <c r="N229" s="414"/>
      <c r="O229" s="414"/>
      <c r="P229" s="414"/>
      <c r="Q229" s="419">
        <f>ROUND(+N229+O229+P229,4)</f>
        <v>0</v>
      </c>
      <c r="R229" s="419">
        <f>ROUND(IF(+Q229-H229&lt;=0,0,Q229-H229),4)</f>
        <v>0</v>
      </c>
      <c r="S229" s="423">
        <v>0.5</v>
      </c>
      <c r="T229" s="419">
        <f>ROUND(+(R229*C229)*S229,4)</f>
        <v>0</v>
      </c>
      <c r="U229" s="419">
        <f>ROUND(+J229+M229+T229,4)</f>
        <v>0</v>
      </c>
      <c r="V229" s="235"/>
    </row>
    <row r="230" spans="1:22" ht="15.75" x14ac:dyDescent="0.25">
      <c r="A230" s="231"/>
      <c r="B230" s="232"/>
      <c r="C230" s="400"/>
      <c r="D230" s="233"/>
      <c r="E230" s="405"/>
      <c r="F230" s="405"/>
      <c r="G230" s="405"/>
      <c r="H230" s="408">
        <f>ROUND(+E230+F230+G230,4)</f>
        <v>0</v>
      </c>
      <c r="I230" s="234"/>
      <c r="J230" s="411"/>
      <c r="K230" s="411"/>
      <c r="L230" s="414">
        <v>0.1</v>
      </c>
      <c r="M230" s="414">
        <f>ROUND(+L230*C230,4)</f>
        <v>0</v>
      </c>
      <c r="N230" s="414"/>
      <c r="O230" s="414"/>
      <c r="P230" s="414"/>
      <c r="Q230" s="419">
        <f>ROUND(+N230+O230+P230,4)</f>
        <v>0</v>
      </c>
      <c r="R230" s="419">
        <f>ROUND(IF(+Q230-H230&lt;=0,0,Q230-H230),4)</f>
        <v>0</v>
      </c>
      <c r="S230" s="423">
        <v>0.5</v>
      </c>
      <c r="T230" s="419">
        <f>ROUND(+(R230*C230)*S230,4)</f>
        <v>0</v>
      </c>
      <c r="U230" s="419">
        <f>ROUND(+J230+M230+T230,4)</f>
        <v>0</v>
      </c>
      <c r="V230" s="235"/>
    </row>
    <row r="231" spans="1:22" ht="15.75" x14ac:dyDescent="0.25">
      <c r="A231" s="231"/>
      <c r="B231" s="232"/>
      <c r="C231" s="400"/>
      <c r="D231" s="233"/>
      <c r="E231" s="405"/>
      <c r="F231" s="405"/>
      <c r="G231" s="405"/>
      <c r="H231" s="408">
        <f>ROUND(+E231+F231+G231,4)</f>
        <v>0</v>
      </c>
      <c r="I231" s="234"/>
      <c r="J231" s="411"/>
      <c r="K231" s="411"/>
      <c r="L231" s="414">
        <v>0.1</v>
      </c>
      <c r="M231" s="414">
        <f>ROUND(+L231*C231,4)</f>
        <v>0</v>
      </c>
      <c r="N231" s="414"/>
      <c r="O231" s="414"/>
      <c r="P231" s="414"/>
      <c r="Q231" s="419">
        <f>ROUND(+N231+O231+P231,4)</f>
        <v>0</v>
      </c>
      <c r="R231" s="419">
        <f>ROUND(IF(+Q231-H231&lt;=0,0,Q231-H231),4)</f>
        <v>0</v>
      </c>
      <c r="S231" s="423">
        <v>0.5</v>
      </c>
      <c r="T231" s="419">
        <f>ROUND(+(R231*C231)*S231,4)</f>
        <v>0</v>
      </c>
      <c r="U231" s="419">
        <f>ROUND(+J231+M231+T231,4)</f>
        <v>0</v>
      </c>
      <c r="V231" s="235"/>
    </row>
    <row r="232" spans="1:22" ht="15.75" x14ac:dyDescent="0.25">
      <c r="A232" s="231"/>
      <c r="B232" s="232"/>
      <c r="C232" s="400"/>
      <c r="D232" s="233"/>
      <c r="E232" s="405"/>
      <c r="F232" s="405"/>
      <c r="G232" s="405"/>
      <c r="H232" s="408">
        <f>ROUND(+E232+F232+G232,4)</f>
        <v>0</v>
      </c>
      <c r="I232" s="234"/>
      <c r="J232" s="411"/>
      <c r="K232" s="411"/>
      <c r="L232" s="414">
        <v>0.1</v>
      </c>
      <c r="M232" s="414">
        <f>ROUND(+L232*C232,4)</f>
        <v>0</v>
      </c>
      <c r="N232" s="414"/>
      <c r="O232" s="414"/>
      <c r="P232" s="414"/>
      <c r="Q232" s="419">
        <f>ROUND(+N232+O232+P232,4)</f>
        <v>0</v>
      </c>
      <c r="R232" s="419">
        <f>ROUND(IF(+Q232-H232&lt;=0,0,Q232-H232),4)</f>
        <v>0</v>
      </c>
      <c r="S232" s="423">
        <v>0.5</v>
      </c>
      <c r="T232" s="419">
        <f>ROUND(+(R232*C232)*S232,4)</f>
        <v>0</v>
      </c>
      <c r="U232" s="419">
        <f>ROUND(+J232+M232+T232,4)</f>
        <v>0</v>
      </c>
      <c r="V232" s="235"/>
    </row>
    <row r="233" spans="1:22" ht="15.75" x14ac:dyDescent="0.25">
      <c r="A233" s="231"/>
      <c r="B233" s="232"/>
      <c r="C233" s="400"/>
      <c r="D233" s="233"/>
      <c r="E233" s="405"/>
      <c r="F233" s="405"/>
      <c r="G233" s="405"/>
      <c r="H233" s="408">
        <f>ROUND(+E233+F233+G233,4)</f>
        <v>0</v>
      </c>
      <c r="I233" s="234"/>
      <c r="J233" s="411"/>
      <c r="K233" s="411"/>
      <c r="L233" s="414">
        <v>0.1</v>
      </c>
      <c r="M233" s="414">
        <f>ROUND(+L233*C233,4)</f>
        <v>0</v>
      </c>
      <c r="N233" s="414"/>
      <c r="O233" s="414"/>
      <c r="P233" s="414"/>
      <c r="Q233" s="419">
        <f>ROUND(+N233+O233+P233,4)</f>
        <v>0</v>
      </c>
      <c r="R233" s="419">
        <f>ROUND(IF(+Q233-H233&lt;=0,0,Q233-H233),4)</f>
        <v>0</v>
      </c>
      <c r="S233" s="423">
        <v>0.5</v>
      </c>
      <c r="T233" s="419">
        <f>ROUND(+(R233*C233)*S233,4)</f>
        <v>0</v>
      </c>
      <c r="U233" s="419">
        <f>ROUND(+J233+M233+T233,4)</f>
        <v>0</v>
      </c>
      <c r="V233" s="235"/>
    </row>
    <row r="234" spans="1:22" ht="15.75" x14ac:dyDescent="0.25">
      <c r="A234" s="231"/>
      <c r="B234" s="232"/>
      <c r="C234" s="400"/>
      <c r="D234" s="233"/>
      <c r="E234" s="405"/>
      <c r="F234" s="405"/>
      <c r="G234" s="405"/>
      <c r="H234" s="408">
        <f>ROUND(+E234+F234+G234,4)</f>
        <v>0</v>
      </c>
      <c r="I234" s="234"/>
      <c r="J234" s="411"/>
      <c r="K234" s="411"/>
      <c r="L234" s="414">
        <v>0.1</v>
      </c>
      <c r="M234" s="414">
        <f>ROUND(+L234*C234,4)</f>
        <v>0</v>
      </c>
      <c r="N234" s="414"/>
      <c r="O234" s="414"/>
      <c r="P234" s="414"/>
      <c r="Q234" s="419">
        <f>ROUND(+N234+O234+P234,4)</f>
        <v>0</v>
      </c>
      <c r="R234" s="419">
        <f>ROUND(IF(+Q234-H234&lt;=0,0,Q234-H234),4)</f>
        <v>0</v>
      </c>
      <c r="S234" s="423">
        <v>0.5</v>
      </c>
      <c r="T234" s="419">
        <f>ROUND(+(R234*C234)*S234,4)</f>
        <v>0</v>
      </c>
      <c r="U234" s="419">
        <f>ROUND(+J234+M234+T234,4)</f>
        <v>0</v>
      </c>
      <c r="V234" s="235"/>
    </row>
    <row r="235" spans="1:22" ht="15.75" x14ac:dyDescent="0.25">
      <c r="A235" s="231"/>
      <c r="B235" s="232"/>
      <c r="C235" s="400"/>
      <c r="D235" s="233"/>
      <c r="E235" s="405"/>
      <c r="F235" s="405"/>
      <c r="G235" s="405"/>
      <c r="H235" s="408">
        <f>ROUND(+E235+F235+G235,4)</f>
        <v>0</v>
      </c>
      <c r="I235" s="234"/>
      <c r="J235" s="411"/>
      <c r="K235" s="411"/>
      <c r="L235" s="414">
        <v>0.1</v>
      </c>
      <c r="M235" s="414">
        <f>ROUND(+L235*C235,4)</f>
        <v>0</v>
      </c>
      <c r="N235" s="414"/>
      <c r="O235" s="414"/>
      <c r="P235" s="414"/>
      <c r="Q235" s="419">
        <f>ROUND(+N235+O235+P235,4)</f>
        <v>0</v>
      </c>
      <c r="R235" s="419">
        <f>ROUND(IF(+Q235-H235&lt;=0,0,Q235-H235),4)</f>
        <v>0</v>
      </c>
      <c r="S235" s="423">
        <v>0.5</v>
      </c>
      <c r="T235" s="419">
        <f>ROUND(+(R235*C235)*S235,4)</f>
        <v>0</v>
      </c>
      <c r="U235" s="419">
        <f>ROUND(+J235+M235+T235,4)</f>
        <v>0</v>
      </c>
      <c r="V235" s="235"/>
    </row>
    <row r="236" spans="1:22" ht="15.75" x14ac:dyDescent="0.25">
      <c r="A236" s="231"/>
      <c r="B236" s="232"/>
      <c r="C236" s="400"/>
      <c r="D236" s="233"/>
      <c r="E236" s="405"/>
      <c r="F236" s="405"/>
      <c r="G236" s="405"/>
      <c r="H236" s="408">
        <f>ROUND(+E236+F236+G236,4)</f>
        <v>0</v>
      </c>
      <c r="I236" s="234"/>
      <c r="J236" s="411"/>
      <c r="K236" s="411"/>
      <c r="L236" s="414">
        <v>0.1</v>
      </c>
      <c r="M236" s="414">
        <f>ROUND(+L236*C236,4)</f>
        <v>0</v>
      </c>
      <c r="N236" s="414"/>
      <c r="O236" s="414"/>
      <c r="P236" s="414"/>
      <c r="Q236" s="419">
        <f>ROUND(+N236+O236+P236,4)</f>
        <v>0</v>
      </c>
      <c r="R236" s="419">
        <f>ROUND(IF(+Q236-H236&lt;=0,0,Q236-H236),4)</f>
        <v>0</v>
      </c>
      <c r="S236" s="423">
        <v>0.5</v>
      </c>
      <c r="T236" s="419">
        <f>ROUND(+(R236*C236)*S236,4)</f>
        <v>0</v>
      </c>
      <c r="U236" s="419">
        <f>ROUND(+J236+M236+T236,4)</f>
        <v>0</v>
      </c>
      <c r="V236" s="235"/>
    </row>
    <row r="237" spans="1:22" ht="15.75" x14ac:dyDescent="0.25">
      <c r="A237" s="231"/>
      <c r="B237" s="232"/>
      <c r="C237" s="400"/>
      <c r="D237" s="233"/>
      <c r="E237" s="405"/>
      <c r="F237" s="405"/>
      <c r="G237" s="405"/>
      <c r="H237" s="408">
        <f>ROUND(+E237+F237+G237,4)</f>
        <v>0</v>
      </c>
      <c r="I237" s="234"/>
      <c r="J237" s="411"/>
      <c r="K237" s="411"/>
      <c r="L237" s="414">
        <v>0.1</v>
      </c>
      <c r="M237" s="414">
        <f>ROUND(+L237*C237,4)</f>
        <v>0</v>
      </c>
      <c r="N237" s="414"/>
      <c r="O237" s="414"/>
      <c r="P237" s="414"/>
      <c r="Q237" s="419">
        <f>ROUND(+N237+O237+P237,4)</f>
        <v>0</v>
      </c>
      <c r="R237" s="419">
        <f>ROUND(IF(+Q237-H237&lt;=0,0,Q237-H237),4)</f>
        <v>0</v>
      </c>
      <c r="S237" s="423">
        <v>0.5</v>
      </c>
      <c r="T237" s="419">
        <f>ROUND(+(R237*C237)*S237,4)</f>
        <v>0</v>
      </c>
      <c r="U237" s="419">
        <f>ROUND(+J237+M237+T237,4)</f>
        <v>0</v>
      </c>
      <c r="V237" s="235"/>
    </row>
    <row r="238" spans="1:22" ht="15.75" x14ac:dyDescent="0.25">
      <c r="A238" s="231"/>
      <c r="B238" s="232"/>
      <c r="C238" s="400"/>
      <c r="D238" s="233"/>
      <c r="E238" s="405"/>
      <c r="F238" s="405"/>
      <c r="G238" s="405"/>
      <c r="H238" s="408">
        <f>ROUND(+E238+F238+G238,4)</f>
        <v>0</v>
      </c>
      <c r="I238" s="234"/>
      <c r="J238" s="411"/>
      <c r="K238" s="411"/>
      <c r="L238" s="414">
        <v>0.1</v>
      </c>
      <c r="M238" s="414">
        <f>ROUND(+L238*C238,4)</f>
        <v>0</v>
      </c>
      <c r="N238" s="414"/>
      <c r="O238" s="414"/>
      <c r="P238" s="414"/>
      <c r="Q238" s="419">
        <f>ROUND(+N238+O238+P238,4)</f>
        <v>0</v>
      </c>
      <c r="R238" s="419">
        <f>ROUND(IF(+Q238-H238&lt;=0,0,Q238-H238),4)</f>
        <v>0</v>
      </c>
      <c r="S238" s="423">
        <v>0.5</v>
      </c>
      <c r="T238" s="419">
        <f>ROUND(+(R238*C238)*S238,4)</f>
        <v>0</v>
      </c>
      <c r="U238" s="419">
        <f>ROUND(+J238+M238+T238,4)</f>
        <v>0</v>
      </c>
      <c r="V238" s="235"/>
    </row>
    <row r="239" spans="1:22" ht="15.75" x14ac:dyDescent="0.25">
      <c r="A239" s="231"/>
      <c r="B239" s="232"/>
      <c r="C239" s="400"/>
      <c r="D239" s="233"/>
      <c r="E239" s="405"/>
      <c r="F239" s="405"/>
      <c r="G239" s="405"/>
      <c r="H239" s="408">
        <f>ROUND(+E239+F239+G239,4)</f>
        <v>0</v>
      </c>
      <c r="I239" s="234"/>
      <c r="J239" s="411"/>
      <c r="K239" s="411"/>
      <c r="L239" s="414">
        <v>0.1</v>
      </c>
      <c r="M239" s="414">
        <f>ROUND(+L239*C239,4)</f>
        <v>0</v>
      </c>
      <c r="N239" s="414"/>
      <c r="O239" s="414"/>
      <c r="P239" s="414"/>
      <c r="Q239" s="419">
        <f>ROUND(+N239+O239+P239,4)</f>
        <v>0</v>
      </c>
      <c r="R239" s="419">
        <f>ROUND(IF(+Q239-H239&lt;=0,0,Q239-H239),4)</f>
        <v>0</v>
      </c>
      <c r="S239" s="423">
        <v>0.5</v>
      </c>
      <c r="T239" s="419">
        <f>ROUND(+(R239*C239)*S239,4)</f>
        <v>0</v>
      </c>
      <c r="U239" s="419">
        <f>ROUND(+J239+M239+T239,4)</f>
        <v>0</v>
      </c>
      <c r="V239" s="235"/>
    </row>
    <row r="240" spans="1:22" ht="15.75" x14ac:dyDescent="0.25">
      <c r="A240" s="231"/>
      <c r="B240" s="232"/>
      <c r="C240" s="400"/>
      <c r="D240" s="233"/>
      <c r="E240" s="405"/>
      <c r="F240" s="405"/>
      <c r="G240" s="405"/>
      <c r="H240" s="408">
        <f>ROUND(+E240+F240+G240,4)</f>
        <v>0</v>
      </c>
      <c r="I240" s="234"/>
      <c r="J240" s="411"/>
      <c r="K240" s="411"/>
      <c r="L240" s="414">
        <v>0.1</v>
      </c>
      <c r="M240" s="414">
        <f>ROUND(+L240*C240,4)</f>
        <v>0</v>
      </c>
      <c r="N240" s="414"/>
      <c r="O240" s="414"/>
      <c r="P240" s="414"/>
      <c r="Q240" s="419">
        <f>ROUND(+N240+O240+P240,4)</f>
        <v>0</v>
      </c>
      <c r="R240" s="419">
        <f>ROUND(IF(+Q240-H240&lt;=0,0,Q240-H240),4)</f>
        <v>0</v>
      </c>
      <c r="S240" s="423">
        <v>0.5</v>
      </c>
      <c r="T240" s="419">
        <f>ROUND(+(R240*C240)*S240,4)</f>
        <v>0</v>
      </c>
      <c r="U240" s="419">
        <f>ROUND(+J240+M240+T240,4)</f>
        <v>0</v>
      </c>
      <c r="V240" s="235"/>
    </row>
    <row r="241" spans="1:22" ht="15.75" x14ac:dyDescent="0.25">
      <c r="A241" s="231"/>
      <c r="B241" s="232"/>
      <c r="C241" s="400"/>
      <c r="D241" s="233"/>
      <c r="E241" s="405"/>
      <c r="F241" s="405"/>
      <c r="G241" s="405"/>
      <c r="H241" s="408">
        <f>ROUND(+E241+F241+G241,4)</f>
        <v>0</v>
      </c>
      <c r="I241" s="234"/>
      <c r="J241" s="411"/>
      <c r="K241" s="411"/>
      <c r="L241" s="414">
        <v>0.1</v>
      </c>
      <c r="M241" s="414">
        <f>ROUND(+L241*C241,4)</f>
        <v>0</v>
      </c>
      <c r="N241" s="414"/>
      <c r="O241" s="414"/>
      <c r="P241" s="414"/>
      <c r="Q241" s="419">
        <f>ROUND(+N241+O241+P241,4)</f>
        <v>0</v>
      </c>
      <c r="R241" s="419">
        <f>ROUND(IF(+Q241-H241&lt;=0,0,Q241-H241),4)</f>
        <v>0</v>
      </c>
      <c r="S241" s="423">
        <v>0.5</v>
      </c>
      <c r="T241" s="419">
        <f>ROUND(+(R241*C241)*S241,4)</f>
        <v>0</v>
      </c>
      <c r="U241" s="419">
        <f>ROUND(+J241+M241+T241,4)</f>
        <v>0</v>
      </c>
      <c r="V241" s="235"/>
    </row>
    <row r="242" spans="1:22" ht="15.75" x14ac:dyDescent="0.25">
      <c r="A242" s="231"/>
      <c r="B242" s="232"/>
      <c r="C242" s="400"/>
      <c r="D242" s="233"/>
      <c r="E242" s="405"/>
      <c r="F242" s="405"/>
      <c r="G242" s="405"/>
      <c r="H242" s="408">
        <f>ROUND(+E242+F242+G242,4)</f>
        <v>0</v>
      </c>
      <c r="I242" s="234"/>
      <c r="J242" s="411"/>
      <c r="K242" s="411"/>
      <c r="L242" s="414">
        <v>0.1</v>
      </c>
      <c r="M242" s="414">
        <f>ROUND(+L242*C242,4)</f>
        <v>0</v>
      </c>
      <c r="N242" s="414"/>
      <c r="O242" s="414"/>
      <c r="P242" s="414"/>
      <c r="Q242" s="419">
        <f>ROUND(+N242+O242+P242,4)</f>
        <v>0</v>
      </c>
      <c r="R242" s="419">
        <f>ROUND(IF(+Q242-H242&lt;=0,0,Q242-H242),4)</f>
        <v>0</v>
      </c>
      <c r="S242" s="423">
        <v>0.5</v>
      </c>
      <c r="T242" s="419">
        <f>ROUND(+(R242*C242)*S242,4)</f>
        <v>0</v>
      </c>
      <c r="U242" s="419">
        <f>ROUND(+J242+M242+T242,4)</f>
        <v>0</v>
      </c>
      <c r="V242" s="235"/>
    </row>
    <row r="243" spans="1:22" ht="15.75" x14ac:dyDescent="0.25">
      <c r="A243" s="231"/>
      <c r="B243" s="232"/>
      <c r="C243" s="400"/>
      <c r="D243" s="233"/>
      <c r="E243" s="405"/>
      <c r="F243" s="405"/>
      <c r="G243" s="405"/>
      <c r="H243" s="408">
        <f>ROUND(+E243+F243+G243,4)</f>
        <v>0</v>
      </c>
      <c r="I243" s="234"/>
      <c r="J243" s="411"/>
      <c r="K243" s="411"/>
      <c r="L243" s="414">
        <v>0.1</v>
      </c>
      <c r="M243" s="414">
        <f>ROUND(+L243*C243,4)</f>
        <v>0</v>
      </c>
      <c r="N243" s="414"/>
      <c r="O243" s="414"/>
      <c r="P243" s="414"/>
      <c r="Q243" s="419">
        <f>ROUND(+N243+O243+P243,4)</f>
        <v>0</v>
      </c>
      <c r="R243" s="419">
        <f>ROUND(IF(+Q243-H243&lt;=0,0,Q243-H243),4)</f>
        <v>0</v>
      </c>
      <c r="S243" s="423">
        <v>0.5</v>
      </c>
      <c r="T243" s="419">
        <f>ROUND(+(R243*C243)*S243,4)</f>
        <v>0</v>
      </c>
      <c r="U243" s="419">
        <f>ROUND(+J243+M243+T243,4)</f>
        <v>0</v>
      </c>
      <c r="V243" s="235"/>
    </row>
    <row r="244" spans="1:22" ht="15.75" x14ac:dyDescent="0.25">
      <c r="A244" s="231"/>
      <c r="B244" s="232"/>
      <c r="C244" s="400"/>
      <c r="D244" s="233"/>
      <c r="E244" s="405"/>
      <c r="F244" s="405"/>
      <c r="G244" s="405"/>
      <c r="H244" s="408">
        <f>ROUND(+E244+F244+G244,4)</f>
        <v>0</v>
      </c>
      <c r="I244" s="234"/>
      <c r="J244" s="411"/>
      <c r="K244" s="411"/>
      <c r="L244" s="414">
        <v>0.1</v>
      </c>
      <c r="M244" s="414">
        <f>ROUND(+L244*C244,4)</f>
        <v>0</v>
      </c>
      <c r="N244" s="414"/>
      <c r="O244" s="414"/>
      <c r="P244" s="414"/>
      <c r="Q244" s="419">
        <f>ROUND(+N244+O244+P244,4)</f>
        <v>0</v>
      </c>
      <c r="R244" s="419">
        <f>ROUND(IF(+Q244-H244&lt;=0,0,Q244-H244),4)</f>
        <v>0</v>
      </c>
      <c r="S244" s="423">
        <v>0.5</v>
      </c>
      <c r="T244" s="419">
        <f>ROUND(+(R244*C244)*S244,4)</f>
        <v>0</v>
      </c>
      <c r="U244" s="419">
        <f>ROUND(+J244+M244+T244,4)</f>
        <v>0</v>
      </c>
      <c r="V244" s="235"/>
    </row>
    <row r="245" spans="1:22" ht="15.75" x14ac:dyDescent="0.25">
      <c r="A245" s="231"/>
      <c r="B245" s="232"/>
      <c r="C245" s="400"/>
      <c r="D245" s="233"/>
      <c r="E245" s="405"/>
      <c r="F245" s="405"/>
      <c r="G245" s="405"/>
      <c r="H245" s="408">
        <f>ROUND(+E245+F245+G245,4)</f>
        <v>0</v>
      </c>
      <c r="I245" s="234"/>
      <c r="J245" s="411"/>
      <c r="K245" s="411"/>
      <c r="L245" s="414">
        <v>0.1</v>
      </c>
      <c r="M245" s="414">
        <f>ROUND(+L245*C245,4)</f>
        <v>0</v>
      </c>
      <c r="N245" s="414"/>
      <c r="O245" s="414"/>
      <c r="P245" s="414"/>
      <c r="Q245" s="419">
        <f>ROUND(+N245+O245+P245,4)</f>
        <v>0</v>
      </c>
      <c r="R245" s="419">
        <f>ROUND(IF(+Q245-H245&lt;=0,0,Q245-H245),4)</f>
        <v>0</v>
      </c>
      <c r="S245" s="423">
        <v>0.5</v>
      </c>
      <c r="T245" s="419">
        <f>ROUND(+(R245*C245)*S245,4)</f>
        <v>0</v>
      </c>
      <c r="U245" s="419">
        <f>ROUND(+J245+M245+T245,4)</f>
        <v>0</v>
      </c>
      <c r="V245" s="235"/>
    </row>
    <row r="246" spans="1:22" ht="15.75" x14ac:dyDescent="0.25">
      <c r="A246" s="231"/>
      <c r="B246" s="232"/>
      <c r="C246" s="400"/>
      <c r="D246" s="233"/>
      <c r="E246" s="405"/>
      <c r="F246" s="405"/>
      <c r="G246" s="405"/>
      <c r="H246" s="408">
        <f>ROUND(+E246+F246+G246,4)</f>
        <v>0</v>
      </c>
      <c r="I246" s="234"/>
      <c r="J246" s="411"/>
      <c r="K246" s="411"/>
      <c r="L246" s="414">
        <v>0.1</v>
      </c>
      <c r="M246" s="414">
        <f>ROUND(+L246*C246,4)</f>
        <v>0</v>
      </c>
      <c r="N246" s="414"/>
      <c r="O246" s="414"/>
      <c r="P246" s="414"/>
      <c r="Q246" s="419">
        <f>ROUND(+N246+O246+P246,4)</f>
        <v>0</v>
      </c>
      <c r="R246" s="419">
        <f>ROUND(IF(+Q246-H246&lt;=0,0,Q246-H246),4)</f>
        <v>0</v>
      </c>
      <c r="S246" s="423">
        <v>0.5</v>
      </c>
      <c r="T246" s="419">
        <f>ROUND(+(R246*C246)*S246,4)</f>
        <v>0</v>
      </c>
      <c r="U246" s="419">
        <f>ROUND(+J246+M246+T246,4)</f>
        <v>0</v>
      </c>
      <c r="V246" s="235"/>
    </row>
    <row r="247" spans="1:22" ht="15.75" x14ac:dyDescent="0.25">
      <c r="A247" s="231"/>
      <c r="B247" s="232"/>
      <c r="C247" s="400"/>
      <c r="D247" s="233"/>
      <c r="E247" s="405"/>
      <c r="F247" s="405"/>
      <c r="G247" s="405"/>
      <c r="H247" s="408">
        <f>ROUND(+E247+F247+G247,4)</f>
        <v>0</v>
      </c>
      <c r="I247" s="234"/>
      <c r="J247" s="411"/>
      <c r="K247" s="411"/>
      <c r="L247" s="414">
        <v>0.1</v>
      </c>
      <c r="M247" s="414">
        <f>ROUND(+L247*C247,4)</f>
        <v>0</v>
      </c>
      <c r="N247" s="414"/>
      <c r="O247" s="414"/>
      <c r="P247" s="414"/>
      <c r="Q247" s="419">
        <f>ROUND(+N247+O247+P247,4)</f>
        <v>0</v>
      </c>
      <c r="R247" s="419">
        <f>ROUND(IF(+Q247-H247&lt;=0,0,Q247-H247),4)</f>
        <v>0</v>
      </c>
      <c r="S247" s="423">
        <v>0.5</v>
      </c>
      <c r="T247" s="419">
        <f>ROUND(+(R247*C247)*S247,4)</f>
        <v>0</v>
      </c>
      <c r="U247" s="419">
        <f>ROUND(+J247+M247+T247,4)</f>
        <v>0</v>
      </c>
      <c r="V247" s="235"/>
    </row>
    <row r="248" spans="1:22" ht="15.75" x14ac:dyDescent="0.25">
      <c r="A248" s="231"/>
      <c r="B248" s="232"/>
      <c r="C248" s="400"/>
      <c r="D248" s="233"/>
      <c r="E248" s="405"/>
      <c r="F248" s="405"/>
      <c r="G248" s="405"/>
      <c r="H248" s="408">
        <f>ROUND(+E248+F248+G248,4)</f>
        <v>0</v>
      </c>
      <c r="I248" s="234"/>
      <c r="J248" s="411"/>
      <c r="K248" s="411"/>
      <c r="L248" s="414">
        <v>0.1</v>
      </c>
      <c r="M248" s="414">
        <f>ROUND(+L248*C248,4)</f>
        <v>0</v>
      </c>
      <c r="N248" s="414"/>
      <c r="O248" s="414"/>
      <c r="P248" s="414"/>
      <c r="Q248" s="419">
        <f>ROUND(+N248+O248+P248,4)</f>
        <v>0</v>
      </c>
      <c r="R248" s="419">
        <f>ROUND(IF(+Q248-H248&lt;=0,0,Q248-H248),4)</f>
        <v>0</v>
      </c>
      <c r="S248" s="423">
        <v>0.5</v>
      </c>
      <c r="T248" s="419">
        <f>ROUND(+(R248*C248)*S248,4)</f>
        <v>0</v>
      </c>
      <c r="U248" s="419">
        <f>ROUND(+J248+M248+T248,4)</f>
        <v>0</v>
      </c>
      <c r="V248" s="235"/>
    </row>
    <row r="249" spans="1:22" ht="15.75" x14ac:dyDescent="0.25">
      <c r="A249" s="231"/>
      <c r="B249" s="232"/>
      <c r="C249" s="400"/>
      <c r="D249" s="233"/>
      <c r="E249" s="405"/>
      <c r="F249" s="405"/>
      <c r="G249" s="405"/>
      <c r="H249" s="408">
        <f>ROUND(+E249+F249+G249,4)</f>
        <v>0</v>
      </c>
      <c r="I249" s="234"/>
      <c r="J249" s="411"/>
      <c r="K249" s="411"/>
      <c r="L249" s="414">
        <v>0.1</v>
      </c>
      <c r="M249" s="414">
        <f>ROUND(+L249*C249,4)</f>
        <v>0</v>
      </c>
      <c r="N249" s="414"/>
      <c r="O249" s="414"/>
      <c r="P249" s="414"/>
      <c r="Q249" s="419">
        <f>ROUND(+N249+O249+P249,4)</f>
        <v>0</v>
      </c>
      <c r="R249" s="419">
        <f>ROUND(IF(+Q249-H249&lt;=0,0,Q249-H249),4)</f>
        <v>0</v>
      </c>
      <c r="S249" s="423">
        <v>0.5</v>
      </c>
      <c r="T249" s="419">
        <f>ROUND(+(R249*C249)*S249,4)</f>
        <v>0</v>
      </c>
      <c r="U249" s="419">
        <f>ROUND(+J249+M249+T249,4)</f>
        <v>0</v>
      </c>
      <c r="V249" s="235"/>
    </row>
    <row r="250" spans="1:22" ht="15.75" x14ac:dyDescent="0.25">
      <c r="A250" s="231"/>
      <c r="B250" s="232"/>
      <c r="C250" s="400"/>
      <c r="D250" s="233"/>
      <c r="E250" s="405"/>
      <c r="F250" s="405"/>
      <c r="G250" s="405"/>
      <c r="H250" s="408">
        <f>ROUND(+E250+F250+G250,4)</f>
        <v>0</v>
      </c>
      <c r="I250" s="234"/>
      <c r="J250" s="411"/>
      <c r="K250" s="411"/>
      <c r="L250" s="414">
        <v>0.1</v>
      </c>
      <c r="M250" s="414">
        <f>ROUND(+L250*C250,4)</f>
        <v>0</v>
      </c>
      <c r="N250" s="414"/>
      <c r="O250" s="414"/>
      <c r="P250" s="414"/>
      <c r="Q250" s="419">
        <f>ROUND(+N250+O250+P250,4)</f>
        <v>0</v>
      </c>
      <c r="R250" s="419">
        <f>ROUND(IF(+Q250-H250&lt;=0,0,Q250-H250),4)</f>
        <v>0</v>
      </c>
      <c r="S250" s="423">
        <v>0.5</v>
      </c>
      <c r="T250" s="419">
        <f>ROUND(+(R250*C250)*S250,4)</f>
        <v>0</v>
      </c>
      <c r="U250" s="419">
        <f>ROUND(+J250+M250+T250,4)</f>
        <v>0</v>
      </c>
      <c r="V250" s="235"/>
    </row>
    <row r="251" spans="1:22" ht="15.75" x14ac:dyDescent="0.25">
      <c r="A251" s="231"/>
      <c r="B251" s="232"/>
      <c r="C251" s="400"/>
      <c r="D251" s="233"/>
      <c r="E251" s="405"/>
      <c r="F251" s="405"/>
      <c r="G251" s="405"/>
      <c r="H251" s="408">
        <f>ROUND(+E251+F251+G251,4)</f>
        <v>0</v>
      </c>
      <c r="I251" s="234"/>
      <c r="J251" s="411"/>
      <c r="K251" s="411"/>
      <c r="L251" s="414">
        <v>0.1</v>
      </c>
      <c r="M251" s="414">
        <f>ROUND(+L251*C251,4)</f>
        <v>0</v>
      </c>
      <c r="N251" s="414"/>
      <c r="O251" s="414"/>
      <c r="P251" s="414"/>
      <c r="Q251" s="419">
        <f>ROUND(+N251+O251+P251,4)</f>
        <v>0</v>
      </c>
      <c r="R251" s="419">
        <f>ROUND(IF(+Q251-H251&lt;=0,0,Q251-H251),4)</f>
        <v>0</v>
      </c>
      <c r="S251" s="423">
        <v>0.5</v>
      </c>
      <c r="T251" s="419">
        <f>ROUND(+(R251*C251)*S251,4)</f>
        <v>0</v>
      </c>
      <c r="U251" s="419">
        <f>ROUND(+J251+M251+T251,4)</f>
        <v>0</v>
      </c>
      <c r="V251" s="235"/>
    </row>
    <row r="252" spans="1:22" ht="15.75" x14ac:dyDescent="0.25">
      <c r="A252" s="231"/>
      <c r="B252" s="232"/>
      <c r="C252" s="400"/>
      <c r="D252" s="233"/>
      <c r="E252" s="405"/>
      <c r="F252" s="405"/>
      <c r="G252" s="405"/>
      <c r="H252" s="408">
        <f>ROUND(+E252+F252+G252,4)</f>
        <v>0</v>
      </c>
      <c r="I252" s="234"/>
      <c r="J252" s="411"/>
      <c r="K252" s="411"/>
      <c r="L252" s="414">
        <v>0.1</v>
      </c>
      <c r="M252" s="414">
        <f>ROUND(+L252*C252,4)</f>
        <v>0</v>
      </c>
      <c r="N252" s="414"/>
      <c r="O252" s="414"/>
      <c r="P252" s="414"/>
      <c r="Q252" s="419">
        <f>ROUND(+N252+O252+P252,4)</f>
        <v>0</v>
      </c>
      <c r="R252" s="419">
        <f>ROUND(IF(+Q252-H252&lt;=0,0,Q252-H252),4)</f>
        <v>0</v>
      </c>
      <c r="S252" s="423">
        <v>0.5</v>
      </c>
      <c r="T252" s="419">
        <f>ROUND(+(R252*C252)*S252,4)</f>
        <v>0</v>
      </c>
      <c r="U252" s="419">
        <f>ROUND(+J252+M252+T252,4)</f>
        <v>0</v>
      </c>
      <c r="V252" s="235"/>
    </row>
    <row r="253" spans="1:22" ht="15.75" x14ac:dyDescent="0.25">
      <c r="A253" s="231"/>
      <c r="B253" s="232"/>
      <c r="C253" s="400"/>
      <c r="D253" s="233"/>
      <c r="E253" s="405"/>
      <c r="F253" s="405"/>
      <c r="G253" s="405"/>
      <c r="H253" s="408">
        <f>ROUND(+E253+F253+G253,4)</f>
        <v>0</v>
      </c>
      <c r="I253" s="234"/>
      <c r="J253" s="411"/>
      <c r="K253" s="411"/>
      <c r="L253" s="414">
        <v>0.1</v>
      </c>
      <c r="M253" s="414">
        <f>ROUND(+L253*C253,4)</f>
        <v>0</v>
      </c>
      <c r="N253" s="414"/>
      <c r="O253" s="414"/>
      <c r="P253" s="414"/>
      <c r="Q253" s="419">
        <f>ROUND(+N253+O253+P253,4)</f>
        <v>0</v>
      </c>
      <c r="R253" s="419">
        <f>ROUND(IF(+Q253-H253&lt;=0,0,Q253-H253),4)</f>
        <v>0</v>
      </c>
      <c r="S253" s="423">
        <v>0.5</v>
      </c>
      <c r="T253" s="419">
        <f>ROUND(+(R253*C253)*S253,4)</f>
        <v>0</v>
      </c>
      <c r="U253" s="419">
        <f>ROUND(+J253+M253+T253,4)</f>
        <v>0</v>
      </c>
      <c r="V253" s="235"/>
    </row>
    <row r="254" spans="1:22" ht="15.75" x14ac:dyDescent="0.25">
      <c r="A254" s="231"/>
      <c r="B254" s="232"/>
      <c r="C254" s="400"/>
      <c r="D254" s="233"/>
      <c r="E254" s="405"/>
      <c r="F254" s="405"/>
      <c r="G254" s="405"/>
      <c r="H254" s="408">
        <f>ROUND(+E254+F254+G254,4)</f>
        <v>0</v>
      </c>
      <c r="I254" s="234"/>
      <c r="J254" s="411"/>
      <c r="K254" s="411"/>
      <c r="L254" s="414">
        <v>0.1</v>
      </c>
      <c r="M254" s="414">
        <f>ROUND(+L254*C254,4)</f>
        <v>0</v>
      </c>
      <c r="N254" s="414"/>
      <c r="O254" s="414"/>
      <c r="P254" s="414"/>
      <c r="Q254" s="419">
        <f>ROUND(+N254+O254+P254,4)</f>
        <v>0</v>
      </c>
      <c r="R254" s="419">
        <f>ROUND(IF(+Q254-H254&lt;=0,0,Q254-H254),4)</f>
        <v>0</v>
      </c>
      <c r="S254" s="423">
        <v>0.5</v>
      </c>
      <c r="T254" s="419">
        <f>ROUND(+(R254*C254)*S254,4)</f>
        <v>0</v>
      </c>
      <c r="U254" s="419">
        <f>ROUND(+J254+M254+T254,4)</f>
        <v>0</v>
      </c>
      <c r="V254" s="235"/>
    </row>
    <row r="255" spans="1:22" ht="15.75" x14ac:dyDescent="0.25">
      <c r="A255" s="231"/>
      <c r="B255" s="232"/>
      <c r="C255" s="400"/>
      <c r="D255" s="233"/>
      <c r="E255" s="405"/>
      <c r="F255" s="405"/>
      <c r="G255" s="405"/>
      <c r="H255" s="408">
        <f>ROUND(+E255+F255+G255,4)</f>
        <v>0</v>
      </c>
      <c r="I255" s="234"/>
      <c r="J255" s="411"/>
      <c r="K255" s="411"/>
      <c r="L255" s="414">
        <v>0.1</v>
      </c>
      <c r="M255" s="414">
        <f>ROUND(+L255*C255,4)</f>
        <v>0</v>
      </c>
      <c r="N255" s="414"/>
      <c r="O255" s="414"/>
      <c r="P255" s="414"/>
      <c r="Q255" s="419">
        <f>ROUND(+N255+O255+P255,4)</f>
        <v>0</v>
      </c>
      <c r="R255" s="419">
        <f>ROUND(IF(+Q255-H255&lt;=0,0,Q255-H255),4)</f>
        <v>0</v>
      </c>
      <c r="S255" s="423">
        <v>0.5</v>
      </c>
      <c r="T255" s="419">
        <f>ROUND(+(R255*C255)*S255,4)</f>
        <v>0</v>
      </c>
      <c r="U255" s="419">
        <f>ROUND(+J255+M255+T255,4)</f>
        <v>0</v>
      </c>
      <c r="V255" s="235"/>
    </row>
    <row r="256" spans="1:22" ht="15.75" x14ac:dyDescent="0.25">
      <c r="A256" s="231"/>
      <c r="B256" s="232"/>
      <c r="C256" s="400"/>
      <c r="D256" s="233"/>
      <c r="E256" s="405"/>
      <c r="F256" s="405"/>
      <c r="G256" s="405"/>
      <c r="H256" s="408">
        <f>ROUND(+E256+F256+G256,4)</f>
        <v>0</v>
      </c>
      <c r="I256" s="234"/>
      <c r="J256" s="411"/>
      <c r="K256" s="411"/>
      <c r="L256" s="414">
        <v>0.1</v>
      </c>
      <c r="M256" s="414">
        <f>ROUND(+L256*C256,4)</f>
        <v>0</v>
      </c>
      <c r="N256" s="414"/>
      <c r="O256" s="414"/>
      <c r="P256" s="414"/>
      <c r="Q256" s="419">
        <f>ROUND(+N256+O256+P256,4)</f>
        <v>0</v>
      </c>
      <c r="R256" s="419">
        <f>ROUND(IF(+Q256-H256&lt;=0,0,Q256-H256),4)</f>
        <v>0</v>
      </c>
      <c r="S256" s="423">
        <v>0.5</v>
      </c>
      <c r="T256" s="419">
        <f>ROUND(+(R256*C256)*S256,4)</f>
        <v>0</v>
      </c>
      <c r="U256" s="419">
        <f>ROUND(+J256+M256+T256,4)</f>
        <v>0</v>
      </c>
      <c r="V256" s="235"/>
    </row>
    <row r="257" spans="1:22" ht="15.75" x14ac:dyDescent="0.25">
      <c r="A257" s="231"/>
      <c r="B257" s="232"/>
      <c r="C257" s="400"/>
      <c r="D257" s="233"/>
      <c r="E257" s="405"/>
      <c r="F257" s="405"/>
      <c r="G257" s="405"/>
      <c r="H257" s="408">
        <f>ROUND(+E257+F257+G257,4)</f>
        <v>0</v>
      </c>
      <c r="I257" s="234"/>
      <c r="J257" s="411"/>
      <c r="K257" s="411"/>
      <c r="L257" s="414">
        <v>0.1</v>
      </c>
      <c r="M257" s="414">
        <f>ROUND(+L257*C257,4)</f>
        <v>0</v>
      </c>
      <c r="N257" s="414"/>
      <c r="O257" s="414"/>
      <c r="P257" s="414"/>
      <c r="Q257" s="419">
        <f>ROUND(+N257+O257+P257,4)</f>
        <v>0</v>
      </c>
      <c r="R257" s="419">
        <f>ROUND(IF(+Q257-H257&lt;=0,0,Q257-H257),4)</f>
        <v>0</v>
      </c>
      <c r="S257" s="423">
        <v>0.5</v>
      </c>
      <c r="T257" s="419">
        <f>ROUND(+(R257*C257)*S257,4)</f>
        <v>0</v>
      </c>
      <c r="U257" s="419">
        <f>ROUND(+J257+M257+T257,4)</f>
        <v>0</v>
      </c>
      <c r="V257" s="235"/>
    </row>
    <row r="258" spans="1:22" ht="15.75" x14ac:dyDescent="0.25">
      <c r="A258" s="231"/>
      <c r="B258" s="232"/>
      <c r="C258" s="400"/>
      <c r="D258" s="233"/>
      <c r="E258" s="405"/>
      <c r="F258" s="405"/>
      <c r="G258" s="405"/>
      <c r="H258" s="408">
        <f>ROUND(+E258+F258+G258,4)</f>
        <v>0</v>
      </c>
      <c r="I258" s="234"/>
      <c r="J258" s="411"/>
      <c r="K258" s="411"/>
      <c r="L258" s="414">
        <v>0.1</v>
      </c>
      <c r="M258" s="414">
        <f>ROUND(+L258*C258,4)</f>
        <v>0</v>
      </c>
      <c r="N258" s="414"/>
      <c r="O258" s="414"/>
      <c r="P258" s="414"/>
      <c r="Q258" s="419">
        <f>ROUND(+N258+O258+P258,4)</f>
        <v>0</v>
      </c>
      <c r="R258" s="419">
        <f>ROUND(IF(+Q258-H258&lt;=0,0,Q258-H258),4)</f>
        <v>0</v>
      </c>
      <c r="S258" s="423">
        <v>0.5</v>
      </c>
      <c r="T258" s="419">
        <f>ROUND(+(R258*C258)*S258,4)</f>
        <v>0</v>
      </c>
      <c r="U258" s="419">
        <f>ROUND(+J258+M258+T258,4)</f>
        <v>0</v>
      </c>
      <c r="V258" s="235"/>
    </row>
    <row r="259" spans="1:22" ht="15.75" x14ac:dyDescent="0.25">
      <c r="A259" s="231"/>
      <c r="B259" s="232"/>
      <c r="C259" s="400"/>
      <c r="D259" s="233"/>
      <c r="E259" s="405"/>
      <c r="F259" s="405"/>
      <c r="G259" s="405"/>
      <c r="H259" s="408">
        <f>ROUND(+E259+F259+G259,4)</f>
        <v>0</v>
      </c>
      <c r="I259" s="234"/>
      <c r="J259" s="411"/>
      <c r="K259" s="411"/>
      <c r="L259" s="414">
        <v>0.1</v>
      </c>
      <c r="M259" s="414">
        <f>ROUND(+L259*C259,4)</f>
        <v>0</v>
      </c>
      <c r="N259" s="414"/>
      <c r="O259" s="414"/>
      <c r="P259" s="414"/>
      <c r="Q259" s="419">
        <f>ROUND(+N259+O259+P259,4)</f>
        <v>0</v>
      </c>
      <c r="R259" s="419">
        <f>ROUND(IF(+Q259-H259&lt;=0,0,Q259-H259),4)</f>
        <v>0</v>
      </c>
      <c r="S259" s="423">
        <v>0.5</v>
      </c>
      <c r="T259" s="419">
        <f>ROUND(+(R259*C259)*S259,4)</f>
        <v>0</v>
      </c>
      <c r="U259" s="419">
        <f>ROUND(+J259+M259+T259,4)</f>
        <v>0</v>
      </c>
      <c r="V259" s="235"/>
    </row>
    <row r="260" spans="1:22" ht="15.75" x14ac:dyDescent="0.25">
      <c r="A260" s="231"/>
      <c r="B260" s="232"/>
      <c r="C260" s="400"/>
      <c r="D260" s="233"/>
      <c r="E260" s="405"/>
      <c r="F260" s="405"/>
      <c r="G260" s="405"/>
      <c r="H260" s="408">
        <f>ROUND(+E260+F260+G260,4)</f>
        <v>0</v>
      </c>
      <c r="I260" s="234"/>
      <c r="J260" s="411"/>
      <c r="K260" s="411"/>
      <c r="L260" s="414">
        <v>0.1</v>
      </c>
      <c r="M260" s="414">
        <f>ROUND(+L260*C260,4)</f>
        <v>0</v>
      </c>
      <c r="N260" s="414"/>
      <c r="O260" s="414"/>
      <c r="P260" s="414"/>
      <c r="Q260" s="419">
        <f>ROUND(+N260+O260+P260,4)</f>
        <v>0</v>
      </c>
      <c r="R260" s="419">
        <f>ROUND(IF(+Q260-H260&lt;=0,0,Q260-H260),4)</f>
        <v>0</v>
      </c>
      <c r="S260" s="423">
        <v>0.5</v>
      </c>
      <c r="T260" s="419">
        <f>ROUND(+(R260*C260)*S260,4)</f>
        <v>0</v>
      </c>
      <c r="U260" s="419">
        <f>ROUND(+J260+M260+T260,4)</f>
        <v>0</v>
      </c>
      <c r="V260" s="235"/>
    </row>
    <row r="261" spans="1:22" ht="15.75" x14ac:dyDescent="0.25">
      <c r="A261" s="231"/>
      <c r="B261" s="232"/>
      <c r="C261" s="400"/>
      <c r="D261" s="233"/>
      <c r="E261" s="405"/>
      <c r="F261" s="405"/>
      <c r="G261" s="405"/>
      <c r="H261" s="408">
        <f>ROUND(+E261+F261+G261,4)</f>
        <v>0</v>
      </c>
      <c r="I261" s="234"/>
      <c r="J261" s="411"/>
      <c r="K261" s="411"/>
      <c r="L261" s="414">
        <v>0.1</v>
      </c>
      <c r="M261" s="414">
        <f>ROUND(+L261*C261,4)</f>
        <v>0</v>
      </c>
      <c r="N261" s="414"/>
      <c r="O261" s="414"/>
      <c r="P261" s="414"/>
      <c r="Q261" s="419">
        <f>ROUND(+N261+O261+P261,4)</f>
        <v>0</v>
      </c>
      <c r="R261" s="419">
        <f>ROUND(IF(+Q261-H261&lt;=0,0,Q261-H261),4)</f>
        <v>0</v>
      </c>
      <c r="S261" s="423">
        <v>0.5</v>
      </c>
      <c r="T261" s="419">
        <f>ROUND(+(R261*C261)*S261,4)</f>
        <v>0</v>
      </c>
      <c r="U261" s="419">
        <f>ROUND(+J261+M261+T261,4)</f>
        <v>0</v>
      </c>
      <c r="V261" s="235"/>
    </row>
    <row r="262" spans="1:22" ht="15.75" x14ac:dyDescent="0.25">
      <c r="A262" s="231"/>
      <c r="B262" s="232"/>
      <c r="C262" s="400"/>
      <c r="D262" s="233"/>
      <c r="E262" s="405"/>
      <c r="F262" s="405"/>
      <c r="G262" s="405"/>
      <c r="H262" s="408">
        <f>ROUND(+E262+F262+G262,4)</f>
        <v>0</v>
      </c>
      <c r="I262" s="234"/>
      <c r="J262" s="411"/>
      <c r="K262" s="411"/>
      <c r="L262" s="414">
        <v>0.1</v>
      </c>
      <c r="M262" s="414">
        <f>ROUND(+L262*C262,4)</f>
        <v>0</v>
      </c>
      <c r="N262" s="414"/>
      <c r="O262" s="414"/>
      <c r="P262" s="414"/>
      <c r="Q262" s="419">
        <f>ROUND(+N262+O262+P262,4)</f>
        <v>0</v>
      </c>
      <c r="R262" s="419">
        <f>ROUND(IF(+Q262-H262&lt;=0,0,Q262-H262),4)</f>
        <v>0</v>
      </c>
      <c r="S262" s="423">
        <v>0.5</v>
      </c>
      <c r="T262" s="419">
        <f>ROUND(+(R262*C262)*S262,4)</f>
        <v>0</v>
      </c>
      <c r="U262" s="419">
        <f>ROUND(+J262+M262+T262,4)</f>
        <v>0</v>
      </c>
      <c r="V262" s="235"/>
    </row>
    <row r="263" spans="1:22" ht="15.75" x14ac:dyDescent="0.25">
      <c r="A263" s="231"/>
      <c r="B263" s="232"/>
      <c r="C263" s="400"/>
      <c r="D263" s="233"/>
      <c r="E263" s="405"/>
      <c r="F263" s="405"/>
      <c r="G263" s="405"/>
      <c r="H263" s="408">
        <f>ROUND(+E263+F263+G263,4)</f>
        <v>0</v>
      </c>
      <c r="I263" s="234"/>
      <c r="J263" s="411"/>
      <c r="K263" s="411"/>
      <c r="L263" s="414">
        <v>0.1</v>
      </c>
      <c r="M263" s="414">
        <f>ROUND(+L263*C263,4)</f>
        <v>0</v>
      </c>
      <c r="N263" s="414"/>
      <c r="O263" s="414"/>
      <c r="P263" s="414"/>
      <c r="Q263" s="419">
        <f>ROUND(+N263+O263+P263,4)</f>
        <v>0</v>
      </c>
      <c r="R263" s="419">
        <f>ROUND(IF(+Q263-H263&lt;=0,0,Q263-H263),4)</f>
        <v>0</v>
      </c>
      <c r="S263" s="423">
        <v>0.5</v>
      </c>
      <c r="T263" s="419">
        <f>ROUND(+(R263*C263)*S263,4)</f>
        <v>0</v>
      </c>
      <c r="U263" s="419">
        <f>ROUND(+J263+M263+T263,4)</f>
        <v>0</v>
      </c>
      <c r="V263" s="235"/>
    </row>
    <row r="264" spans="1:22" ht="15.75" x14ac:dyDescent="0.25">
      <c r="A264" s="231"/>
      <c r="B264" s="232"/>
      <c r="C264" s="400"/>
      <c r="D264" s="233"/>
      <c r="E264" s="405"/>
      <c r="F264" s="405"/>
      <c r="G264" s="405"/>
      <c r="H264" s="408">
        <f>ROUND(+E264+F264+G264,4)</f>
        <v>0</v>
      </c>
      <c r="I264" s="234"/>
      <c r="J264" s="411"/>
      <c r="K264" s="411"/>
      <c r="L264" s="414">
        <v>0.1</v>
      </c>
      <c r="M264" s="414">
        <f>ROUND(+L264*C264,4)</f>
        <v>0</v>
      </c>
      <c r="N264" s="414"/>
      <c r="O264" s="414"/>
      <c r="P264" s="414"/>
      <c r="Q264" s="419">
        <f>ROUND(+N264+O264+P264,4)</f>
        <v>0</v>
      </c>
      <c r="R264" s="419">
        <f>ROUND(IF(+Q264-H264&lt;=0,0,Q264-H264),4)</f>
        <v>0</v>
      </c>
      <c r="S264" s="423">
        <v>0.5</v>
      </c>
      <c r="T264" s="419">
        <f>ROUND(+(R264*C264)*S264,4)</f>
        <v>0</v>
      </c>
      <c r="U264" s="419">
        <f>ROUND(+J264+M264+T264,4)</f>
        <v>0</v>
      </c>
      <c r="V264" s="235"/>
    </row>
    <row r="265" spans="1:22" ht="15.75" x14ac:dyDescent="0.25">
      <c r="A265" s="231"/>
      <c r="B265" s="232"/>
      <c r="C265" s="400"/>
      <c r="D265" s="233"/>
      <c r="E265" s="405"/>
      <c r="F265" s="405"/>
      <c r="G265" s="405"/>
      <c r="H265" s="408">
        <f>ROUND(+E265+F265+G265,4)</f>
        <v>0</v>
      </c>
      <c r="I265" s="234"/>
      <c r="J265" s="411"/>
      <c r="K265" s="411"/>
      <c r="L265" s="414">
        <v>0.1</v>
      </c>
      <c r="M265" s="414">
        <f>ROUND(+L265*C265,4)</f>
        <v>0</v>
      </c>
      <c r="N265" s="414"/>
      <c r="O265" s="414"/>
      <c r="P265" s="414"/>
      <c r="Q265" s="419">
        <f>ROUND(+N265+O265+P265,4)</f>
        <v>0</v>
      </c>
      <c r="R265" s="419">
        <f>ROUND(IF(+Q265-H265&lt;=0,0,Q265-H265),4)</f>
        <v>0</v>
      </c>
      <c r="S265" s="423">
        <v>0.5</v>
      </c>
      <c r="T265" s="419">
        <f>ROUND(+(R265*C265)*S265,4)</f>
        <v>0</v>
      </c>
      <c r="U265" s="419">
        <f>ROUND(+J265+M265+T265,4)</f>
        <v>0</v>
      </c>
      <c r="V265" s="235"/>
    </row>
    <row r="266" spans="1:22" ht="15.75" x14ac:dyDescent="0.25">
      <c r="A266" s="231"/>
      <c r="B266" s="232"/>
      <c r="C266" s="400"/>
      <c r="D266" s="233"/>
      <c r="E266" s="405"/>
      <c r="F266" s="405"/>
      <c r="G266" s="405"/>
      <c r="H266" s="408">
        <f>ROUND(+E266+F266+G266,4)</f>
        <v>0</v>
      </c>
      <c r="I266" s="234"/>
      <c r="J266" s="411"/>
      <c r="K266" s="411"/>
      <c r="L266" s="414">
        <v>0.1</v>
      </c>
      <c r="M266" s="414">
        <f>ROUND(+L266*C266,4)</f>
        <v>0</v>
      </c>
      <c r="N266" s="414"/>
      <c r="O266" s="414"/>
      <c r="P266" s="414"/>
      <c r="Q266" s="419">
        <f>ROUND(+N266+O266+P266,4)</f>
        <v>0</v>
      </c>
      <c r="R266" s="419">
        <f>ROUND(IF(+Q266-H266&lt;=0,0,Q266-H266),4)</f>
        <v>0</v>
      </c>
      <c r="S266" s="423">
        <v>0.5</v>
      </c>
      <c r="T266" s="419">
        <f>ROUND(+(R266*C266)*S266,4)</f>
        <v>0</v>
      </c>
      <c r="U266" s="419">
        <f>ROUND(+J266+M266+T266,4)</f>
        <v>0</v>
      </c>
      <c r="V266" s="235"/>
    </row>
    <row r="267" spans="1:22" ht="15.75" x14ac:dyDescent="0.25">
      <c r="A267" s="231"/>
      <c r="B267" s="232"/>
      <c r="C267" s="400"/>
      <c r="D267" s="233"/>
      <c r="E267" s="405"/>
      <c r="F267" s="405"/>
      <c r="G267" s="405"/>
      <c r="H267" s="408">
        <f>ROUND(+E267+F267+G267,4)</f>
        <v>0</v>
      </c>
      <c r="I267" s="234"/>
      <c r="J267" s="411"/>
      <c r="K267" s="411"/>
      <c r="L267" s="414">
        <v>0.1</v>
      </c>
      <c r="M267" s="414">
        <f>ROUND(+L267*C267,4)</f>
        <v>0</v>
      </c>
      <c r="N267" s="414"/>
      <c r="O267" s="414"/>
      <c r="P267" s="414"/>
      <c r="Q267" s="419">
        <f>ROUND(+N267+O267+P267,4)</f>
        <v>0</v>
      </c>
      <c r="R267" s="419">
        <f>ROUND(IF(+Q267-H267&lt;=0,0,Q267-H267),4)</f>
        <v>0</v>
      </c>
      <c r="S267" s="423">
        <v>0.5</v>
      </c>
      <c r="T267" s="419">
        <f>ROUND(+(R267*C267)*S267,4)</f>
        <v>0</v>
      </c>
      <c r="U267" s="419">
        <f>ROUND(+J267+M267+T267,4)</f>
        <v>0</v>
      </c>
      <c r="V267" s="235"/>
    </row>
    <row r="268" spans="1:22" ht="15.75" x14ac:dyDescent="0.25">
      <c r="A268" s="231"/>
      <c r="B268" s="232"/>
      <c r="C268" s="400"/>
      <c r="D268" s="233"/>
      <c r="E268" s="405"/>
      <c r="F268" s="405"/>
      <c r="G268" s="405"/>
      <c r="H268" s="408">
        <f>ROUND(+E268+F268+G268,4)</f>
        <v>0</v>
      </c>
      <c r="I268" s="234"/>
      <c r="J268" s="411"/>
      <c r="K268" s="411"/>
      <c r="L268" s="414">
        <v>0.1</v>
      </c>
      <c r="M268" s="414">
        <f>ROUND(+L268*C268,4)</f>
        <v>0</v>
      </c>
      <c r="N268" s="414"/>
      <c r="O268" s="414"/>
      <c r="P268" s="414"/>
      <c r="Q268" s="419">
        <f>ROUND(+N268+O268+P268,4)</f>
        <v>0</v>
      </c>
      <c r="R268" s="419">
        <f>ROUND(IF(+Q268-H268&lt;=0,0,Q268-H268),4)</f>
        <v>0</v>
      </c>
      <c r="S268" s="423">
        <v>0.5</v>
      </c>
      <c r="T268" s="419">
        <f>ROUND(+(R268*C268)*S268,4)</f>
        <v>0</v>
      </c>
      <c r="U268" s="419">
        <f>ROUND(+J268+M268+T268,4)</f>
        <v>0</v>
      </c>
      <c r="V268" s="235"/>
    </row>
    <row r="269" spans="1:22" ht="15.75" x14ac:dyDescent="0.25">
      <c r="A269" s="231"/>
      <c r="B269" s="232"/>
      <c r="C269" s="400"/>
      <c r="D269" s="233"/>
      <c r="E269" s="405"/>
      <c r="F269" s="405"/>
      <c r="G269" s="405"/>
      <c r="H269" s="408">
        <f>ROUND(+E269+F269+G269,4)</f>
        <v>0</v>
      </c>
      <c r="I269" s="234"/>
      <c r="J269" s="411"/>
      <c r="K269" s="411"/>
      <c r="L269" s="414">
        <v>0.1</v>
      </c>
      <c r="M269" s="414">
        <f>ROUND(+L269*C269,4)</f>
        <v>0</v>
      </c>
      <c r="N269" s="414"/>
      <c r="O269" s="414"/>
      <c r="P269" s="414"/>
      <c r="Q269" s="419">
        <f>ROUND(+N269+O269+P269,4)</f>
        <v>0</v>
      </c>
      <c r="R269" s="419">
        <f>ROUND(IF(+Q269-H269&lt;=0,0,Q269-H269),4)</f>
        <v>0</v>
      </c>
      <c r="S269" s="423">
        <v>0.5</v>
      </c>
      <c r="T269" s="419">
        <f>ROUND(+(R269*C269)*S269,4)</f>
        <v>0</v>
      </c>
      <c r="U269" s="419">
        <f>ROUND(+J269+M269+T269,4)</f>
        <v>0</v>
      </c>
      <c r="V269" s="235"/>
    </row>
    <row r="270" spans="1:22" ht="15.75" x14ac:dyDescent="0.25">
      <c r="A270" s="231"/>
      <c r="B270" s="232"/>
      <c r="C270" s="400"/>
      <c r="D270" s="233"/>
      <c r="E270" s="405"/>
      <c r="F270" s="405"/>
      <c r="G270" s="405"/>
      <c r="H270" s="408">
        <f>ROUND(+E270+F270+G270,4)</f>
        <v>0</v>
      </c>
      <c r="I270" s="234"/>
      <c r="J270" s="411"/>
      <c r="K270" s="411"/>
      <c r="L270" s="414">
        <v>0.1</v>
      </c>
      <c r="M270" s="414">
        <f>ROUND(+L270*C270,4)</f>
        <v>0</v>
      </c>
      <c r="N270" s="414"/>
      <c r="O270" s="414"/>
      <c r="P270" s="414"/>
      <c r="Q270" s="419">
        <f>ROUND(+N270+O270+P270,4)</f>
        <v>0</v>
      </c>
      <c r="R270" s="419">
        <f>ROUND(IF(+Q270-H270&lt;=0,0,Q270-H270),4)</f>
        <v>0</v>
      </c>
      <c r="S270" s="423">
        <v>0.5</v>
      </c>
      <c r="T270" s="419">
        <f>ROUND(+(R270*C270)*S270,4)</f>
        <v>0</v>
      </c>
      <c r="U270" s="419">
        <f>ROUND(+J270+M270+T270,4)</f>
        <v>0</v>
      </c>
      <c r="V270" s="235"/>
    </row>
    <row r="271" spans="1:22" ht="15.75" x14ac:dyDescent="0.25">
      <c r="A271" s="231"/>
      <c r="B271" s="232"/>
      <c r="C271" s="400"/>
      <c r="D271" s="233"/>
      <c r="E271" s="405"/>
      <c r="F271" s="405"/>
      <c r="G271" s="405"/>
      <c r="H271" s="408">
        <f>ROUND(+E271+F271+G271,4)</f>
        <v>0</v>
      </c>
      <c r="I271" s="234"/>
      <c r="J271" s="411"/>
      <c r="K271" s="411"/>
      <c r="L271" s="414">
        <v>0.1</v>
      </c>
      <c r="M271" s="414">
        <f>ROUND(+L271*C271,4)</f>
        <v>0</v>
      </c>
      <c r="N271" s="414"/>
      <c r="O271" s="414"/>
      <c r="P271" s="414"/>
      <c r="Q271" s="419">
        <f>ROUND(+N271+O271+P271,4)</f>
        <v>0</v>
      </c>
      <c r="R271" s="419">
        <f>ROUND(IF(+Q271-H271&lt;=0,0,Q271-H271),4)</f>
        <v>0</v>
      </c>
      <c r="S271" s="423">
        <v>0.5</v>
      </c>
      <c r="T271" s="419">
        <f>ROUND(+(R271*C271)*S271,4)</f>
        <v>0</v>
      </c>
      <c r="U271" s="419">
        <f>ROUND(+J271+M271+T271,4)</f>
        <v>0</v>
      </c>
      <c r="V271" s="235"/>
    </row>
    <row r="272" spans="1:22" ht="15.75" x14ac:dyDescent="0.25">
      <c r="A272" s="231"/>
      <c r="B272" s="232"/>
      <c r="C272" s="400"/>
      <c r="D272" s="233"/>
      <c r="E272" s="405"/>
      <c r="F272" s="405"/>
      <c r="G272" s="405"/>
      <c r="H272" s="408">
        <f>ROUND(+E272+F272+G272,4)</f>
        <v>0</v>
      </c>
      <c r="I272" s="234"/>
      <c r="J272" s="411"/>
      <c r="K272" s="411"/>
      <c r="L272" s="414">
        <v>0.1</v>
      </c>
      <c r="M272" s="414">
        <f>ROUND(+L272*C272,4)</f>
        <v>0</v>
      </c>
      <c r="N272" s="414"/>
      <c r="O272" s="414"/>
      <c r="P272" s="414"/>
      <c r="Q272" s="419">
        <f>ROUND(+N272+O272+P272,4)</f>
        <v>0</v>
      </c>
      <c r="R272" s="419">
        <f>ROUND(IF(+Q272-H272&lt;=0,0,Q272-H272),4)</f>
        <v>0</v>
      </c>
      <c r="S272" s="423">
        <v>0.5</v>
      </c>
      <c r="T272" s="419">
        <f>ROUND(+(R272*C272)*S272,4)</f>
        <v>0</v>
      </c>
      <c r="U272" s="419">
        <f>ROUND(+J272+M272+T272,4)</f>
        <v>0</v>
      </c>
      <c r="V272" s="235"/>
    </row>
    <row r="273" spans="1:22" ht="15.75" x14ac:dyDescent="0.25">
      <c r="A273" s="231"/>
      <c r="B273" s="232"/>
      <c r="C273" s="400"/>
      <c r="D273" s="233"/>
      <c r="E273" s="405"/>
      <c r="F273" s="405"/>
      <c r="G273" s="405"/>
      <c r="H273" s="408">
        <f>ROUND(+E273+F273+G273,4)</f>
        <v>0</v>
      </c>
      <c r="I273" s="234"/>
      <c r="J273" s="411"/>
      <c r="K273" s="411"/>
      <c r="L273" s="414">
        <v>0.1</v>
      </c>
      <c r="M273" s="414">
        <f>ROUND(+L273*C273,4)</f>
        <v>0</v>
      </c>
      <c r="N273" s="414"/>
      <c r="O273" s="414"/>
      <c r="P273" s="414"/>
      <c r="Q273" s="419">
        <f>ROUND(+N273+O273+P273,4)</f>
        <v>0</v>
      </c>
      <c r="R273" s="419">
        <f>ROUND(IF(+Q273-H273&lt;=0,0,Q273-H273),4)</f>
        <v>0</v>
      </c>
      <c r="S273" s="423">
        <v>0.5</v>
      </c>
      <c r="T273" s="419">
        <f>ROUND(+(R273*C273)*S273,4)</f>
        <v>0</v>
      </c>
      <c r="U273" s="419">
        <f>ROUND(+J273+M273+T273,4)</f>
        <v>0</v>
      </c>
      <c r="V273" s="235"/>
    </row>
    <row r="274" spans="1:22" ht="15.75" x14ac:dyDescent="0.25">
      <c r="A274" s="231"/>
      <c r="B274" s="232"/>
      <c r="C274" s="400"/>
      <c r="D274" s="233"/>
      <c r="E274" s="405"/>
      <c r="F274" s="405"/>
      <c r="G274" s="405"/>
      <c r="H274" s="408">
        <f>ROUND(+E274+F274+G274,4)</f>
        <v>0</v>
      </c>
      <c r="I274" s="234"/>
      <c r="J274" s="411"/>
      <c r="K274" s="411"/>
      <c r="L274" s="414">
        <v>0.1</v>
      </c>
      <c r="M274" s="414">
        <f>ROUND(+L274*C274,4)</f>
        <v>0</v>
      </c>
      <c r="N274" s="414"/>
      <c r="O274" s="414"/>
      <c r="P274" s="414"/>
      <c r="Q274" s="419">
        <f>ROUND(+N274+O274+P274,4)</f>
        <v>0</v>
      </c>
      <c r="R274" s="419">
        <f>ROUND(IF(+Q274-H274&lt;=0,0,Q274-H274),4)</f>
        <v>0</v>
      </c>
      <c r="S274" s="423">
        <v>0.5</v>
      </c>
      <c r="T274" s="419">
        <f>ROUND(+(R274*C274)*S274,4)</f>
        <v>0</v>
      </c>
      <c r="U274" s="419">
        <f>ROUND(+J274+M274+T274,4)</f>
        <v>0</v>
      </c>
      <c r="V274" s="235"/>
    </row>
    <row r="275" spans="1:22" ht="15.75" x14ac:dyDescent="0.25">
      <c r="A275" s="231"/>
      <c r="B275" s="232"/>
      <c r="C275" s="400"/>
      <c r="D275" s="233"/>
      <c r="E275" s="405"/>
      <c r="F275" s="405"/>
      <c r="G275" s="405"/>
      <c r="H275" s="408">
        <f>ROUND(+E275+F275+G275,4)</f>
        <v>0</v>
      </c>
      <c r="I275" s="234"/>
      <c r="J275" s="411"/>
      <c r="K275" s="411"/>
      <c r="L275" s="414">
        <v>0.1</v>
      </c>
      <c r="M275" s="414">
        <f>ROUND(+L275*C275,4)</f>
        <v>0</v>
      </c>
      <c r="N275" s="414"/>
      <c r="O275" s="414"/>
      <c r="P275" s="414"/>
      <c r="Q275" s="419">
        <f>ROUND(+N275+O275+P275,4)</f>
        <v>0</v>
      </c>
      <c r="R275" s="419">
        <f>ROUND(IF(+Q275-H275&lt;=0,0,Q275-H275),4)</f>
        <v>0</v>
      </c>
      <c r="S275" s="423">
        <v>0.5</v>
      </c>
      <c r="T275" s="419">
        <f>ROUND(+(R275*C275)*S275,4)</f>
        <v>0</v>
      </c>
      <c r="U275" s="419">
        <f>ROUND(+J275+M275+T275,4)</f>
        <v>0</v>
      </c>
      <c r="V275" s="235"/>
    </row>
    <row r="276" spans="1:22" ht="15.75" x14ac:dyDescent="0.25">
      <c r="A276" s="231"/>
      <c r="B276" s="232"/>
      <c r="C276" s="400"/>
      <c r="D276" s="233"/>
      <c r="E276" s="405"/>
      <c r="F276" s="405"/>
      <c r="G276" s="405"/>
      <c r="H276" s="408">
        <f>ROUND(+E276+F276+G276,4)</f>
        <v>0</v>
      </c>
      <c r="I276" s="234"/>
      <c r="J276" s="411"/>
      <c r="K276" s="411"/>
      <c r="L276" s="414">
        <v>0.1</v>
      </c>
      <c r="M276" s="414">
        <f>ROUND(+L276*C276,4)</f>
        <v>0</v>
      </c>
      <c r="N276" s="414"/>
      <c r="O276" s="414"/>
      <c r="P276" s="414"/>
      <c r="Q276" s="419">
        <f>ROUND(+N276+O276+P276,4)</f>
        <v>0</v>
      </c>
      <c r="R276" s="419">
        <f>ROUND(IF(+Q276-H276&lt;=0,0,Q276-H276),4)</f>
        <v>0</v>
      </c>
      <c r="S276" s="423">
        <v>0.5</v>
      </c>
      <c r="T276" s="419">
        <f>ROUND(+(R276*C276)*S276,4)</f>
        <v>0</v>
      </c>
      <c r="U276" s="419">
        <f>ROUND(+J276+M276+T276,4)</f>
        <v>0</v>
      </c>
      <c r="V276" s="235"/>
    </row>
    <row r="277" spans="1:22" ht="15.75" x14ac:dyDescent="0.25">
      <c r="A277" s="231"/>
      <c r="B277" s="232"/>
      <c r="C277" s="400"/>
      <c r="D277" s="233"/>
      <c r="E277" s="405"/>
      <c r="F277" s="405"/>
      <c r="G277" s="405"/>
      <c r="H277" s="408">
        <f>ROUND(+E277+F277+G277,4)</f>
        <v>0</v>
      </c>
      <c r="I277" s="234"/>
      <c r="J277" s="411"/>
      <c r="K277" s="411"/>
      <c r="L277" s="414">
        <v>0.1</v>
      </c>
      <c r="M277" s="414">
        <f>ROUND(+L277*C277,4)</f>
        <v>0</v>
      </c>
      <c r="N277" s="414"/>
      <c r="O277" s="414"/>
      <c r="P277" s="414"/>
      <c r="Q277" s="419">
        <f>ROUND(+N277+O277+P277,4)</f>
        <v>0</v>
      </c>
      <c r="R277" s="419">
        <f>ROUND(IF(+Q277-H277&lt;=0,0,Q277-H277),4)</f>
        <v>0</v>
      </c>
      <c r="S277" s="423">
        <v>0.5</v>
      </c>
      <c r="T277" s="419">
        <f>ROUND(+(R277*C277)*S277,4)</f>
        <v>0</v>
      </c>
      <c r="U277" s="419">
        <f>ROUND(+J277+M277+T277,4)</f>
        <v>0</v>
      </c>
      <c r="V277" s="235"/>
    </row>
    <row r="278" spans="1:22" ht="15.75" x14ac:dyDescent="0.25">
      <c r="A278" s="231"/>
      <c r="B278" s="232"/>
      <c r="C278" s="400"/>
      <c r="D278" s="233"/>
      <c r="E278" s="405"/>
      <c r="F278" s="405"/>
      <c r="G278" s="405"/>
      <c r="H278" s="408">
        <f>ROUND(+E278+F278+G278,4)</f>
        <v>0</v>
      </c>
      <c r="I278" s="234"/>
      <c r="J278" s="411"/>
      <c r="K278" s="411"/>
      <c r="L278" s="414">
        <v>0.1</v>
      </c>
      <c r="M278" s="414">
        <f>ROUND(+L278*C278,4)</f>
        <v>0</v>
      </c>
      <c r="N278" s="414"/>
      <c r="O278" s="414"/>
      <c r="P278" s="414"/>
      <c r="Q278" s="419">
        <f>ROUND(+N278+O278+P278,4)</f>
        <v>0</v>
      </c>
      <c r="R278" s="419">
        <f>ROUND(IF(+Q278-H278&lt;=0,0,Q278-H278),4)</f>
        <v>0</v>
      </c>
      <c r="S278" s="423">
        <v>0.5</v>
      </c>
      <c r="T278" s="419">
        <f>ROUND(+(R278*C278)*S278,4)</f>
        <v>0</v>
      </c>
      <c r="U278" s="419">
        <f>ROUND(+J278+M278+T278,4)</f>
        <v>0</v>
      </c>
      <c r="V278" s="235"/>
    </row>
    <row r="279" spans="1:22" ht="15.75" x14ac:dyDescent="0.25">
      <c r="A279" s="231"/>
      <c r="B279" s="232"/>
      <c r="C279" s="400"/>
      <c r="D279" s="233"/>
      <c r="E279" s="405"/>
      <c r="F279" s="405"/>
      <c r="G279" s="405"/>
      <c r="H279" s="408">
        <f>ROUND(+E279+F279+G279,4)</f>
        <v>0</v>
      </c>
      <c r="I279" s="234"/>
      <c r="J279" s="411"/>
      <c r="K279" s="411"/>
      <c r="L279" s="414">
        <v>0.1</v>
      </c>
      <c r="M279" s="414">
        <f>ROUND(+L279*C279,4)</f>
        <v>0</v>
      </c>
      <c r="N279" s="414"/>
      <c r="O279" s="414"/>
      <c r="P279" s="414"/>
      <c r="Q279" s="419">
        <f>ROUND(+N279+O279+P279,4)</f>
        <v>0</v>
      </c>
      <c r="R279" s="419">
        <f>ROUND(IF(+Q279-H279&lt;=0,0,Q279-H279),4)</f>
        <v>0</v>
      </c>
      <c r="S279" s="423">
        <v>0.5</v>
      </c>
      <c r="T279" s="419">
        <f>ROUND(+(R279*C279)*S279,4)</f>
        <v>0</v>
      </c>
      <c r="U279" s="419">
        <f>ROUND(+J279+M279+T279,4)</f>
        <v>0</v>
      </c>
      <c r="V279" s="235"/>
    </row>
    <row r="280" spans="1:22" ht="15.75" x14ac:dyDescent="0.25">
      <c r="A280" s="231"/>
      <c r="B280" s="232"/>
      <c r="C280" s="400"/>
      <c r="D280" s="233"/>
      <c r="E280" s="405"/>
      <c r="F280" s="405"/>
      <c r="G280" s="405"/>
      <c r="H280" s="408">
        <f>ROUND(+E280+F280+G280,4)</f>
        <v>0</v>
      </c>
      <c r="I280" s="234"/>
      <c r="J280" s="411"/>
      <c r="K280" s="411"/>
      <c r="L280" s="414">
        <v>0.1</v>
      </c>
      <c r="M280" s="414">
        <f>ROUND(+L280*C280,4)</f>
        <v>0</v>
      </c>
      <c r="N280" s="414"/>
      <c r="O280" s="414"/>
      <c r="P280" s="414"/>
      <c r="Q280" s="419">
        <f>ROUND(+N280+O280+P280,4)</f>
        <v>0</v>
      </c>
      <c r="R280" s="419">
        <f>ROUND(IF(+Q280-H280&lt;=0,0,Q280-H280),4)</f>
        <v>0</v>
      </c>
      <c r="S280" s="423">
        <v>0.5</v>
      </c>
      <c r="T280" s="419">
        <f>ROUND(+(R280*C280)*S280,4)</f>
        <v>0</v>
      </c>
      <c r="U280" s="419">
        <f>ROUND(+J280+M280+T280,4)</f>
        <v>0</v>
      </c>
      <c r="V280" s="235"/>
    </row>
    <row r="281" spans="1:22" ht="15.75" x14ac:dyDescent="0.25">
      <c r="A281" s="231"/>
      <c r="B281" s="232"/>
      <c r="C281" s="400"/>
      <c r="D281" s="233"/>
      <c r="E281" s="405"/>
      <c r="F281" s="405"/>
      <c r="G281" s="405"/>
      <c r="H281" s="408">
        <f>ROUND(+E281+F281+G281,4)</f>
        <v>0</v>
      </c>
      <c r="I281" s="234"/>
      <c r="J281" s="411"/>
      <c r="K281" s="411"/>
      <c r="L281" s="414">
        <v>0.1</v>
      </c>
      <c r="M281" s="414">
        <f>ROUND(+L281*C281,4)</f>
        <v>0</v>
      </c>
      <c r="N281" s="414"/>
      <c r="O281" s="414"/>
      <c r="P281" s="414"/>
      <c r="Q281" s="419">
        <f>ROUND(+N281+O281+P281,4)</f>
        <v>0</v>
      </c>
      <c r="R281" s="419">
        <f>ROUND(IF(+Q281-H281&lt;=0,0,Q281-H281),4)</f>
        <v>0</v>
      </c>
      <c r="S281" s="423">
        <v>0.5</v>
      </c>
      <c r="T281" s="419">
        <f>ROUND(+(R281*C281)*S281,4)</f>
        <v>0</v>
      </c>
      <c r="U281" s="419">
        <f>ROUND(+J281+M281+T281,4)</f>
        <v>0</v>
      </c>
      <c r="V281" s="235"/>
    </row>
    <row r="282" spans="1:22" ht="15.75" x14ac:dyDescent="0.25">
      <c r="A282" s="231"/>
      <c r="B282" s="232"/>
      <c r="C282" s="400"/>
      <c r="D282" s="233"/>
      <c r="E282" s="405"/>
      <c r="F282" s="405"/>
      <c r="G282" s="405"/>
      <c r="H282" s="408">
        <f>ROUND(+E282+F282+G282,4)</f>
        <v>0</v>
      </c>
      <c r="I282" s="234"/>
      <c r="J282" s="411"/>
      <c r="K282" s="411"/>
      <c r="L282" s="414">
        <v>0.1</v>
      </c>
      <c r="M282" s="414">
        <f>ROUND(+L282*C282,4)</f>
        <v>0</v>
      </c>
      <c r="N282" s="414"/>
      <c r="O282" s="414"/>
      <c r="P282" s="414"/>
      <c r="Q282" s="419">
        <f>ROUND(+N282+O282+P282,4)</f>
        <v>0</v>
      </c>
      <c r="R282" s="419">
        <f>ROUND(IF(+Q282-H282&lt;=0,0,Q282-H282),4)</f>
        <v>0</v>
      </c>
      <c r="S282" s="423">
        <v>0.5</v>
      </c>
      <c r="T282" s="419">
        <f>ROUND(+(R282*C282)*S282,4)</f>
        <v>0</v>
      </c>
      <c r="U282" s="419">
        <f>ROUND(+J282+M282+T282,4)</f>
        <v>0</v>
      </c>
      <c r="V282" s="235"/>
    </row>
    <row r="283" spans="1:22" ht="15.75" x14ac:dyDescent="0.25">
      <c r="A283" s="231"/>
      <c r="B283" s="232"/>
      <c r="C283" s="400"/>
      <c r="D283" s="233"/>
      <c r="E283" s="405"/>
      <c r="F283" s="405"/>
      <c r="G283" s="405"/>
      <c r="H283" s="408">
        <f>ROUND(+E283+F283+G283,4)</f>
        <v>0</v>
      </c>
      <c r="I283" s="234"/>
      <c r="J283" s="411"/>
      <c r="K283" s="411"/>
      <c r="L283" s="414">
        <v>0.1</v>
      </c>
      <c r="M283" s="414">
        <f>ROUND(+L283*C283,4)</f>
        <v>0</v>
      </c>
      <c r="N283" s="414"/>
      <c r="O283" s="414"/>
      <c r="P283" s="414"/>
      <c r="Q283" s="419">
        <f>ROUND(+N283+O283+P283,4)</f>
        <v>0</v>
      </c>
      <c r="R283" s="419">
        <f>ROUND(IF(+Q283-H283&lt;=0,0,Q283-H283),4)</f>
        <v>0</v>
      </c>
      <c r="S283" s="423">
        <v>0.5</v>
      </c>
      <c r="T283" s="419">
        <f>ROUND(+(R283*C283)*S283,4)</f>
        <v>0</v>
      </c>
      <c r="U283" s="419">
        <f>ROUND(+J283+M283+T283,4)</f>
        <v>0</v>
      </c>
      <c r="V283" s="235"/>
    </row>
    <row r="284" spans="1:22" ht="15.75" x14ac:dyDescent="0.25">
      <c r="A284" s="231"/>
      <c r="B284" s="232"/>
      <c r="C284" s="400"/>
      <c r="D284" s="233"/>
      <c r="E284" s="405"/>
      <c r="F284" s="405"/>
      <c r="G284" s="405"/>
      <c r="H284" s="408">
        <f>ROUND(+E284+F284+G284,4)</f>
        <v>0</v>
      </c>
      <c r="I284" s="234"/>
      <c r="J284" s="411"/>
      <c r="K284" s="411"/>
      <c r="L284" s="414">
        <v>0.1</v>
      </c>
      <c r="M284" s="414">
        <f>ROUND(+L284*C284,4)</f>
        <v>0</v>
      </c>
      <c r="N284" s="414"/>
      <c r="O284" s="414"/>
      <c r="P284" s="414"/>
      <c r="Q284" s="419">
        <f>ROUND(+N284+O284+P284,4)</f>
        <v>0</v>
      </c>
      <c r="R284" s="419">
        <f>ROUND(IF(+Q284-H284&lt;=0,0,Q284-H284),4)</f>
        <v>0</v>
      </c>
      <c r="S284" s="423">
        <v>0.5</v>
      </c>
      <c r="T284" s="419">
        <f>ROUND(+(R284*C284)*S284,4)</f>
        <v>0</v>
      </c>
      <c r="U284" s="419">
        <f>ROUND(+J284+M284+T284,4)</f>
        <v>0</v>
      </c>
      <c r="V284" s="235"/>
    </row>
    <row r="285" spans="1:22" ht="15.75" x14ac:dyDescent="0.25">
      <c r="A285" s="231"/>
      <c r="B285" s="232"/>
      <c r="C285" s="400"/>
      <c r="D285" s="233"/>
      <c r="E285" s="405"/>
      <c r="F285" s="405"/>
      <c r="G285" s="405"/>
      <c r="H285" s="408">
        <f>ROUND(+E285+F285+G285,4)</f>
        <v>0</v>
      </c>
      <c r="I285" s="234"/>
      <c r="J285" s="411"/>
      <c r="K285" s="411"/>
      <c r="L285" s="414">
        <v>0.1</v>
      </c>
      <c r="M285" s="414">
        <f>ROUND(+L285*C285,4)</f>
        <v>0</v>
      </c>
      <c r="N285" s="414"/>
      <c r="O285" s="414"/>
      <c r="P285" s="414"/>
      <c r="Q285" s="419">
        <f>ROUND(+N285+O285+P285,4)</f>
        <v>0</v>
      </c>
      <c r="R285" s="419">
        <f>ROUND(IF(+Q285-H285&lt;=0,0,Q285-H285),4)</f>
        <v>0</v>
      </c>
      <c r="S285" s="423">
        <v>0.5</v>
      </c>
      <c r="T285" s="419">
        <f>ROUND(+(R285*C285)*S285,4)</f>
        <v>0</v>
      </c>
      <c r="U285" s="419">
        <f>ROUND(+J285+M285+T285,4)</f>
        <v>0</v>
      </c>
      <c r="V285" s="235"/>
    </row>
    <row r="286" spans="1:22" ht="15.75" x14ac:dyDescent="0.25">
      <c r="A286" s="231"/>
      <c r="B286" s="232"/>
      <c r="C286" s="400"/>
      <c r="D286" s="233"/>
      <c r="E286" s="405"/>
      <c r="F286" s="405"/>
      <c r="G286" s="405"/>
      <c r="H286" s="408">
        <f>ROUND(+E286+F286+G286,4)</f>
        <v>0</v>
      </c>
      <c r="I286" s="234"/>
      <c r="J286" s="411"/>
      <c r="K286" s="411"/>
      <c r="L286" s="414">
        <v>0.1</v>
      </c>
      <c r="M286" s="414">
        <f>ROUND(+L286*C286,4)</f>
        <v>0</v>
      </c>
      <c r="N286" s="414"/>
      <c r="O286" s="414"/>
      <c r="P286" s="414"/>
      <c r="Q286" s="419">
        <f>ROUND(+N286+O286+P286,4)</f>
        <v>0</v>
      </c>
      <c r="R286" s="419">
        <f>ROUND(IF(+Q286-H286&lt;=0,0,Q286-H286),4)</f>
        <v>0</v>
      </c>
      <c r="S286" s="423">
        <v>0.5</v>
      </c>
      <c r="T286" s="419">
        <f>ROUND(+(R286*C286)*S286,4)</f>
        <v>0</v>
      </c>
      <c r="U286" s="419">
        <f>ROUND(+J286+M286+T286,4)</f>
        <v>0</v>
      </c>
      <c r="V286" s="235"/>
    </row>
    <row r="287" spans="1:22" ht="15.75" x14ac:dyDescent="0.25">
      <c r="A287" s="231"/>
      <c r="B287" s="232"/>
      <c r="C287" s="400"/>
      <c r="D287" s="233"/>
      <c r="E287" s="405"/>
      <c r="F287" s="405"/>
      <c r="G287" s="405"/>
      <c r="H287" s="408">
        <f>ROUND(+E287+F287+G287,4)</f>
        <v>0</v>
      </c>
      <c r="I287" s="234"/>
      <c r="J287" s="411"/>
      <c r="K287" s="411"/>
      <c r="L287" s="414">
        <v>0.1</v>
      </c>
      <c r="M287" s="414">
        <f>ROUND(+L287*C287,4)</f>
        <v>0</v>
      </c>
      <c r="N287" s="414"/>
      <c r="O287" s="414"/>
      <c r="P287" s="414"/>
      <c r="Q287" s="419">
        <f>ROUND(+N287+O287+P287,4)</f>
        <v>0</v>
      </c>
      <c r="R287" s="419">
        <f>ROUND(IF(+Q287-H287&lt;=0,0,Q287-H287),4)</f>
        <v>0</v>
      </c>
      <c r="S287" s="423">
        <v>0.5</v>
      </c>
      <c r="T287" s="419">
        <f>ROUND(+(R287*C287)*S287,4)</f>
        <v>0</v>
      </c>
      <c r="U287" s="419">
        <f>ROUND(+J287+M287+T287,4)</f>
        <v>0</v>
      </c>
      <c r="V287" s="235"/>
    </row>
    <row r="288" spans="1:22" ht="15.75" x14ac:dyDescent="0.25">
      <c r="A288" s="231"/>
      <c r="B288" s="232"/>
      <c r="C288" s="400"/>
      <c r="D288" s="233"/>
      <c r="E288" s="405"/>
      <c r="F288" s="405"/>
      <c r="G288" s="405"/>
      <c r="H288" s="408">
        <f>ROUND(+E288+F288+G288,4)</f>
        <v>0</v>
      </c>
      <c r="I288" s="234"/>
      <c r="J288" s="411"/>
      <c r="K288" s="411"/>
      <c r="L288" s="414">
        <v>0.1</v>
      </c>
      <c r="M288" s="414">
        <f>ROUND(+L288*C288,4)</f>
        <v>0</v>
      </c>
      <c r="N288" s="414"/>
      <c r="O288" s="414"/>
      <c r="P288" s="414"/>
      <c r="Q288" s="419">
        <f>ROUND(+N288+O288+P288,4)</f>
        <v>0</v>
      </c>
      <c r="R288" s="419">
        <f>ROUND(IF(+Q288-H288&lt;=0,0,Q288-H288),4)</f>
        <v>0</v>
      </c>
      <c r="S288" s="423">
        <v>0.5</v>
      </c>
      <c r="T288" s="419">
        <f>ROUND(+(R288*C288)*S288,4)</f>
        <v>0</v>
      </c>
      <c r="U288" s="419">
        <f>ROUND(+J288+M288+T288,4)</f>
        <v>0</v>
      </c>
      <c r="V288" s="235"/>
    </row>
    <row r="289" spans="1:22" ht="15.75" x14ac:dyDescent="0.25">
      <c r="A289" s="231"/>
      <c r="B289" s="232"/>
      <c r="C289" s="400"/>
      <c r="D289" s="233"/>
      <c r="E289" s="405"/>
      <c r="F289" s="405"/>
      <c r="G289" s="405"/>
      <c r="H289" s="408">
        <f>ROUND(+E289+F289+G289,4)</f>
        <v>0</v>
      </c>
      <c r="I289" s="234"/>
      <c r="J289" s="411"/>
      <c r="K289" s="411"/>
      <c r="L289" s="414">
        <v>0.1</v>
      </c>
      <c r="M289" s="414">
        <f>ROUND(+L289*C289,4)</f>
        <v>0</v>
      </c>
      <c r="N289" s="414"/>
      <c r="O289" s="414"/>
      <c r="P289" s="414"/>
      <c r="Q289" s="419">
        <f>ROUND(+N289+O289+P289,4)</f>
        <v>0</v>
      </c>
      <c r="R289" s="419">
        <f>ROUND(IF(+Q289-H289&lt;=0,0,Q289-H289),4)</f>
        <v>0</v>
      </c>
      <c r="S289" s="423">
        <v>0.5</v>
      </c>
      <c r="T289" s="419">
        <f>ROUND(+(R289*C289)*S289,4)</f>
        <v>0</v>
      </c>
      <c r="U289" s="419">
        <f>ROUND(+J289+M289+T289,4)</f>
        <v>0</v>
      </c>
      <c r="V289" s="235"/>
    </row>
    <row r="290" spans="1:22" ht="15.75" x14ac:dyDescent="0.25">
      <c r="A290" s="231"/>
      <c r="B290" s="232"/>
      <c r="C290" s="400"/>
      <c r="D290" s="233"/>
      <c r="E290" s="405"/>
      <c r="F290" s="405"/>
      <c r="G290" s="405"/>
      <c r="H290" s="408">
        <f>ROUND(+E290+F290+G290,4)</f>
        <v>0</v>
      </c>
      <c r="I290" s="234"/>
      <c r="J290" s="411"/>
      <c r="K290" s="411"/>
      <c r="L290" s="414">
        <v>0.1</v>
      </c>
      <c r="M290" s="414">
        <f>ROUND(+L290*C290,4)</f>
        <v>0</v>
      </c>
      <c r="N290" s="414"/>
      <c r="O290" s="414"/>
      <c r="P290" s="414"/>
      <c r="Q290" s="419">
        <f>ROUND(+N290+O290+P290,4)</f>
        <v>0</v>
      </c>
      <c r="R290" s="419">
        <f>ROUND(IF(+Q290-H290&lt;=0,0,Q290-H290),4)</f>
        <v>0</v>
      </c>
      <c r="S290" s="423">
        <v>0.5</v>
      </c>
      <c r="T290" s="419">
        <f>ROUND(+(R290*C290)*S290,4)</f>
        <v>0</v>
      </c>
      <c r="U290" s="419">
        <f>ROUND(+J290+M290+T290,4)</f>
        <v>0</v>
      </c>
      <c r="V290" s="235"/>
    </row>
    <row r="291" spans="1:22" ht="15.75" x14ac:dyDescent="0.25">
      <c r="A291" s="231"/>
      <c r="B291" s="232"/>
      <c r="C291" s="400"/>
      <c r="D291" s="233"/>
      <c r="E291" s="405"/>
      <c r="F291" s="405"/>
      <c r="G291" s="405"/>
      <c r="H291" s="408">
        <f>ROUND(+E291+F291+G291,4)</f>
        <v>0</v>
      </c>
      <c r="I291" s="234"/>
      <c r="J291" s="411"/>
      <c r="K291" s="411"/>
      <c r="L291" s="414">
        <v>0.1</v>
      </c>
      <c r="M291" s="414">
        <f>ROUND(+L291*C291,4)</f>
        <v>0</v>
      </c>
      <c r="N291" s="414"/>
      <c r="O291" s="414"/>
      <c r="P291" s="414"/>
      <c r="Q291" s="419">
        <f>ROUND(+N291+O291+P291,4)</f>
        <v>0</v>
      </c>
      <c r="R291" s="419">
        <f>ROUND(IF(+Q291-H291&lt;=0,0,Q291-H291),4)</f>
        <v>0</v>
      </c>
      <c r="S291" s="423">
        <v>0.5</v>
      </c>
      <c r="T291" s="419">
        <f>ROUND(+(R291*C291)*S291,4)</f>
        <v>0</v>
      </c>
      <c r="U291" s="419">
        <f>ROUND(+J291+M291+T291,4)</f>
        <v>0</v>
      </c>
      <c r="V291" s="235"/>
    </row>
    <row r="292" spans="1:22" ht="15.75" x14ac:dyDescent="0.25">
      <c r="A292" s="231"/>
      <c r="B292" s="232"/>
      <c r="C292" s="400"/>
      <c r="D292" s="233"/>
      <c r="E292" s="405"/>
      <c r="F292" s="405"/>
      <c r="G292" s="405"/>
      <c r="H292" s="408">
        <f>ROUND(+E292+F292+G292,4)</f>
        <v>0</v>
      </c>
      <c r="I292" s="234"/>
      <c r="J292" s="411"/>
      <c r="K292" s="411"/>
      <c r="L292" s="414">
        <v>0.1</v>
      </c>
      <c r="M292" s="414">
        <f>ROUND(+L292*C292,4)</f>
        <v>0</v>
      </c>
      <c r="N292" s="414"/>
      <c r="O292" s="414"/>
      <c r="P292" s="414"/>
      <c r="Q292" s="419">
        <f>ROUND(+N292+O292+P292,4)</f>
        <v>0</v>
      </c>
      <c r="R292" s="419">
        <f>ROUND(IF(+Q292-H292&lt;=0,0,Q292-H292),4)</f>
        <v>0</v>
      </c>
      <c r="S292" s="423">
        <v>0.5</v>
      </c>
      <c r="T292" s="419">
        <f>ROUND(+(R292*C292)*S292,4)</f>
        <v>0</v>
      </c>
      <c r="U292" s="419">
        <f>ROUND(+J292+M292+T292,4)</f>
        <v>0</v>
      </c>
      <c r="V292" s="235"/>
    </row>
    <row r="293" spans="1:22" ht="15.75" x14ac:dyDescent="0.25">
      <c r="A293" s="231"/>
      <c r="B293" s="232"/>
      <c r="C293" s="400"/>
      <c r="D293" s="233"/>
      <c r="E293" s="405"/>
      <c r="F293" s="405"/>
      <c r="G293" s="405"/>
      <c r="H293" s="408">
        <f>ROUND(+E293+F293+G293,4)</f>
        <v>0</v>
      </c>
      <c r="I293" s="234"/>
      <c r="J293" s="411"/>
      <c r="K293" s="411"/>
      <c r="L293" s="414">
        <v>0.1</v>
      </c>
      <c r="M293" s="414">
        <f>ROUND(+L293*C293,4)</f>
        <v>0</v>
      </c>
      <c r="N293" s="414"/>
      <c r="O293" s="414"/>
      <c r="P293" s="414"/>
      <c r="Q293" s="419">
        <f>ROUND(+N293+O293+P293,4)</f>
        <v>0</v>
      </c>
      <c r="R293" s="419">
        <f>ROUND(IF(+Q293-H293&lt;=0,0,Q293-H293),4)</f>
        <v>0</v>
      </c>
      <c r="S293" s="423">
        <v>0.5</v>
      </c>
      <c r="T293" s="419">
        <f>ROUND(+(R293*C293)*S293,4)</f>
        <v>0</v>
      </c>
      <c r="U293" s="419">
        <f>ROUND(+J293+M293+T293,4)</f>
        <v>0</v>
      </c>
      <c r="V293" s="235"/>
    </row>
    <row r="294" spans="1:22" ht="15.75" x14ac:dyDescent="0.25">
      <c r="A294" s="231"/>
      <c r="B294" s="232"/>
      <c r="C294" s="400"/>
      <c r="D294" s="233"/>
      <c r="E294" s="405"/>
      <c r="F294" s="405"/>
      <c r="G294" s="405"/>
      <c r="H294" s="408">
        <f>ROUND(+E294+F294+G294,4)</f>
        <v>0</v>
      </c>
      <c r="I294" s="234"/>
      <c r="J294" s="411"/>
      <c r="K294" s="411"/>
      <c r="L294" s="414">
        <v>0.1</v>
      </c>
      <c r="M294" s="414">
        <f>ROUND(+L294*C294,4)</f>
        <v>0</v>
      </c>
      <c r="N294" s="414"/>
      <c r="O294" s="414"/>
      <c r="P294" s="414"/>
      <c r="Q294" s="419">
        <f>ROUND(+N294+O294+P294,4)</f>
        <v>0</v>
      </c>
      <c r="R294" s="419">
        <f>ROUND(IF(+Q294-H294&lt;=0,0,Q294-H294),4)</f>
        <v>0</v>
      </c>
      <c r="S294" s="423">
        <v>0.5</v>
      </c>
      <c r="T294" s="419">
        <f>ROUND(+(R294*C294)*S294,4)</f>
        <v>0</v>
      </c>
      <c r="U294" s="419">
        <f>ROUND(+J294+M294+T294,4)</f>
        <v>0</v>
      </c>
      <c r="V294" s="235"/>
    </row>
    <row r="295" spans="1:22" ht="15.75" x14ac:dyDescent="0.25">
      <c r="A295" s="231"/>
      <c r="B295" s="232"/>
      <c r="C295" s="400"/>
      <c r="D295" s="233"/>
      <c r="E295" s="405"/>
      <c r="F295" s="405"/>
      <c r="G295" s="405"/>
      <c r="H295" s="408">
        <f>ROUND(+E295+F295+G295,4)</f>
        <v>0</v>
      </c>
      <c r="I295" s="234"/>
      <c r="J295" s="411"/>
      <c r="K295" s="411"/>
      <c r="L295" s="414">
        <v>0.1</v>
      </c>
      <c r="M295" s="414">
        <f>ROUND(+L295*C295,4)</f>
        <v>0</v>
      </c>
      <c r="N295" s="414"/>
      <c r="O295" s="414"/>
      <c r="P295" s="414"/>
      <c r="Q295" s="419">
        <f>ROUND(+N295+O295+P295,4)</f>
        <v>0</v>
      </c>
      <c r="R295" s="419">
        <f>ROUND(IF(+Q295-H295&lt;=0,0,Q295-H295),4)</f>
        <v>0</v>
      </c>
      <c r="S295" s="423">
        <v>0.5</v>
      </c>
      <c r="T295" s="419">
        <f>ROUND(+(R295*C295)*S295,4)</f>
        <v>0</v>
      </c>
      <c r="U295" s="419">
        <f>ROUND(+J295+M295+T295,4)</f>
        <v>0</v>
      </c>
      <c r="V295" s="235"/>
    </row>
    <row r="296" spans="1:22" ht="15.75" x14ac:dyDescent="0.25">
      <c r="A296" s="231"/>
      <c r="B296" s="232"/>
      <c r="C296" s="400"/>
      <c r="D296" s="233"/>
      <c r="E296" s="405"/>
      <c r="F296" s="405"/>
      <c r="G296" s="405"/>
      <c r="H296" s="408">
        <f>ROUND(+E296+F296+G296,4)</f>
        <v>0</v>
      </c>
      <c r="I296" s="234"/>
      <c r="J296" s="411"/>
      <c r="K296" s="411"/>
      <c r="L296" s="414">
        <v>0.1</v>
      </c>
      <c r="M296" s="414">
        <f>ROUND(+L296*C296,4)</f>
        <v>0</v>
      </c>
      <c r="N296" s="414"/>
      <c r="O296" s="414"/>
      <c r="P296" s="414"/>
      <c r="Q296" s="419">
        <f>ROUND(+N296+O296+P296,4)</f>
        <v>0</v>
      </c>
      <c r="R296" s="419">
        <f>ROUND(IF(+Q296-H296&lt;=0,0,Q296-H296),4)</f>
        <v>0</v>
      </c>
      <c r="S296" s="423">
        <v>0.5</v>
      </c>
      <c r="T296" s="419">
        <f>ROUND(+(R296*C296)*S296,4)</f>
        <v>0</v>
      </c>
      <c r="U296" s="419">
        <f>ROUND(+J296+M296+T296,4)</f>
        <v>0</v>
      </c>
      <c r="V296" s="235"/>
    </row>
    <row r="297" spans="1:22" ht="15.75" x14ac:dyDescent="0.25">
      <c r="A297" s="231"/>
      <c r="B297" s="232"/>
      <c r="C297" s="400"/>
      <c r="D297" s="233"/>
      <c r="E297" s="405"/>
      <c r="F297" s="405"/>
      <c r="G297" s="405"/>
      <c r="H297" s="408">
        <f>ROUND(+E297+F297+G297,4)</f>
        <v>0</v>
      </c>
      <c r="I297" s="234"/>
      <c r="J297" s="411"/>
      <c r="K297" s="411"/>
      <c r="L297" s="414">
        <v>0.1</v>
      </c>
      <c r="M297" s="414">
        <f>ROUND(+L297*C297,4)</f>
        <v>0</v>
      </c>
      <c r="N297" s="414"/>
      <c r="O297" s="414"/>
      <c r="P297" s="414"/>
      <c r="Q297" s="419">
        <f>ROUND(+N297+O297+P297,4)</f>
        <v>0</v>
      </c>
      <c r="R297" s="419">
        <f>ROUND(IF(+Q297-H297&lt;=0,0,Q297-H297),4)</f>
        <v>0</v>
      </c>
      <c r="S297" s="423">
        <v>0.5</v>
      </c>
      <c r="T297" s="419">
        <f>ROUND(+(R297*C297)*S297,4)</f>
        <v>0</v>
      </c>
      <c r="U297" s="419">
        <f>ROUND(+J297+M297+T297,4)</f>
        <v>0</v>
      </c>
      <c r="V297" s="235"/>
    </row>
    <row r="298" spans="1:22" ht="15.75" x14ac:dyDescent="0.25">
      <c r="A298" s="231"/>
      <c r="B298" s="232"/>
      <c r="C298" s="400"/>
      <c r="D298" s="233"/>
      <c r="E298" s="405"/>
      <c r="F298" s="405"/>
      <c r="G298" s="405"/>
      <c r="H298" s="408">
        <f>ROUND(+E298+F298+G298,4)</f>
        <v>0</v>
      </c>
      <c r="I298" s="234"/>
      <c r="J298" s="411"/>
      <c r="K298" s="411"/>
      <c r="L298" s="414">
        <v>0.1</v>
      </c>
      <c r="M298" s="414">
        <f>ROUND(+L298*C298,4)</f>
        <v>0</v>
      </c>
      <c r="N298" s="414"/>
      <c r="O298" s="414"/>
      <c r="P298" s="414"/>
      <c r="Q298" s="419">
        <f>ROUND(+N298+O298+P298,4)</f>
        <v>0</v>
      </c>
      <c r="R298" s="419">
        <f>ROUND(IF(+Q298-H298&lt;=0,0,Q298-H298),4)</f>
        <v>0</v>
      </c>
      <c r="S298" s="423">
        <v>0.5</v>
      </c>
      <c r="T298" s="419">
        <f>ROUND(+(R298*C298)*S298,4)</f>
        <v>0</v>
      </c>
      <c r="U298" s="419">
        <f>ROUND(+J298+M298+T298,4)</f>
        <v>0</v>
      </c>
      <c r="V298" s="235"/>
    </row>
    <row r="299" spans="1:22" ht="15.75" x14ac:dyDescent="0.25">
      <c r="A299" s="231"/>
      <c r="B299" s="232"/>
      <c r="C299" s="400"/>
      <c r="D299" s="233"/>
      <c r="E299" s="405"/>
      <c r="F299" s="405"/>
      <c r="G299" s="405"/>
      <c r="H299" s="408">
        <f>ROUND(+E299+F299+G299,4)</f>
        <v>0</v>
      </c>
      <c r="I299" s="234"/>
      <c r="J299" s="411"/>
      <c r="K299" s="411"/>
      <c r="L299" s="414">
        <v>0.1</v>
      </c>
      <c r="M299" s="414">
        <f>ROUND(+L299*C299,4)</f>
        <v>0</v>
      </c>
      <c r="N299" s="414"/>
      <c r="O299" s="414"/>
      <c r="P299" s="414"/>
      <c r="Q299" s="419">
        <f>ROUND(+N299+O299+P299,4)</f>
        <v>0</v>
      </c>
      <c r="R299" s="419">
        <f>ROUND(IF(+Q299-H299&lt;=0,0,Q299-H299),4)</f>
        <v>0</v>
      </c>
      <c r="S299" s="423">
        <v>0.5</v>
      </c>
      <c r="T299" s="419">
        <f>ROUND(+(R299*C299)*S299,4)</f>
        <v>0</v>
      </c>
      <c r="U299" s="419">
        <f>ROUND(+J299+M299+T299,4)</f>
        <v>0</v>
      </c>
      <c r="V299" s="235"/>
    </row>
    <row r="300" spans="1:22" ht="15.75" x14ac:dyDescent="0.25">
      <c r="A300" s="231"/>
      <c r="B300" s="232"/>
      <c r="C300" s="400"/>
      <c r="D300" s="233"/>
      <c r="E300" s="405"/>
      <c r="F300" s="405"/>
      <c r="G300" s="405"/>
      <c r="H300" s="408">
        <f>ROUND(+E300+F300+G300,4)</f>
        <v>0</v>
      </c>
      <c r="I300" s="234"/>
      <c r="J300" s="411"/>
      <c r="K300" s="411"/>
      <c r="L300" s="414">
        <v>0.1</v>
      </c>
      <c r="M300" s="414">
        <f>ROUND(+L300*C300,4)</f>
        <v>0</v>
      </c>
      <c r="N300" s="414"/>
      <c r="O300" s="414"/>
      <c r="P300" s="414"/>
      <c r="Q300" s="419">
        <f>ROUND(+N300+O300+P300,4)</f>
        <v>0</v>
      </c>
      <c r="R300" s="419">
        <f>ROUND(IF(+Q300-H300&lt;=0,0,Q300-H300),4)</f>
        <v>0</v>
      </c>
      <c r="S300" s="423">
        <v>0.5</v>
      </c>
      <c r="T300" s="419">
        <f>ROUND(+(R300*C300)*S300,4)</f>
        <v>0</v>
      </c>
      <c r="U300" s="419">
        <f>ROUND(+J300+M300+T300,4)</f>
        <v>0</v>
      </c>
      <c r="V300" s="235"/>
    </row>
    <row r="301" spans="1:22" ht="15.75" x14ac:dyDescent="0.25">
      <c r="A301" s="231"/>
      <c r="B301" s="232"/>
      <c r="C301" s="400"/>
      <c r="D301" s="233"/>
      <c r="E301" s="405"/>
      <c r="F301" s="405"/>
      <c r="G301" s="405"/>
      <c r="H301" s="408">
        <f>ROUND(+E301+F301+G301,4)</f>
        <v>0</v>
      </c>
      <c r="I301" s="234"/>
      <c r="J301" s="411"/>
      <c r="K301" s="411"/>
      <c r="L301" s="414">
        <v>0.1</v>
      </c>
      <c r="M301" s="414">
        <f>ROUND(+L301*C301,4)</f>
        <v>0</v>
      </c>
      <c r="N301" s="414"/>
      <c r="O301" s="414"/>
      <c r="P301" s="414"/>
      <c r="Q301" s="419">
        <f>ROUND(+N301+O301+P301,4)</f>
        <v>0</v>
      </c>
      <c r="R301" s="419">
        <f>ROUND(IF(+Q301-H301&lt;=0,0,Q301-H301),4)</f>
        <v>0</v>
      </c>
      <c r="S301" s="423">
        <v>0.5</v>
      </c>
      <c r="T301" s="419">
        <f>ROUND(+(R301*C301)*S301,4)</f>
        <v>0</v>
      </c>
      <c r="U301" s="419">
        <f>ROUND(+J301+M301+T301,4)</f>
        <v>0</v>
      </c>
      <c r="V301" s="235"/>
    </row>
    <row r="302" spans="1:22" ht="15.75" x14ac:dyDescent="0.25">
      <c r="A302" s="231"/>
      <c r="B302" s="232"/>
      <c r="C302" s="400"/>
      <c r="D302" s="233"/>
      <c r="E302" s="405"/>
      <c r="F302" s="405"/>
      <c r="G302" s="405"/>
      <c r="H302" s="408">
        <f>ROUND(+E302+F302+G302,4)</f>
        <v>0</v>
      </c>
      <c r="I302" s="234"/>
      <c r="J302" s="411"/>
      <c r="K302" s="411"/>
      <c r="L302" s="414">
        <v>0.1</v>
      </c>
      <c r="M302" s="414">
        <f>ROUND(+L302*C302,4)</f>
        <v>0</v>
      </c>
      <c r="N302" s="414"/>
      <c r="O302" s="414"/>
      <c r="P302" s="414"/>
      <c r="Q302" s="419">
        <f>ROUND(+N302+O302+P302,4)</f>
        <v>0</v>
      </c>
      <c r="R302" s="419">
        <f>ROUND(IF(+Q302-H302&lt;=0,0,Q302-H302),4)</f>
        <v>0</v>
      </c>
      <c r="S302" s="423">
        <v>0.5</v>
      </c>
      <c r="T302" s="419">
        <f>ROUND(+(R302*C302)*S302,4)</f>
        <v>0</v>
      </c>
      <c r="U302" s="419">
        <f>ROUND(+J302+M302+T302,4)</f>
        <v>0</v>
      </c>
      <c r="V302" s="235"/>
    </row>
    <row r="303" spans="1:22" ht="15.75" x14ac:dyDescent="0.25">
      <c r="A303" s="231"/>
      <c r="B303" s="232"/>
      <c r="C303" s="400"/>
      <c r="D303" s="233"/>
      <c r="E303" s="405"/>
      <c r="F303" s="405"/>
      <c r="G303" s="405"/>
      <c r="H303" s="408">
        <f>ROUND(+E303+F303+G303,4)</f>
        <v>0</v>
      </c>
      <c r="I303" s="234"/>
      <c r="J303" s="411"/>
      <c r="K303" s="411"/>
      <c r="L303" s="414">
        <v>0.1</v>
      </c>
      <c r="M303" s="414">
        <f>ROUND(+L303*C303,4)</f>
        <v>0</v>
      </c>
      <c r="N303" s="414"/>
      <c r="O303" s="414"/>
      <c r="P303" s="414"/>
      <c r="Q303" s="419">
        <f>ROUND(+N303+O303+P303,4)</f>
        <v>0</v>
      </c>
      <c r="R303" s="419">
        <f>ROUND(IF(+Q303-H303&lt;=0,0,Q303-H303),4)</f>
        <v>0</v>
      </c>
      <c r="S303" s="423">
        <v>0.5</v>
      </c>
      <c r="T303" s="419">
        <f>ROUND(+(R303*C303)*S303,4)</f>
        <v>0</v>
      </c>
      <c r="U303" s="419">
        <f>ROUND(+J303+M303+T303,4)</f>
        <v>0</v>
      </c>
      <c r="V303" s="235"/>
    </row>
    <row r="304" spans="1:22" ht="15.75" x14ac:dyDescent="0.25">
      <c r="A304" s="231"/>
      <c r="B304" s="232"/>
      <c r="C304" s="400"/>
      <c r="D304" s="233"/>
      <c r="E304" s="405"/>
      <c r="F304" s="405"/>
      <c r="G304" s="405"/>
      <c r="H304" s="408">
        <f>ROUND(+E304+F304+G304,4)</f>
        <v>0</v>
      </c>
      <c r="I304" s="234"/>
      <c r="J304" s="411"/>
      <c r="K304" s="411"/>
      <c r="L304" s="414">
        <v>0.1</v>
      </c>
      <c r="M304" s="414">
        <f>ROUND(+L304*C304,4)</f>
        <v>0</v>
      </c>
      <c r="N304" s="414"/>
      <c r="O304" s="414"/>
      <c r="P304" s="414"/>
      <c r="Q304" s="419">
        <f>ROUND(+N304+O304+P304,4)</f>
        <v>0</v>
      </c>
      <c r="R304" s="419">
        <f>ROUND(IF(+Q304-H304&lt;=0,0,Q304-H304),4)</f>
        <v>0</v>
      </c>
      <c r="S304" s="423">
        <v>0.5</v>
      </c>
      <c r="T304" s="419">
        <f>ROUND(+(R304*C304)*S304,4)</f>
        <v>0</v>
      </c>
      <c r="U304" s="419">
        <f>ROUND(+J304+M304+T304,4)</f>
        <v>0</v>
      </c>
      <c r="V304" s="235"/>
    </row>
    <row r="305" spans="1:22" ht="15.75" x14ac:dyDescent="0.25">
      <c r="A305" s="231"/>
      <c r="B305" s="232"/>
      <c r="C305" s="400"/>
      <c r="D305" s="233"/>
      <c r="E305" s="405"/>
      <c r="F305" s="405"/>
      <c r="G305" s="405"/>
      <c r="H305" s="408">
        <f>ROUND(+E305+F305+G305,4)</f>
        <v>0</v>
      </c>
      <c r="I305" s="234"/>
      <c r="J305" s="411"/>
      <c r="K305" s="411"/>
      <c r="L305" s="414">
        <v>0.1</v>
      </c>
      <c r="M305" s="414">
        <f>ROUND(+L305*C305,4)</f>
        <v>0</v>
      </c>
      <c r="N305" s="414"/>
      <c r="O305" s="414"/>
      <c r="P305" s="414"/>
      <c r="Q305" s="419">
        <f>ROUND(+N305+O305+P305,4)</f>
        <v>0</v>
      </c>
      <c r="R305" s="419">
        <f>ROUND(IF(+Q305-H305&lt;=0,0,Q305-H305),4)</f>
        <v>0</v>
      </c>
      <c r="S305" s="423">
        <v>0.5</v>
      </c>
      <c r="T305" s="419">
        <f>ROUND(+(R305*C305)*S305,4)</f>
        <v>0</v>
      </c>
      <c r="U305" s="419">
        <f>ROUND(+J305+M305+T305,4)</f>
        <v>0</v>
      </c>
      <c r="V305" s="235"/>
    </row>
    <row r="306" spans="1:22" ht="15.75" x14ac:dyDescent="0.25">
      <c r="A306" s="231"/>
      <c r="B306" s="232"/>
      <c r="C306" s="400"/>
      <c r="D306" s="233"/>
      <c r="E306" s="405"/>
      <c r="F306" s="405"/>
      <c r="G306" s="405"/>
      <c r="H306" s="408">
        <f>ROUND(+E306+F306+G306,4)</f>
        <v>0</v>
      </c>
      <c r="I306" s="234"/>
      <c r="J306" s="411"/>
      <c r="K306" s="411"/>
      <c r="L306" s="414">
        <v>0.1</v>
      </c>
      <c r="M306" s="414">
        <f>ROUND(+L306*C306,4)</f>
        <v>0</v>
      </c>
      <c r="N306" s="414"/>
      <c r="O306" s="414"/>
      <c r="P306" s="414"/>
      <c r="Q306" s="419">
        <f>ROUND(+N306+O306+P306,4)</f>
        <v>0</v>
      </c>
      <c r="R306" s="419">
        <f>ROUND(IF(+Q306-H306&lt;=0,0,Q306-H306),4)</f>
        <v>0</v>
      </c>
      <c r="S306" s="423">
        <v>0.5</v>
      </c>
      <c r="T306" s="419">
        <f>ROUND(+(R306*C306)*S306,4)</f>
        <v>0</v>
      </c>
      <c r="U306" s="419">
        <f>ROUND(+J306+M306+T306,4)</f>
        <v>0</v>
      </c>
      <c r="V306" s="235"/>
    </row>
    <row r="307" spans="1:22" ht="15.75" x14ac:dyDescent="0.25">
      <c r="A307" s="231"/>
      <c r="B307" s="232"/>
      <c r="C307" s="400"/>
      <c r="D307" s="233"/>
      <c r="E307" s="405"/>
      <c r="F307" s="405"/>
      <c r="G307" s="405"/>
      <c r="H307" s="408">
        <f>ROUND(+E307+F307+G307,4)</f>
        <v>0</v>
      </c>
      <c r="I307" s="234"/>
      <c r="J307" s="411"/>
      <c r="K307" s="411"/>
      <c r="L307" s="414">
        <v>0.1</v>
      </c>
      <c r="M307" s="414">
        <f>ROUND(+L307*C307,4)</f>
        <v>0</v>
      </c>
      <c r="N307" s="414"/>
      <c r="O307" s="414"/>
      <c r="P307" s="414"/>
      <c r="Q307" s="419">
        <f>ROUND(+N307+O307+P307,4)</f>
        <v>0</v>
      </c>
      <c r="R307" s="419">
        <f>ROUND(IF(+Q307-H307&lt;=0,0,Q307-H307),4)</f>
        <v>0</v>
      </c>
      <c r="S307" s="423">
        <v>0.5</v>
      </c>
      <c r="T307" s="419">
        <f>ROUND(+(R307*C307)*S307,4)</f>
        <v>0</v>
      </c>
      <c r="U307" s="419">
        <f>ROUND(+J307+M307+T307,4)</f>
        <v>0</v>
      </c>
      <c r="V307" s="235"/>
    </row>
    <row r="308" spans="1:22" ht="15.75" x14ac:dyDescent="0.25">
      <c r="A308" s="231"/>
      <c r="B308" s="232"/>
      <c r="C308" s="400"/>
      <c r="D308" s="233"/>
      <c r="E308" s="405"/>
      <c r="F308" s="405"/>
      <c r="G308" s="405"/>
      <c r="H308" s="408">
        <f>ROUND(+E308+F308+G308,4)</f>
        <v>0</v>
      </c>
      <c r="I308" s="234"/>
      <c r="J308" s="411"/>
      <c r="K308" s="411"/>
      <c r="L308" s="414">
        <v>0.1</v>
      </c>
      <c r="M308" s="414">
        <f>ROUND(+L308*C308,4)</f>
        <v>0</v>
      </c>
      <c r="N308" s="414"/>
      <c r="O308" s="414"/>
      <c r="P308" s="414"/>
      <c r="Q308" s="419">
        <f>ROUND(+N308+O308+P308,4)</f>
        <v>0</v>
      </c>
      <c r="R308" s="419">
        <f>ROUND(IF(+Q308-H308&lt;=0,0,Q308-H308),4)</f>
        <v>0</v>
      </c>
      <c r="S308" s="423">
        <v>0.5</v>
      </c>
      <c r="T308" s="419">
        <f>ROUND(+(R308*C308)*S308,4)</f>
        <v>0</v>
      </c>
      <c r="U308" s="419">
        <f>ROUND(+J308+M308+T308,4)</f>
        <v>0</v>
      </c>
      <c r="V308" s="235"/>
    </row>
    <row r="309" spans="1:22" ht="15.75" x14ac:dyDescent="0.25">
      <c r="A309" s="231"/>
      <c r="B309" s="232"/>
      <c r="C309" s="400"/>
      <c r="D309" s="233"/>
      <c r="E309" s="405"/>
      <c r="F309" s="405"/>
      <c r="G309" s="405"/>
      <c r="H309" s="408">
        <f>ROUND(+E309+F309+G309,4)</f>
        <v>0</v>
      </c>
      <c r="I309" s="234"/>
      <c r="J309" s="411"/>
      <c r="K309" s="411"/>
      <c r="L309" s="414">
        <v>0.1</v>
      </c>
      <c r="M309" s="414">
        <f>ROUND(+L309*C309,4)</f>
        <v>0</v>
      </c>
      <c r="N309" s="414"/>
      <c r="O309" s="414"/>
      <c r="P309" s="414"/>
      <c r="Q309" s="419">
        <f>ROUND(+N309+O309+P309,4)</f>
        <v>0</v>
      </c>
      <c r="R309" s="419">
        <f>ROUND(IF(+Q309-H309&lt;=0,0,Q309-H309),4)</f>
        <v>0</v>
      </c>
      <c r="S309" s="423">
        <v>0.5</v>
      </c>
      <c r="T309" s="419">
        <f>ROUND(+(R309*C309)*S309,4)</f>
        <v>0</v>
      </c>
      <c r="U309" s="419">
        <f>ROUND(+J309+M309+T309,4)</f>
        <v>0</v>
      </c>
      <c r="V309" s="235"/>
    </row>
    <row r="310" spans="1:22" ht="15.75" x14ac:dyDescent="0.25">
      <c r="A310" s="231"/>
      <c r="B310" s="232"/>
      <c r="C310" s="400"/>
      <c r="D310" s="233"/>
      <c r="E310" s="405"/>
      <c r="F310" s="405"/>
      <c r="G310" s="405"/>
      <c r="H310" s="408">
        <f>ROUND(+E310+F310+G310,4)</f>
        <v>0</v>
      </c>
      <c r="I310" s="234"/>
      <c r="J310" s="411"/>
      <c r="K310" s="411"/>
      <c r="L310" s="414">
        <v>0.1</v>
      </c>
      <c r="M310" s="414">
        <f>ROUND(+L310*C310,4)</f>
        <v>0</v>
      </c>
      <c r="N310" s="414"/>
      <c r="O310" s="414"/>
      <c r="P310" s="414"/>
      <c r="Q310" s="419">
        <f>ROUND(+N310+O310+P310,4)</f>
        <v>0</v>
      </c>
      <c r="R310" s="419">
        <f>ROUND(IF(+Q310-H310&lt;=0,0,Q310-H310),4)</f>
        <v>0</v>
      </c>
      <c r="S310" s="423">
        <v>0.5</v>
      </c>
      <c r="T310" s="419">
        <f>ROUND(+(R310*C310)*S310,4)</f>
        <v>0</v>
      </c>
      <c r="U310" s="419">
        <f>ROUND(+J310+M310+T310,4)</f>
        <v>0</v>
      </c>
      <c r="V310" s="235"/>
    </row>
    <row r="311" spans="1:22" ht="15.75" x14ac:dyDescent="0.25">
      <c r="A311" s="231"/>
      <c r="B311" s="232"/>
      <c r="C311" s="400"/>
      <c r="D311" s="233"/>
      <c r="E311" s="405"/>
      <c r="F311" s="405"/>
      <c r="G311" s="405"/>
      <c r="H311" s="408">
        <f>ROUND(+E311+F311+G311,4)</f>
        <v>0</v>
      </c>
      <c r="I311" s="234"/>
      <c r="J311" s="411"/>
      <c r="K311" s="411"/>
      <c r="L311" s="414">
        <v>0.1</v>
      </c>
      <c r="M311" s="414">
        <f>ROUND(+L311*C311,4)</f>
        <v>0</v>
      </c>
      <c r="N311" s="414"/>
      <c r="O311" s="414"/>
      <c r="P311" s="414"/>
      <c r="Q311" s="419">
        <f>ROUND(+N311+O311+P311,4)</f>
        <v>0</v>
      </c>
      <c r="R311" s="419">
        <f>ROUND(IF(+Q311-H311&lt;=0,0,Q311-H311),4)</f>
        <v>0</v>
      </c>
      <c r="S311" s="423">
        <v>0.5</v>
      </c>
      <c r="T311" s="419">
        <f>ROUND(+(R311*C311)*S311,4)</f>
        <v>0</v>
      </c>
      <c r="U311" s="419">
        <f>ROUND(+J311+M311+T311,4)</f>
        <v>0</v>
      </c>
      <c r="V311" s="235"/>
    </row>
    <row r="312" spans="1:22" ht="15.75" x14ac:dyDescent="0.25">
      <c r="A312" s="231"/>
      <c r="B312" s="232"/>
      <c r="C312" s="400"/>
      <c r="D312" s="233"/>
      <c r="E312" s="405"/>
      <c r="F312" s="405"/>
      <c r="G312" s="405"/>
      <c r="H312" s="408">
        <f>ROUND(+E312+F312+G312,4)</f>
        <v>0</v>
      </c>
      <c r="I312" s="234"/>
      <c r="J312" s="411"/>
      <c r="K312" s="411"/>
      <c r="L312" s="414">
        <v>0.1</v>
      </c>
      <c r="M312" s="414">
        <f>ROUND(+L312*C312,4)</f>
        <v>0</v>
      </c>
      <c r="N312" s="414"/>
      <c r="O312" s="414"/>
      <c r="P312" s="414"/>
      <c r="Q312" s="419">
        <f>ROUND(+N312+O312+P312,4)</f>
        <v>0</v>
      </c>
      <c r="R312" s="419">
        <f>ROUND(IF(+Q312-H312&lt;=0,0,Q312-H312),4)</f>
        <v>0</v>
      </c>
      <c r="S312" s="423">
        <v>0.5</v>
      </c>
      <c r="T312" s="419">
        <f>ROUND(+(R312*C312)*S312,4)</f>
        <v>0</v>
      </c>
      <c r="U312" s="419">
        <f>ROUND(+J312+M312+T312,4)</f>
        <v>0</v>
      </c>
      <c r="V312" s="235"/>
    </row>
    <row r="313" spans="1:22" ht="15.75" x14ac:dyDescent="0.25">
      <c r="A313" s="231"/>
      <c r="B313" s="232"/>
      <c r="C313" s="400"/>
      <c r="D313" s="233"/>
      <c r="E313" s="405"/>
      <c r="F313" s="405"/>
      <c r="G313" s="405"/>
      <c r="H313" s="408">
        <f>ROUND(+E313+F313+G313,4)</f>
        <v>0</v>
      </c>
      <c r="I313" s="234"/>
      <c r="J313" s="411"/>
      <c r="K313" s="411"/>
      <c r="L313" s="414">
        <v>0.1</v>
      </c>
      <c r="M313" s="414">
        <f>ROUND(+L313*C313,4)</f>
        <v>0</v>
      </c>
      <c r="N313" s="414"/>
      <c r="O313" s="414"/>
      <c r="P313" s="414"/>
      <c r="Q313" s="419">
        <f>ROUND(+N313+O313+P313,4)</f>
        <v>0</v>
      </c>
      <c r="R313" s="419">
        <f>ROUND(IF(+Q313-H313&lt;=0,0,Q313-H313),4)</f>
        <v>0</v>
      </c>
      <c r="S313" s="423">
        <v>0.5</v>
      </c>
      <c r="T313" s="419">
        <f>ROUND(+(R313*C313)*S313,4)</f>
        <v>0</v>
      </c>
      <c r="U313" s="419">
        <f>ROUND(+J313+M313+T313,4)</f>
        <v>0</v>
      </c>
      <c r="V313" s="235"/>
    </row>
    <row r="314" spans="1:22" ht="15.75" x14ac:dyDescent="0.25">
      <c r="A314" s="231"/>
      <c r="B314" s="232"/>
      <c r="C314" s="400"/>
      <c r="D314" s="233"/>
      <c r="E314" s="405"/>
      <c r="F314" s="405"/>
      <c r="G314" s="405"/>
      <c r="H314" s="408">
        <f>ROUND(+E314+F314+G314,4)</f>
        <v>0</v>
      </c>
      <c r="I314" s="234"/>
      <c r="J314" s="411"/>
      <c r="K314" s="411"/>
      <c r="L314" s="414">
        <v>0.1</v>
      </c>
      <c r="M314" s="414">
        <f>ROUND(+L314*C314,4)</f>
        <v>0</v>
      </c>
      <c r="N314" s="414"/>
      <c r="O314" s="414"/>
      <c r="P314" s="414"/>
      <c r="Q314" s="419">
        <f>ROUND(+N314+O314+P314,4)</f>
        <v>0</v>
      </c>
      <c r="R314" s="419">
        <f>ROUND(IF(+Q314-H314&lt;=0,0,Q314-H314),4)</f>
        <v>0</v>
      </c>
      <c r="S314" s="423">
        <v>0.5</v>
      </c>
      <c r="T314" s="419">
        <f>ROUND(+(R314*C314)*S314,4)</f>
        <v>0</v>
      </c>
      <c r="U314" s="419">
        <f>ROUND(+J314+M314+T314,4)</f>
        <v>0</v>
      </c>
      <c r="V314" s="235"/>
    </row>
    <row r="315" spans="1:22" ht="15.75" x14ac:dyDescent="0.25">
      <c r="A315" s="231"/>
      <c r="B315" s="232"/>
      <c r="C315" s="400"/>
      <c r="D315" s="233"/>
      <c r="E315" s="405"/>
      <c r="F315" s="405"/>
      <c r="G315" s="405"/>
      <c r="H315" s="408">
        <f>ROUND(+E315+F315+G315,4)</f>
        <v>0</v>
      </c>
      <c r="I315" s="234"/>
      <c r="J315" s="411"/>
      <c r="K315" s="411"/>
      <c r="L315" s="414">
        <v>0.1</v>
      </c>
      <c r="M315" s="414">
        <f>ROUND(+L315*C315,4)</f>
        <v>0</v>
      </c>
      <c r="N315" s="414"/>
      <c r="O315" s="414"/>
      <c r="P315" s="414"/>
      <c r="Q315" s="419">
        <f>ROUND(+N315+O315+P315,4)</f>
        <v>0</v>
      </c>
      <c r="R315" s="419">
        <f>ROUND(IF(+Q315-H315&lt;=0,0,Q315-H315),4)</f>
        <v>0</v>
      </c>
      <c r="S315" s="423">
        <v>0.5</v>
      </c>
      <c r="T315" s="419">
        <f>ROUND(+(R315*C315)*S315,4)</f>
        <v>0</v>
      </c>
      <c r="U315" s="419">
        <f>ROUND(+J315+M315+T315,4)</f>
        <v>0</v>
      </c>
      <c r="V315" s="235"/>
    </row>
    <row r="316" spans="1:22" ht="15.75" x14ac:dyDescent="0.25">
      <c r="A316" s="231"/>
      <c r="B316" s="232"/>
      <c r="C316" s="400"/>
      <c r="D316" s="233"/>
      <c r="E316" s="405"/>
      <c r="F316" s="405"/>
      <c r="G316" s="405"/>
      <c r="H316" s="408">
        <f>ROUND(+E316+F316+G316,4)</f>
        <v>0</v>
      </c>
      <c r="I316" s="234"/>
      <c r="J316" s="411"/>
      <c r="K316" s="411"/>
      <c r="L316" s="414">
        <v>0.1</v>
      </c>
      <c r="M316" s="414">
        <f>ROUND(+L316*C316,4)</f>
        <v>0</v>
      </c>
      <c r="N316" s="414"/>
      <c r="O316" s="414"/>
      <c r="P316" s="414"/>
      <c r="Q316" s="419">
        <f>ROUND(+N316+O316+P316,4)</f>
        <v>0</v>
      </c>
      <c r="R316" s="419">
        <f>ROUND(IF(+Q316-H316&lt;=0,0,Q316-H316),4)</f>
        <v>0</v>
      </c>
      <c r="S316" s="423">
        <v>0.5</v>
      </c>
      <c r="T316" s="419">
        <f>ROUND(+(R316*C316)*S316,4)</f>
        <v>0</v>
      </c>
      <c r="U316" s="419">
        <f>ROUND(+J316+M316+T316,4)</f>
        <v>0</v>
      </c>
      <c r="V316" s="235"/>
    </row>
    <row r="317" spans="1:22" ht="15.75" x14ac:dyDescent="0.25">
      <c r="A317" s="231"/>
      <c r="B317" s="232"/>
      <c r="C317" s="400"/>
      <c r="D317" s="233"/>
      <c r="E317" s="405"/>
      <c r="F317" s="405"/>
      <c r="G317" s="405"/>
      <c r="H317" s="408">
        <f>ROUND(+E317+F317+G317,4)</f>
        <v>0</v>
      </c>
      <c r="I317" s="234"/>
      <c r="J317" s="411"/>
      <c r="K317" s="411"/>
      <c r="L317" s="414">
        <v>0.1</v>
      </c>
      <c r="M317" s="414">
        <f>ROUND(+L317*C317,4)</f>
        <v>0</v>
      </c>
      <c r="N317" s="414"/>
      <c r="O317" s="414"/>
      <c r="P317" s="414"/>
      <c r="Q317" s="419">
        <f>ROUND(+N317+O317+P317,4)</f>
        <v>0</v>
      </c>
      <c r="R317" s="419">
        <f>ROUND(IF(+Q317-H317&lt;=0,0,Q317-H317),4)</f>
        <v>0</v>
      </c>
      <c r="S317" s="423">
        <v>0.5</v>
      </c>
      <c r="T317" s="419">
        <f>ROUND(+(R317*C317)*S317,4)</f>
        <v>0</v>
      </c>
      <c r="U317" s="419">
        <f>ROUND(+J317+M317+T317,4)</f>
        <v>0</v>
      </c>
      <c r="V317" s="235"/>
    </row>
    <row r="318" spans="1:22" ht="15.75" x14ac:dyDescent="0.25">
      <c r="A318" s="231"/>
      <c r="B318" s="232"/>
      <c r="C318" s="400"/>
      <c r="D318" s="233"/>
      <c r="E318" s="405"/>
      <c r="F318" s="405"/>
      <c r="G318" s="405"/>
      <c r="H318" s="408">
        <f>ROUND(+E318+F318+G318,4)</f>
        <v>0</v>
      </c>
      <c r="I318" s="234"/>
      <c r="J318" s="411"/>
      <c r="K318" s="411"/>
      <c r="L318" s="414">
        <v>0.1</v>
      </c>
      <c r="M318" s="414">
        <f>ROUND(+L318*C318,4)</f>
        <v>0</v>
      </c>
      <c r="N318" s="414"/>
      <c r="O318" s="414"/>
      <c r="P318" s="414"/>
      <c r="Q318" s="419">
        <f>ROUND(+N318+O318+P318,4)</f>
        <v>0</v>
      </c>
      <c r="R318" s="419">
        <f>ROUND(IF(+Q318-H318&lt;=0,0,Q318-H318),4)</f>
        <v>0</v>
      </c>
      <c r="S318" s="423">
        <v>0.5</v>
      </c>
      <c r="T318" s="419">
        <f>ROUND(+(R318*C318)*S318,4)</f>
        <v>0</v>
      </c>
      <c r="U318" s="419">
        <f>ROUND(+J318+M318+T318,4)</f>
        <v>0</v>
      </c>
      <c r="V318" s="235"/>
    </row>
    <row r="319" spans="1:22" ht="15.75" x14ac:dyDescent="0.25">
      <c r="A319" s="231"/>
      <c r="B319" s="232"/>
      <c r="C319" s="400"/>
      <c r="D319" s="233"/>
      <c r="E319" s="405"/>
      <c r="F319" s="405"/>
      <c r="G319" s="405"/>
      <c r="H319" s="408">
        <f>ROUND(+E319+F319+G319,4)</f>
        <v>0</v>
      </c>
      <c r="I319" s="234"/>
      <c r="J319" s="411"/>
      <c r="K319" s="411"/>
      <c r="L319" s="414">
        <v>0.1</v>
      </c>
      <c r="M319" s="414">
        <f>ROUND(+L319*C319,4)</f>
        <v>0</v>
      </c>
      <c r="N319" s="414"/>
      <c r="O319" s="414"/>
      <c r="P319" s="414"/>
      <c r="Q319" s="419">
        <f>ROUND(+N319+O319+P319,4)</f>
        <v>0</v>
      </c>
      <c r="R319" s="419">
        <f>ROUND(IF(+Q319-H319&lt;=0,0,Q319-H319),4)</f>
        <v>0</v>
      </c>
      <c r="S319" s="423">
        <v>0.5</v>
      </c>
      <c r="T319" s="419">
        <f>ROUND(+(R319*C319)*S319,4)</f>
        <v>0</v>
      </c>
      <c r="U319" s="419">
        <f>ROUND(+J319+M319+T319,4)</f>
        <v>0</v>
      </c>
      <c r="V319" s="235"/>
    </row>
    <row r="320" spans="1:22" ht="15.75" x14ac:dyDescent="0.25">
      <c r="A320" s="231"/>
      <c r="B320" s="232"/>
      <c r="C320" s="400"/>
      <c r="D320" s="233"/>
      <c r="E320" s="405"/>
      <c r="F320" s="405"/>
      <c r="G320" s="405"/>
      <c r="H320" s="408">
        <f>ROUND(+E320+F320+G320,4)</f>
        <v>0</v>
      </c>
      <c r="I320" s="234"/>
      <c r="J320" s="411"/>
      <c r="K320" s="411"/>
      <c r="L320" s="414">
        <v>0.1</v>
      </c>
      <c r="M320" s="414">
        <f>ROUND(+L320*C320,4)</f>
        <v>0</v>
      </c>
      <c r="N320" s="414"/>
      <c r="O320" s="414"/>
      <c r="P320" s="414"/>
      <c r="Q320" s="419">
        <f>ROUND(+N320+O320+P320,4)</f>
        <v>0</v>
      </c>
      <c r="R320" s="419">
        <f>ROUND(IF(+Q320-H320&lt;=0,0,Q320-H320),4)</f>
        <v>0</v>
      </c>
      <c r="S320" s="423">
        <v>0.5</v>
      </c>
      <c r="T320" s="419">
        <f>ROUND(+(R320*C320)*S320,4)</f>
        <v>0</v>
      </c>
      <c r="U320" s="419">
        <f>ROUND(+J320+M320+T320,4)</f>
        <v>0</v>
      </c>
      <c r="V320" s="235"/>
    </row>
    <row r="321" spans="1:22" ht="15.75" x14ac:dyDescent="0.25">
      <c r="A321" s="231"/>
      <c r="B321" s="232"/>
      <c r="C321" s="400"/>
      <c r="D321" s="233"/>
      <c r="E321" s="405"/>
      <c r="F321" s="405"/>
      <c r="G321" s="405"/>
      <c r="H321" s="408">
        <f>ROUND(+E321+F321+G321,4)</f>
        <v>0</v>
      </c>
      <c r="I321" s="234"/>
      <c r="J321" s="411"/>
      <c r="K321" s="411"/>
      <c r="L321" s="414">
        <v>0.1</v>
      </c>
      <c r="M321" s="414">
        <f>ROUND(+L321*C321,4)</f>
        <v>0</v>
      </c>
      <c r="N321" s="414"/>
      <c r="O321" s="414"/>
      <c r="P321" s="414"/>
      <c r="Q321" s="419">
        <f>ROUND(+N321+O321+P321,4)</f>
        <v>0</v>
      </c>
      <c r="R321" s="419">
        <f>ROUND(IF(+Q321-H321&lt;=0,0,Q321-H321),4)</f>
        <v>0</v>
      </c>
      <c r="S321" s="423">
        <v>0.5</v>
      </c>
      <c r="T321" s="419">
        <f>ROUND(+(R321*C321)*S321,4)</f>
        <v>0</v>
      </c>
      <c r="U321" s="419">
        <f>ROUND(+J321+M321+T321,4)</f>
        <v>0</v>
      </c>
      <c r="V321" s="235"/>
    </row>
    <row r="322" spans="1:22" ht="15.75" x14ac:dyDescent="0.25">
      <c r="A322" s="231"/>
      <c r="B322" s="232"/>
      <c r="C322" s="400"/>
      <c r="D322" s="233"/>
      <c r="E322" s="405"/>
      <c r="F322" s="405"/>
      <c r="G322" s="405"/>
      <c r="H322" s="408">
        <f>ROUND(+E322+F322+G322,4)</f>
        <v>0</v>
      </c>
      <c r="I322" s="234"/>
      <c r="J322" s="411"/>
      <c r="K322" s="411"/>
      <c r="L322" s="414">
        <v>0.1</v>
      </c>
      <c r="M322" s="414">
        <f>ROUND(+L322*C322,4)</f>
        <v>0</v>
      </c>
      <c r="N322" s="414"/>
      <c r="O322" s="414"/>
      <c r="P322" s="414"/>
      <c r="Q322" s="419">
        <f>ROUND(+N322+O322+P322,4)</f>
        <v>0</v>
      </c>
      <c r="R322" s="419">
        <f>ROUND(IF(+Q322-H322&lt;=0,0,Q322-H322),4)</f>
        <v>0</v>
      </c>
      <c r="S322" s="423">
        <v>0.5</v>
      </c>
      <c r="T322" s="419">
        <f>ROUND(+(R322*C322)*S322,4)</f>
        <v>0</v>
      </c>
      <c r="U322" s="419">
        <f>ROUND(+J322+M322+T322,4)</f>
        <v>0</v>
      </c>
      <c r="V322" s="235"/>
    </row>
    <row r="323" spans="1:22" ht="15.75" x14ac:dyDescent="0.25">
      <c r="A323" s="231"/>
      <c r="B323" s="232"/>
      <c r="C323" s="400"/>
      <c r="D323" s="233"/>
      <c r="E323" s="405"/>
      <c r="F323" s="405"/>
      <c r="G323" s="405"/>
      <c r="H323" s="408">
        <f>ROUND(+E323+F323+G323,4)</f>
        <v>0</v>
      </c>
      <c r="I323" s="234"/>
      <c r="J323" s="411"/>
      <c r="K323" s="411"/>
      <c r="L323" s="414">
        <v>0.1</v>
      </c>
      <c r="M323" s="414">
        <f>ROUND(+L323*C323,4)</f>
        <v>0</v>
      </c>
      <c r="N323" s="414"/>
      <c r="O323" s="414"/>
      <c r="P323" s="414"/>
      <c r="Q323" s="419">
        <f>ROUND(+N323+O323+P323,4)</f>
        <v>0</v>
      </c>
      <c r="R323" s="419">
        <f>ROUND(IF(+Q323-H323&lt;=0,0,Q323-H323),4)</f>
        <v>0</v>
      </c>
      <c r="S323" s="423">
        <v>0.5</v>
      </c>
      <c r="T323" s="419">
        <f>ROUND(+(R323*C323)*S323,4)</f>
        <v>0</v>
      </c>
      <c r="U323" s="419">
        <f>ROUND(+J323+M323+T323,4)</f>
        <v>0</v>
      </c>
      <c r="V323" s="235"/>
    </row>
    <row r="324" spans="1:22" ht="15.75" x14ac:dyDescent="0.25">
      <c r="A324" s="231"/>
      <c r="B324" s="232"/>
      <c r="C324" s="400"/>
      <c r="D324" s="233"/>
      <c r="E324" s="405"/>
      <c r="F324" s="405"/>
      <c r="G324" s="405"/>
      <c r="H324" s="408">
        <f>ROUND(+E324+F324+G324,4)</f>
        <v>0</v>
      </c>
      <c r="I324" s="234"/>
      <c r="J324" s="411"/>
      <c r="K324" s="411"/>
      <c r="L324" s="414">
        <v>0.1</v>
      </c>
      <c r="M324" s="414">
        <f>ROUND(+L324*C324,4)</f>
        <v>0</v>
      </c>
      <c r="N324" s="414"/>
      <c r="O324" s="414"/>
      <c r="P324" s="414"/>
      <c r="Q324" s="419">
        <f>ROUND(+N324+O324+P324,4)</f>
        <v>0</v>
      </c>
      <c r="R324" s="419">
        <f>ROUND(IF(+Q324-H324&lt;=0,0,Q324-H324),4)</f>
        <v>0</v>
      </c>
      <c r="S324" s="423">
        <v>0.5</v>
      </c>
      <c r="T324" s="419">
        <f>ROUND(+(R324*C324)*S324,4)</f>
        <v>0</v>
      </c>
      <c r="U324" s="419">
        <f>ROUND(+J324+M324+T324,4)</f>
        <v>0</v>
      </c>
      <c r="V324" s="235"/>
    </row>
    <row r="325" spans="1:22" ht="15.75" x14ac:dyDescent="0.25">
      <c r="A325" s="231"/>
      <c r="B325" s="232"/>
      <c r="C325" s="400"/>
      <c r="D325" s="233"/>
      <c r="E325" s="405"/>
      <c r="F325" s="405"/>
      <c r="G325" s="405"/>
      <c r="H325" s="408">
        <f>ROUND(+E325+F325+G325,4)</f>
        <v>0</v>
      </c>
      <c r="I325" s="234"/>
      <c r="J325" s="411"/>
      <c r="K325" s="411"/>
      <c r="L325" s="414">
        <v>0.1</v>
      </c>
      <c r="M325" s="414">
        <f>ROUND(+L325*C325,4)</f>
        <v>0</v>
      </c>
      <c r="N325" s="414"/>
      <c r="O325" s="414"/>
      <c r="P325" s="414"/>
      <c r="Q325" s="419">
        <f>ROUND(+N325+O325+P325,4)</f>
        <v>0</v>
      </c>
      <c r="R325" s="419">
        <f>ROUND(IF(+Q325-H325&lt;=0,0,Q325-H325),4)</f>
        <v>0</v>
      </c>
      <c r="S325" s="423">
        <v>0.5</v>
      </c>
      <c r="T325" s="419">
        <f>ROUND(+(R325*C325)*S325,4)</f>
        <v>0</v>
      </c>
      <c r="U325" s="419">
        <f>ROUND(+J325+M325+T325,4)</f>
        <v>0</v>
      </c>
      <c r="V325" s="235"/>
    </row>
    <row r="326" spans="1:22" ht="15.75" x14ac:dyDescent="0.25">
      <c r="A326" s="231"/>
      <c r="B326" s="232"/>
      <c r="C326" s="400"/>
      <c r="D326" s="233"/>
      <c r="E326" s="405"/>
      <c r="F326" s="405"/>
      <c r="G326" s="405"/>
      <c r="H326" s="408">
        <f>ROUND(+E326+F326+G326,4)</f>
        <v>0</v>
      </c>
      <c r="I326" s="234"/>
      <c r="J326" s="411"/>
      <c r="K326" s="411"/>
      <c r="L326" s="414">
        <v>0.1</v>
      </c>
      <c r="M326" s="414">
        <f>ROUND(+L326*C326,4)</f>
        <v>0</v>
      </c>
      <c r="N326" s="414"/>
      <c r="O326" s="414"/>
      <c r="P326" s="414"/>
      <c r="Q326" s="419">
        <f>ROUND(+N326+O326+P326,4)</f>
        <v>0</v>
      </c>
      <c r="R326" s="419">
        <f>ROUND(IF(+Q326-H326&lt;=0,0,Q326-H326),4)</f>
        <v>0</v>
      </c>
      <c r="S326" s="423">
        <v>0.5</v>
      </c>
      <c r="T326" s="419">
        <f>ROUND(+(R326*C326)*S326,4)</f>
        <v>0</v>
      </c>
      <c r="U326" s="419">
        <f>ROUND(+J326+M326+T326,4)</f>
        <v>0</v>
      </c>
      <c r="V326" s="235"/>
    </row>
    <row r="327" spans="1:22" ht="15.75" x14ac:dyDescent="0.25">
      <c r="A327" s="231"/>
      <c r="B327" s="232"/>
      <c r="C327" s="400"/>
      <c r="D327" s="233"/>
      <c r="E327" s="405"/>
      <c r="F327" s="405"/>
      <c r="G327" s="405"/>
      <c r="H327" s="408">
        <f>ROUND(+E327+F327+G327,4)</f>
        <v>0</v>
      </c>
      <c r="I327" s="234"/>
      <c r="J327" s="411"/>
      <c r="K327" s="411"/>
      <c r="L327" s="414">
        <v>0.1</v>
      </c>
      <c r="M327" s="414">
        <f>ROUND(+L327*C327,4)</f>
        <v>0</v>
      </c>
      <c r="N327" s="414"/>
      <c r="O327" s="414"/>
      <c r="P327" s="414"/>
      <c r="Q327" s="419">
        <f>ROUND(+N327+O327+P327,4)</f>
        <v>0</v>
      </c>
      <c r="R327" s="419">
        <f>ROUND(IF(+Q327-H327&lt;=0,0,Q327-H327),4)</f>
        <v>0</v>
      </c>
      <c r="S327" s="423">
        <v>0.5</v>
      </c>
      <c r="T327" s="419">
        <f>ROUND(+(R327*C327)*S327,4)</f>
        <v>0</v>
      </c>
      <c r="U327" s="419">
        <f>ROUND(+J327+M327+T327,4)</f>
        <v>0</v>
      </c>
      <c r="V327" s="235"/>
    </row>
    <row r="328" spans="1:22" ht="15.75" x14ac:dyDescent="0.25">
      <c r="A328" s="231"/>
      <c r="B328" s="232"/>
      <c r="C328" s="400"/>
      <c r="D328" s="233"/>
      <c r="E328" s="405"/>
      <c r="F328" s="405"/>
      <c r="G328" s="405"/>
      <c r="H328" s="408">
        <f>ROUND(+E328+F328+G328,4)</f>
        <v>0</v>
      </c>
      <c r="I328" s="234"/>
      <c r="J328" s="411"/>
      <c r="K328" s="411"/>
      <c r="L328" s="414">
        <v>0.1</v>
      </c>
      <c r="M328" s="414">
        <f>ROUND(+L328*C328,4)</f>
        <v>0</v>
      </c>
      <c r="N328" s="414"/>
      <c r="O328" s="414"/>
      <c r="P328" s="414"/>
      <c r="Q328" s="419">
        <f>ROUND(+N328+O328+P328,4)</f>
        <v>0</v>
      </c>
      <c r="R328" s="419">
        <f>ROUND(IF(+Q328-H328&lt;=0,0,Q328-H328),4)</f>
        <v>0</v>
      </c>
      <c r="S328" s="423">
        <v>0.5</v>
      </c>
      <c r="T328" s="419">
        <f>ROUND(+(R328*C328)*S328,4)</f>
        <v>0</v>
      </c>
      <c r="U328" s="419">
        <f>ROUND(+J328+M328+T328,4)</f>
        <v>0</v>
      </c>
      <c r="V328" s="235"/>
    </row>
    <row r="329" spans="1:22" ht="15.75" x14ac:dyDescent="0.25">
      <c r="A329" s="231"/>
      <c r="B329" s="232"/>
      <c r="C329" s="400"/>
      <c r="D329" s="233"/>
      <c r="E329" s="405"/>
      <c r="F329" s="405"/>
      <c r="G329" s="405"/>
      <c r="H329" s="408">
        <f>ROUND(+E329+F329+G329,4)</f>
        <v>0</v>
      </c>
      <c r="I329" s="234"/>
      <c r="J329" s="411"/>
      <c r="K329" s="411"/>
      <c r="L329" s="414">
        <v>0.1</v>
      </c>
      <c r="M329" s="414">
        <f>ROUND(+L329*C329,4)</f>
        <v>0</v>
      </c>
      <c r="N329" s="414"/>
      <c r="O329" s="414"/>
      <c r="P329" s="414"/>
      <c r="Q329" s="419">
        <f>ROUND(+N329+O329+P329,4)</f>
        <v>0</v>
      </c>
      <c r="R329" s="419">
        <f>ROUND(IF(+Q329-H329&lt;=0,0,Q329-H329),4)</f>
        <v>0</v>
      </c>
      <c r="S329" s="423">
        <v>0.5</v>
      </c>
      <c r="T329" s="419">
        <f>ROUND(+(R329*C329)*S329,4)</f>
        <v>0</v>
      </c>
      <c r="U329" s="419">
        <f>ROUND(+J329+M329+T329,4)</f>
        <v>0</v>
      </c>
      <c r="V329" s="235"/>
    </row>
    <row r="330" spans="1:22" ht="15.75" x14ac:dyDescent="0.25">
      <c r="A330" s="231"/>
      <c r="B330" s="232"/>
      <c r="C330" s="400"/>
      <c r="D330" s="233"/>
      <c r="E330" s="405"/>
      <c r="F330" s="405"/>
      <c r="G330" s="405"/>
      <c r="H330" s="408">
        <f>ROUND(+E330+F330+G330,4)</f>
        <v>0</v>
      </c>
      <c r="I330" s="234"/>
      <c r="J330" s="411"/>
      <c r="K330" s="411"/>
      <c r="L330" s="414">
        <v>0.1</v>
      </c>
      <c r="M330" s="414">
        <f>ROUND(+L330*C330,4)</f>
        <v>0</v>
      </c>
      <c r="N330" s="414"/>
      <c r="O330" s="414"/>
      <c r="P330" s="414"/>
      <c r="Q330" s="419">
        <f>ROUND(+N330+O330+P330,4)</f>
        <v>0</v>
      </c>
      <c r="R330" s="419">
        <f>ROUND(IF(+Q330-H330&lt;=0,0,Q330-H330),4)</f>
        <v>0</v>
      </c>
      <c r="S330" s="423">
        <v>0.5</v>
      </c>
      <c r="T330" s="419">
        <f>ROUND(+(R330*C330)*S330,4)</f>
        <v>0</v>
      </c>
      <c r="U330" s="419">
        <f>ROUND(+J330+M330+T330,4)</f>
        <v>0</v>
      </c>
      <c r="V330" s="235"/>
    </row>
    <row r="331" spans="1:22" ht="15.75" x14ac:dyDescent="0.25">
      <c r="A331" s="231"/>
      <c r="B331" s="232"/>
      <c r="C331" s="400"/>
      <c r="D331" s="233"/>
      <c r="E331" s="405"/>
      <c r="F331" s="405"/>
      <c r="G331" s="405"/>
      <c r="H331" s="408">
        <f>ROUND(+E331+F331+G331,4)</f>
        <v>0</v>
      </c>
      <c r="I331" s="234"/>
      <c r="J331" s="411"/>
      <c r="K331" s="411"/>
      <c r="L331" s="414">
        <v>0.1</v>
      </c>
      <c r="M331" s="414">
        <f>ROUND(+L331*C331,4)</f>
        <v>0</v>
      </c>
      <c r="N331" s="414"/>
      <c r="O331" s="414"/>
      <c r="P331" s="414"/>
      <c r="Q331" s="419">
        <f>ROUND(+N331+O331+P331,4)</f>
        <v>0</v>
      </c>
      <c r="R331" s="419">
        <f>ROUND(IF(+Q331-H331&lt;=0,0,Q331-H331),4)</f>
        <v>0</v>
      </c>
      <c r="S331" s="423">
        <v>0.5</v>
      </c>
      <c r="T331" s="419">
        <f>ROUND(+(R331*C331)*S331,4)</f>
        <v>0</v>
      </c>
      <c r="U331" s="419">
        <f>ROUND(+J331+M331+T331,4)</f>
        <v>0</v>
      </c>
      <c r="V331" s="235"/>
    </row>
    <row r="332" spans="1:22" ht="15.75" x14ac:dyDescent="0.25">
      <c r="A332" s="231"/>
      <c r="B332" s="232"/>
      <c r="C332" s="400"/>
      <c r="D332" s="233"/>
      <c r="E332" s="405"/>
      <c r="F332" s="405"/>
      <c r="G332" s="405"/>
      <c r="H332" s="408">
        <f>ROUND(+E332+F332+G332,4)</f>
        <v>0</v>
      </c>
      <c r="I332" s="234"/>
      <c r="J332" s="411"/>
      <c r="K332" s="411"/>
      <c r="L332" s="414">
        <v>0.1</v>
      </c>
      <c r="M332" s="414">
        <f>ROUND(+L332*C332,4)</f>
        <v>0</v>
      </c>
      <c r="N332" s="414"/>
      <c r="O332" s="414"/>
      <c r="P332" s="414"/>
      <c r="Q332" s="419">
        <f>ROUND(+N332+O332+P332,4)</f>
        <v>0</v>
      </c>
      <c r="R332" s="419">
        <f>ROUND(IF(+Q332-H332&lt;=0,0,Q332-H332),4)</f>
        <v>0</v>
      </c>
      <c r="S332" s="423">
        <v>0.5</v>
      </c>
      <c r="T332" s="419">
        <f>ROUND(+(R332*C332)*S332,4)</f>
        <v>0</v>
      </c>
      <c r="U332" s="419">
        <f>ROUND(+J332+M332+T332,4)</f>
        <v>0</v>
      </c>
      <c r="V332" s="235"/>
    </row>
    <row r="333" spans="1:22" ht="15.75" x14ac:dyDescent="0.25">
      <c r="A333" s="231"/>
      <c r="B333" s="232"/>
      <c r="C333" s="400"/>
      <c r="D333" s="233"/>
      <c r="E333" s="405"/>
      <c r="F333" s="405"/>
      <c r="G333" s="405"/>
      <c r="H333" s="408">
        <f>ROUND(+E333+F333+G333,4)</f>
        <v>0</v>
      </c>
      <c r="I333" s="234"/>
      <c r="J333" s="411"/>
      <c r="K333" s="411"/>
      <c r="L333" s="414">
        <v>0.1</v>
      </c>
      <c r="M333" s="414">
        <f>ROUND(+L333*C333,4)</f>
        <v>0</v>
      </c>
      <c r="N333" s="414"/>
      <c r="O333" s="414"/>
      <c r="P333" s="414"/>
      <c r="Q333" s="419">
        <f>ROUND(+N333+O333+P333,4)</f>
        <v>0</v>
      </c>
      <c r="R333" s="419">
        <f>ROUND(IF(+Q333-H333&lt;=0,0,Q333-H333),4)</f>
        <v>0</v>
      </c>
      <c r="S333" s="423">
        <v>0.5</v>
      </c>
      <c r="T333" s="419">
        <f>ROUND(+(R333*C333)*S333,4)</f>
        <v>0</v>
      </c>
      <c r="U333" s="419">
        <f>ROUND(+J333+M333+T333,4)</f>
        <v>0</v>
      </c>
      <c r="V333" s="235"/>
    </row>
    <row r="334" spans="1:22" ht="15.75" x14ac:dyDescent="0.25">
      <c r="A334" s="231"/>
      <c r="B334" s="232"/>
      <c r="C334" s="400"/>
      <c r="D334" s="233"/>
      <c r="E334" s="405"/>
      <c r="F334" s="405"/>
      <c r="G334" s="405"/>
      <c r="H334" s="408">
        <f>ROUND(+E334+F334+G334,4)</f>
        <v>0</v>
      </c>
      <c r="I334" s="234"/>
      <c r="J334" s="411"/>
      <c r="K334" s="411"/>
      <c r="L334" s="414">
        <v>0.1</v>
      </c>
      <c r="M334" s="414">
        <f>ROUND(+L334*C334,4)</f>
        <v>0</v>
      </c>
      <c r="N334" s="414"/>
      <c r="O334" s="414"/>
      <c r="P334" s="414"/>
      <c r="Q334" s="419">
        <f>ROUND(+N334+O334+P334,4)</f>
        <v>0</v>
      </c>
      <c r="R334" s="419">
        <f>ROUND(IF(+Q334-H334&lt;=0,0,Q334-H334),4)</f>
        <v>0</v>
      </c>
      <c r="S334" s="423">
        <v>0.5</v>
      </c>
      <c r="T334" s="419">
        <f>ROUND(+(R334*C334)*S334,4)</f>
        <v>0</v>
      </c>
      <c r="U334" s="419">
        <f>ROUND(+J334+M334+T334,4)</f>
        <v>0</v>
      </c>
      <c r="V334" s="235"/>
    </row>
    <row r="335" spans="1:22" ht="15.75" x14ac:dyDescent="0.25">
      <c r="A335" s="231"/>
      <c r="B335" s="232"/>
      <c r="C335" s="400"/>
      <c r="D335" s="233"/>
      <c r="E335" s="405"/>
      <c r="F335" s="405"/>
      <c r="G335" s="405"/>
      <c r="H335" s="408">
        <f>ROUND(+E335+F335+G335,4)</f>
        <v>0</v>
      </c>
      <c r="I335" s="234"/>
      <c r="J335" s="411"/>
      <c r="K335" s="411"/>
      <c r="L335" s="414">
        <v>0.1</v>
      </c>
      <c r="M335" s="414">
        <f>ROUND(+L335*C335,4)</f>
        <v>0</v>
      </c>
      <c r="N335" s="414"/>
      <c r="O335" s="414"/>
      <c r="P335" s="414"/>
      <c r="Q335" s="419">
        <f>ROUND(+N335+O335+P335,4)</f>
        <v>0</v>
      </c>
      <c r="R335" s="419">
        <f>ROUND(IF(+Q335-H335&lt;=0,0,Q335-H335),4)</f>
        <v>0</v>
      </c>
      <c r="S335" s="423">
        <v>0.5</v>
      </c>
      <c r="T335" s="419">
        <f>ROUND(+(R335*C335)*S335,4)</f>
        <v>0</v>
      </c>
      <c r="U335" s="419">
        <f>ROUND(+J335+M335+T335,4)</f>
        <v>0</v>
      </c>
      <c r="V335" s="235"/>
    </row>
    <row r="336" spans="1:22" ht="15.75" x14ac:dyDescent="0.25">
      <c r="A336" s="231"/>
      <c r="B336" s="232"/>
      <c r="C336" s="400"/>
      <c r="D336" s="233"/>
      <c r="E336" s="405"/>
      <c r="F336" s="405"/>
      <c r="G336" s="405"/>
      <c r="H336" s="408">
        <f>ROUND(+E336+F336+G336,4)</f>
        <v>0</v>
      </c>
      <c r="I336" s="234"/>
      <c r="J336" s="411"/>
      <c r="K336" s="411"/>
      <c r="L336" s="414">
        <v>0.1</v>
      </c>
      <c r="M336" s="414">
        <f>ROUND(+L336*C336,4)</f>
        <v>0</v>
      </c>
      <c r="N336" s="414"/>
      <c r="O336" s="414"/>
      <c r="P336" s="414"/>
      <c r="Q336" s="419">
        <f>ROUND(+N336+O336+P336,4)</f>
        <v>0</v>
      </c>
      <c r="R336" s="419">
        <f>ROUND(IF(+Q336-H336&lt;=0,0,Q336-H336),4)</f>
        <v>0</v>
      </c>
      <c r="S336" s="423">
        <v>0.5</v>
      </c>
      <c r="T336" s="419">
        <f>ROUND(+(R336*C336)*S336,4)</f>
        <v>0</v>
      </c>
      <c r="U336" s="419">
        <f>ROUND(+J336+M336+T336,4)</f>
        <v>0</v>
      </c>
      <c r="V336" s="235"/>
    </row>
    <row r="337" spans="1:22" ht="15.75" x14ac:dyDescent="0.25">
      <c r="A337" s="231"/>
      <c r="B337" s="232"/>
      <c r="C337" s="400"/>
      <c r="D337" s="233"/>
      <c r="E337" s="405"/>
      <c r="F337" s="405"/>
      <c r="G337" s="405"/>
      <c r="H337" s="408">
        <f>ROUND(+E337+F337+G337,4)</f>
        <v>0</v>
      </c>
      <c r="I337" s="234"/>
      <c r="J337" s="411"/>
      <c r="K337" s="411"/>
      <c r="L337" s="414">
        <v>0.1</v>
      </c>
      <c r="M337" s="414">
        <f>ROUND(+L337*C337,4)</f>
        <v>0</v>
      </c>
      <c r="N337" s="414"/>
      <c r="O337" s="414"/>
      <c r="P337" s="414"/>
      <c r="Q337" s="419">
        <f>ROUND(+N337+O337+P337,4)</f>
        <v>0</v>
      </c>
      <c r="R337" s="419">
        <f>ROUND(IF(+Q337-H337&lt;=0,0,Q337-H337),4)</f>
        <v>0</v>
      </c>
      <c r="S337" s="423">
        <v>0.5</v>
      </c>
      <c r="T337" s="419">
        <f>ROUND(+(R337*C337)*S337,4)</f>
        <v>0</v>
      </c>
      <c r="U337" s="419">
        <f>ROUND(+J337+M337+T337,4)</f>
        <v>0</v>
      </c>
      <c r="V337" s="235"/>
    </row>
    <row r="338" spans="1:22" ht="15.75" x14ac:dyDescent="0.25">
      <c r="A338" s="231"/>
      <c r="B338" s="232"/>
      <c r="C338" s="400"/>
      <c r="D338" s="233"/>
      <c r="E338" s="405"/>
      <c r="F338" s="405"/>
      <c r="G338" s="405"/>
      <c r="H338" s="408">
        <f>ROUND(+E338+F338+G338,4)</f>
        <v>0</v>
      </c>
      <c r="I338" s="234"/>
      <c r="J338" s="411"/>
      <c r="K338" s="411"/>
      <c r="L338" s="414">
        <v>0.1</v>
      </c>
      <c r="M338" s="414">
        <f>ROUND(+L338*C338,4)</f>
        <v>0</v>
      </c>
      <c r="N338" s="414"/>
      <c r="O338" s="414"/>
      <c r="P338" s="414"/>
      <c r="Q338" s="419">
        <f>ROUND(+N338+O338+P338,4)</f>
        <v>0</v>
      </c>
      <c r="R338" s="419">
        <f>ROUND(IF(+Q338-H338&lt;=0,0,Q338-H338),4)</f>
        <v>0</v>
      </c>
      <c r="S338" s="423">
        <v>0.5</v>
      </c>
      <c r="T338" s="419">
        <f>ROUND(+(R338*C338)*S338,4)</f>
        <v>0</v>
      </c>
      <c r="U338" s="419">
        <f>ROUND(+J338+M338+T338,4)</f>
        <v>0</v>
      </c>
      <c r="V338" s="235"/>
    </row>
    <row r="339" spans="1:22" ht="15.75" x14ac:dyDescent="0.25">
      <c r="A339" s="231"/>
      <c r="B339" s="232"/>
      <c r="C339" s="400"/>
      <c r="D339" s="233"/>
      <c r="E339" s="405"/>
      <c r="F339" s="405"/>
      <c r="G339" s="405"/>
      <c r="H339" s="408">
        <f>ROUND(+E339+F339+G339,4)</f>
        <v>0</v>
      </c>
      <c r="I339" s="234"/>
      <c r="J339" s="411"/>
      <c r="K339" s="411"/>
      <c r="L339" s="414">
        <v>0.1</v>
      </c>
      <c r="M339" s="414">
        <f>ROUND(+L339*C339,4)</f>
        <v>0</v>
      </c>
      <c r="N339" s="414"/>
      <c r="O339" s="414"/>
      <c r="P339" s="414"/>
      <c r="Q339" s="419">
        <f>ROUND(+N339+O339+P339,4)</f>
        <v>0</v>
      </c>
      <c r="R339" s="419">
        <f>ROUND(IF(+Q339-H339&lt;=0,0,Q339-H339),4)</f>
        <v>0</v>
      </c>
      <c r="S339" s="423">
        <v>0.5</v>
      </c>
      <c r="T339" s="419">
        <f>ROUND(+(R339*C339)*S339,4)</f>
        <v>0</v>
      </c>
      <c r="U339" s="419">
        <f>ROUND(+J339+M339+T339,4)</f>
        <v>0</v>
      </c>
      <c r="V339" s="235"/>
    </row>
    <row r="340" spans="1:22" ht="15.75" x14ac:dyDescent="0.25">
      <c r="A340" s="231"/>
      <c r="B340" s="232"/>
      <c r="C340" s="400"/>
      <c r="D340" s="233"/>
      <c r="E340" s="405"/>
      <c r="F340" s="405"/>
      <c r="G340" s="405"/>
      <c r="H340" s="408">
        <f>ROUND(+E340+F340+G340,4)</f>
        <v>0</v>
      </c>
      <c r="I340" s="234"/>
      <c r="J340" s="411"/>
      <c r="K340" s="411"/>
      <c r="L340" s="414">
        <v>0.1</v>
      </c>
      <c r="M340" s="414">
        <f>ROUND(+L340*C340,4)</f>
        <v>0</v>
      </c>
      <c r="N340" s="414"/>
      <c r="O340" s="414"/>
      <c r="P340" s="414"/>
      <c r="Q340" s="419">
        <f>ROUND(+N340+O340+P340,4)</f>
        <v>0</v>
      </c>
      <c r="R340" s="419">
        <f>ROUND(IF(+Q340-H340&lt;=0,0,Q340-H340),4)</f>
        <v>0</v>
      </c>
      <c r="S340" s="423">
        <v>0.5</v>
      </c>
      <c r="T340" s="419">
        <f>ROUND(+(R340*C340)*S340,4)</f>
        <v>0</v>
      </c>
      <c r="U340" s="419">
        <f>ROUND(+J340+M340+T340,4)</f>
        <v>0</v>
      </c>
      <c r="V340" s="235"/>
    </row>
    <row r="341" spans="1:22" ht="15.75" x14ac:dyDescent="0.25">
      <c r="A341" s="231"/>
      <c r="B341" s="232"/>
      <c r="C341" s="400"/>
      <c r="D341" s="233"/>
      <c r="E341" s="405"/>
      <c r="F341" s="405"/>
      <c r="G341" s="405"/>
      <c r="H341" s="408">
        <f>ROUND(+E341+F341+G341,4)</f>
        <v>0</v>
      </c>
      <c r="I341" s="234"/>
      <c r="J341" s="411"/>
      <c r="K341" s="411"/>
      <c r="L341" s="414">
        <v>0.1</v>
      </c>
      <c r="M341" s="414">
        <f>ROUND(+L341*C341,4)</f>
        <v>0</v>
      </c>
      <c r="N341" s="414"/>
      <c r="O341" s="414"/>
      <c r="P341" s="414"/>
      <c r="Q341" s="419">
        <f>ROUND(+N341+O341+P341,4)</f>
        <v>0</v>
      </c>
      <c r="R341" s="419">
        <f>ROUND(IF(+Q341-H341&lt;=0,0,Q341-H341),4)</f>
        <v>0</v>
      </c>
      <c r="S341" s="423">
        <v>0.5</v>
      </c>
      <c r="T341" s="419">
        <f>ROUND(+(R341*C341)*S341,4)</f>
        <v>0</v>
      </c>
      <c r="U341" s="419">
        <f>ROUND(+J341+M341+T341,4)</f>
        <v>0</v>
      </c>
      <c r="V341" s="235"/>
    </row>
    <row r="342" spans="1:22" ht="15.75" x14ac:dyDescent="0.25">
      <c r="A342" s="231"/>
      <c r="B342" s="232"/>
      <c r="C342" s="400"/>
      <c r="D342" s="233"/>
      <c r="E342" s="405"/>
      <c r="F342" s="405"/>
      <c r="G342" s="405"/>
      <c r="H342" s="408">
        <f>ROUND(+E342+F342+G342,4)</f>
        <v>0</v>
      </c>
      <c r="I342" s="234"/>
      <c r="J342" s="411"/>
      <c r="K342" s="411"/>
      <c r="L342" s="414">
        <v>0.1</v>
      </c>
      <c r="M342" s="414">
        <f>ROUND(+L342*C342,4)</f>
        <v>0</v>
      </c>
      <c r="N342" s="414"/>
      <c r="O342" s="414"/>
      <c r="P342" s="414"/>
      <c r="Q342" s="419">
        <f>ROUND(+N342+O342+P342,4)</f>
        <v>0</v>
      </c>
      <c r="R342" s="419">
        <f>ROUND(IF(+Q342-H342&lt;=0,0,Q342-H342),4)</f>
        <v>0</v>
      </c>
      <c r="S342" s="423">
        <v>0.5</v>
      </c>
      <c r="T342" s="419">
        <f>ROUND(+(R342*C342)*S342,4)</f>
        <v>0</v>
      </c>
      <c r="U342" s="419">
        <f>ROUND(+J342+M342+T342,4)</f>
        <v>0</v>
      </c>
      <c r="V342" s="235"/>
    </row>
    <row r="343" spans="1:22" ht="15.75" x14ac:dyDescent="0.25">
      <c r="A343" s="231"/>
      <c r="B343" s="232"/>
      <c r="C343" s="400"/>
      <c r="D343" s="233"/>
      <c r="E343" s="405"/>
      <c r="F343" s="405"/>
      <c r="G343" s="405"/>
      <c r="H343" s="408">
        <f>ROUND(+E343+F343+G343,4)</f>
        <v>0</v>
      </c>
      <c r="I343" s="234"/>
      <c r="J343" s="411"/>
      <c r="K343" s="411"/>
      <c r="L343" s="414">
        <v>0.1</v>
      </c>
      <c r="M343" s="414">
        <f>ROUND(+L343*C343,4)</f>
        <v>0</v>
      </c>
      <c r="N343" s="414"/>
      <c r="O343" s="414"/>
      <c r="P343" s="414"/>
      <c r="Q343" s="419">
        <f>ROUND(+N343+O343+P343,4)</f>
        <v>0</v>
      </c>
      <c r="R343" s="419">
        <f>ROUND(IF(+Q343-H343&lt;=0,0,Q343-H343),4)</f>
        <v>0</v>
      </c>
      <c r="S343" s="423">
        <v>0.5</v>
      </c>
      <c r="T343" s="419">
        <f>ROUND(+(R343*C343)*S343,4)</f>
        <v>0</v>
      </c>
      <c r="U343" s="419">
        <f>ROUND(+J343+M343+T343,4)</f>
        <v>0</v>
      </c>
      <c r="V343" s="235"/>
    </row>
    <row r="344" spans="1:22" ht="15.75" x14ac:dyDescent="0.25">
      <c r="A344" s="231"/>
      <c r="B344" s="232"/>
      <c r="C344" s="400"/>
      <c r="D344" s="233"/>
      <c r="E344" s="405"/>
      <c r="F344" s="405"/>
      <c r="G344" s="405"/>
      <c r="H344" s="408">
        <f>ROUND(+E344+F344+G344,4)</f>
        <v>0</v>
      </c>
      <c r="I344" s="234"/>
      <c r="J344" s="411"/>
      <c r="K344" s="411"/>
      <c r="L344" s="414">
        <v>0.1</v>
      </c>
      <c r="M344" s="414">
        <f>ROUND(+L344*C344,4)</f>
        <v>0</v>
      </c>
      <c r="N344" s="414"/>
      <c r="O344" s="414"/>
      <c r="P344" s="414"/>
      <c r="Q344" s="419">
        <f>ROUND(+N344+O344+P344,4)</f>
        <v>0</v>
      </c>
      <c r="R344" s="419">
        <f>ROUND(IF(+Q344-H344&lt;=0,0,Q344-H344),4)</f>
        <v>0</v>
      </c>
      <c r="S344" s="423">
        <v>0.5</v>
      </c>
      <c r="T344" s="419">
        <f>ROUND(+(R344*C344)*S344,4)</f>
        <v>0</v>
      </c>
      <c r="U344" s="419">
        <f>ROUND(+J344+M344+T344,4)</f>
        <v>0</v>
      </c>
      <c r="V344" s="235"/>
    </row>
    <row r="345" spans="1:22" ht="15.75" x14ac:dyDescent="0.25">
      <c r="A345" s="231"/>
      <c r="B345" s="232"/>
      <c r="C345" s="400"/>
      <c r="D345" s="233"/>
      <c r="E345" s="405"/>
      <c r="F345" s="405"/>
      <c r="G345" s="405"/>
      <c r="H345" s="408">
        <f>ROUND(+E345+F345+G345,4)</f>
        <v>0</v>
      </c>
      <c r="I345" s="234"/>
      <c r="J345" s="411"/>
      <c r="K345" s="411"/>
      <c r="L345" s="414">
        <v>0.1</v>
      </c>
      <c r="M345" s="414">
        <f>ROUND(+L345*C345,4)</f>
        <v>0</v>
      </c>
      <c r="N345" s="414"/>
      <c r="O345" s="414"/>
      <c r="P345" s="414"/>
      <c r="Q345" s="419">
        <f>ROUND(+N345+O345+P345,4)</f>
        <v>0</v>
      </c>
      <c r="R345" s="419">
        <f>ROUND(IF(+Q345-H345&lt;=0,0,Q345-H345),4)</f>
        <v>0</v>
      </c>
      <c r="S345" s="423">
        <v>0.5</v>
      </c>
      <c r="T345" s="419">
        <f>ROUND(+(R345*C345)*S345,4)</f>
        <v>0</v>
      </c>
      <c r="U345" s="419">
        <f>ROUND(+J345+M345+T345,4)</f>
        <v>0</v>
      </c>
      <c r="V345" s="235"/>
    </row>
    <row r="346" spans="1:22" ht="15.75" x14ac:dyDescent="0.25">
      <c r="A346" s="231"/>
      <c r="B346" s="232"/>
      <c r="C346" s="400"/>
      <c r="D346" s="233"/>
      <c r="E346" s="405"/>
      <c r="F346" s="405"/>
      <c r="G346" s="405"/>
      <c r="H346" s="408">
        <f>ROUND(+E346+F346+G346,4)</f>
        <v>0</v>
      </c>
      <c r="I346" s="234"/>
      <c r="J346" s="411"/>
      <c r="K346" s="411"/>
      <c r="L346" s="414">
        <v>0.1</v>
      </c>
      <c r="M346" s="414">
        <f>ROUND(+L346*C346,4)</f>
        <v>0</v>
      </c>
      <c r="N346" s="414"/>
      <c r="O346" s="414"/>
      <c r="P346" s="414"/>
      <c r="Q346" s="419">
        <f>ROUND(+N346+O346+P346,4)</f>
        <v>0</v>
      </c>
      <c r="R346" s="419">
        <f>ROUND(IF(+Q346-H346&lt;=0,0,Q346-H346),4)</f>
        <v>0</v>
      </c>
      <c r="S346" s="423">
        <v>0.5</v>
      </c>
      <c r="T346" s="419">
        <f>ROUND(+(R346*C346)*S346,4)</f>
        <v>0</v>
      </c>
      <c r="U346" s="419">
        <f>ROUND(+J346+M346+T346,4)</f>
        <v>0</v>
      </c>
      <c r="V346" s="235"/>
    </row>
    <row r="347" spans="1:22" ht="15.75" x14ac:dyDescent="0.25">
      <c r="A347" s="231"/>
      <c r="B347" s="232"/>
      <c r="C347" s="400"/>
      <c r="D347" s="233"/>
      <c r="E347" s="405"/>
      <c r="F347" s="405"/>
      <c r="G347" s="405"/>
      <c r="H347" s="408">
        <f>ROUND(+E347+F347+G347,4)</f>
        <v>0</v>
      </c>
      <c r="I347" s="234"/>
      <c r="J347" s="411"/>
      <c r="K347" s="411"/>
      <c r="L347" s="414">
        <v>0.1</v>
      </c>
      <c r="M347" s="414">
        <f>ROUND(+L347*C347,4)</f>
        <v>0</v>
      </c>
      <c r="N347" s="414"/>
      <c r="O347" s="414"/>
      <c r="P347" s="414"/>
      <c r="Q347" s="419">
        <f>ROUND(+N347+O347+P347,4)</f>
        <v>0</v>
      </c>
      <c r="R347" s="419">
        <f>ROUND(IF(+Q347-H347&lt;=0,0,Q347-H347),4)</f>
        <v>0</v>
      </c>
      <c r="S347" s="423">
        <v>0.5</v>
      </c>
      <c r="T347" s="419">
        <f>ROUND(+(R347*C347)*S347,4)</f>
        <v>0</v>
      </c>
      <c r="U347" s="419">
        <f>ROUND(+J347+M347+T347,4)</f>
        <v>0</v>
      </c>
      <c r="V347" s="235"/>
    </row>
    <row r="348" spans="1:22" ht="15.75" x14ac:dyDescent="0.25">
      <c r="A348" s="231"/>
      <c r="B348" s="232"/>
      <c r="C348" s="400"/>
      <c r="D348" s="233"/>
      <c r="E348" s="405"/>
      <c r="F348" s="405"/>
      <c r="G348" s="405"/>
      <c r="H348" s="408">
        <f>ROUND(+E348+F348+G348,4)</f>
        <v>0</v>
      </c>
      <c r="I348" s="234"/>
      <c r="J348" s="411"/>
      <c r="K348" s="411"/>
      <c r="L348" s="414">
        <v>0.1</v>
      </c>
      <c r="M348" s="414">
        <f>ROUND(+L348*C348,4)</f>
        <v>0</v>
      </c>
      <c r="N348" s="414"/>
      <c r="O348" s="414"/>
      <c r="P348" s="414"/>
      <c r="Q348" s="419">
        <f>ROUND(+N348+O348+P348,4)</f>
        <v>0</v>
      </c>
      <c r="R348" s="419">
        <f>ROUND(IF(+Q348-H348&lt;=0,0,Q348-H348),4)</f>
        <v>0</v>
      </c>
      <c r="S348" s="423">
        <v>0.5</v>
      </c>
      <c r="T348" s="419">
        <f>ROUND(+(R348*C348)*S348,4)</f>
        <v>0</v>
      </c>
      <c r="U348" s="419">
        <f>ROUND(+J348+M348+T348,4)</f>
        <v>0</v>
      </c>
      <c r="V348" s="235"/>
    </row>
    <row r="349" spans="1:22" ht="15.75" x14ac:dyDescent="0.25">
      <c r="A349" s="231"/>
      <c r="B349" s="232"/>
      <c r="C349" s="400"/>
      <c r="D349" s="233"/>
      <c r="E349" s="405"/>
      <c r="F349" s="405"/>
      <c r="G349" s="405"/>
      <c r="H349" s="408">
        <f>ROUND(+E349+F349+G349,4)</f>
        <v>0</v>
      </c>
      <c r="I349" s="234"/>
      <c r="J349" s="411"/>
      <c r="K349" s="411"/>
      <c r="L349" s="414">
        <v>0.1</v>
      </c>
      <c r="M349" s="414">
        <f>ROUND(+L349*C349,4)</f>
        <v>0</v>
      </c>
      <c r="N349" s="414"/>
      <c r="O349" s="414"/>
      <c r="P349" s="414"/>
      <c r="Q349" s="419">
        <f>ROUND(+N349+O349+P349,4)</f>
        <v>0</v>
      </c>
      <c r="R349" s="419">
        <f>ROUND(IF(+Q349-H349&lt;=0,0,Q349-H349),4)</f>
        <v>0</v>
      </c>
      <c r="S349" s="423">
        <v>0.5</v>
      </c>
      <c r="T349" s="419">
        <f>ROUND(+(R349*C349)*S349,4)</f>
        <v>0</v>
      </c>
      <c r="U349" s="419">
        <f>ROUND(+J349+M349+T349,4)</f>
        <v>0</v>
      </c>
      <c r="V349" s="235"/>
    </row>
    <row r="350" spans="1:22" ht="15.75" x14ac:dyDescent="0.25">
      <c r="A350" s="231"/>
      <c r="B350" s="232"/>
      <c r="C350" s="400"/>
      <c r="D350" s="233"/>
      <c r="E350" s="405"/>
      <c r="F350" s="405"/>
      <c r="G350" s="405"/>
      <c r="H350" s="408">
        <f>ROUND(+E350+F350+G350,4)</f>
        <v>0</v>
      </c>
      <c r="I350" s="234"/>
      <c r="J350" s="411"/>
      <c r="K350" s="411"/>
      <c r="L350" s="414">
        <v>0.1</v>
      </c>
      <c r="M350" s="414">
        <f>ROUND(+L350*C350,4)</f>
        <v>0</v>
      </c>
      <c r="N350" s="414"/>
      <c r="O350" s="414"/>
      <c r="P350" s="414"/>
      <c r="Q350" s="419">
        <f>ROUND(+N350+O350+P350,4)</f>
        <v>0</v>
      </c>
      <c r="R350" s="419">
        <f>ROUND(IF(+Q350-H350&lt;=0,0,Q350-H350),4)</f>
        <v>0</v>
      </c>
      <c r="S350" s="423">
        <v>0.5</v>
      </c>
      <c r="T350" s="419">
        <f>ROUND(+(R350*C350)*S350,4)</f>
        <v>0</v>
      </c>
      <c r="U350" s="419">
        <f>ROUND(+J350+M350+T350,4)</f>
        <v>0</v>
      </c>
      <c r="V350" s="235"/>
    </row>
    <row r="351" spans="1:22" ht="15.75" x14ac:dyDescent="0.25">
      <c r="A351" s="231"/>
      <c r="B351" s="232"/>
      <c r="C351" s="400"/>
      <c r="D351" s="233"/>
      <c r="E351" s="405"/>
      <c r="F351" s="405"/>
      <c r="G351" s="405"/>
      <c r="H351" s="408">
        <f>ROUND(+E351+F351+G351,4)</f>
        <v>0</v>
      </c>
      <c r="I351" s="234"/>
      <c r="J351" s="411"/>
      <c r="K351" s="411"/>
      <c r="L351" s="414">
        <v>0.1</v>
      </c>
      <c r="M351" s="414">
        <f>ROUND(+L351*C351,4)</f>
        <v>0</v>
      </c>
      <c r="N351" s="414"/>
      <c r="O351" s="414"/>
      <c r="P351" s="414"/>
      <c r="Q351" s="419">
        <f>ROUND(+N351+O351+P351,4)</f>
        <v>0</v>
      </c>
      <c r="R351" s="419">
        <f>ROUND(IF(+Q351-H351&lt;=0,0,Q351-H351),4)</f>
        <v>0</v>
      </c>
      <c r="S351" s="423">
        <v>0.5</v>
      </c>
      <c r="T351" s="419">
        <f>ROUND(+(R351*C351)*S351,4)</f>
        <v>0</v>
      </c>
      <c r="U351" s="419">
        <f>ROUND(+J351+M351+T351,4)</f>
        <v>0</v>
      </c>
      <c r="V351" s="235"/>
    </row>
    <row r="352" spans="1:22" ht="15.75" x14ac:dyDescent="0.25">
      <c r="A352" s="231"/>
      <c r="B352" s="232"/>
      <c r="C352" s="400"/>
      <c r="D352" s="233"/>
      <c r="E352" s="405"/>
      <c r="F352" s="405"/>
      <c r="G352" s="405"/>
      <c r="H352" s="408">
        <f>ROUND(+E352+F352+G352,4)</f>
        <v>0</v>
      </c>
      <c r="I352" s="234"/>
      <c r="J352" s="411"/>
      <c r="K352" s="411"/>
      <c r="L352" s="414">
        <v>0.1</v>
      </c>
      <c r="M352" s="414">
        <f>ROUND(+L352*C352,4)</f>
        <v>0</v>
      </c>
      <c r="N352" s="414"/>
      <c r="O352" s="414"/>
      <c r="P352" s="414"/>
      <c r="Q352" s="419">
        <f>ROUND(+N352+O352+P352,4)</f>
        <v>0</v>
      </c>
      <c r="R352" s="419">
        <f>ROUND(IF(+Q352-H352&lt;=0,0,Q352-H352),4)</f>
        <v>0</v>
      </c>
      <c r="S352" s="423">
        <v>0.5</v>
      </c>
      <c r="T352" s="419">
        <f>ROUND(+(R352*C352)*S352,4)</f>
        <v>0</v>
      </c>
      <c r="U352" s="419">
        <f>ROUND(+J352+M352+T352,4)</f>
        <v>0</v>
      </c>
      <c r="V352" s="235"/>
    </row>
    <row r="353" spans="1:22" ht="15.75" x14ac:dyDescent="0.25">
      <c r="A353" s="231"/>
      <c r="B353" s="232"/>
      <c r="C353" s="400"/>
      <c r="D353" s="233"/>
      <c r="E353" s="405"/>
      <c r="F353" s="405"/>
      <c r="G353" s="405"/>
      <c r="H353" s="408">
        <f>ROUND(+E353+F353+G353,4)</f>
        <v>0</v>
      </c>
      <c r="I353" s="234"/>
      <c r="J353" s="411"/>
      <c r="K353" s="411"/>
      <c r="L353" s="414">
        <v>0.1</v>
      </c>
      <c r="M353" s="414">
        <f>ROUND(+L353*C353,4)</f>
        <v>0</v>
      </c>
      <c r="N353" s="414"/>
      <c r="O353" s="414"/>
      <c r="P353" s="414"/>
      <c r="Q353" s="419">
        <f>ROUND(+N353+O353+P353,4)</f>
        <v>0</v>
      </c>
      <c r="R353" s="419">
        <f>ROUND(IF(+Q353-H353&lt;=0,0,Q353-H353),4)</f>
        <v>0</v>
      </c>
      <c r="S353" s="423">
        <v>0.5</v>
      </c>
      <c r="T353" s="419">
        <f>ROUND(+(R353*C353)*S353,4)</f>
        <v>0</v>
      </c>
      <c r="U353" s="419">
        <f>ROUND(+J353+M353+T353,4)</f>
        <v>0</v>
      </c>
      <c r="V353" s="235"/>
    </row>
    <row r="354" spans="1:22" ht="15.75" x14ac:dyDescent="0.25">
      <c r="A354" s="231"/>
      <c r="B354" s="232"/>
      <c r="C354" s="400"/>
      <c r="D354" s="233"/>
      <c r="E354" s="405"/>
      <c r="F354" s="405"/>
      <c r="G354" s="405"/>
      <c r="H354" s="408">
        <f>ROUND(+E354+F354+G354,4)</f>
        <v>0</v>
      </c>
      <c r="I354" s="234"/>
      <c r="J354" s="411"/>
      <c r="K354" s="411"/>
      <c r="L354" s="414">
        <v>0.1</v>
      </c>
      <c r="M354" s="414">
        <f>ROUND(+L354*C354,4)</f>
        <v>0</v>
      </c>
      <c r="N354" s="414"/>
      <c r="O354" s="414"/>
      <c r="P354" s="414"/>
      <c r="Q354" s="419">
        <f>ROUND(+N354+O354+P354,4)</f>
        <v>0</v>
      </c>
      <c r="R354" s="419">
        <f>ROUND(IF(+Q354-H354&lt;=0,0,Q354-H354),4)</f>
        <v>0</v>
      </c>
      <c r="S354" s="423">
        <v>0.5</v>
      </c>
      <c r="T354" s="419">
        <f>ROUND(+(R354*C354)*S354,4)</f>
        <v>0</v>
      </c>
      <c r="U354" s="419">
        <f>ROUND(+J354+M354+T354,4)</f>
        <v>0</v>
      </c>
      <c r="V354" s="235"/>
    </row>
    <row r="355" spans="1:22" ht="15.75" x14ac:dyDescent="0.25">
      <c r="A355" s="231"/>
      <c r="B355" s="232"/>
      <c r="C355" s="400"/>
      <c r="D355" s="233"/>
      <c r="E355" s="405"/>
      <c r="F355" s="405"/>
      <c r="G355" s="405"/>
      <c r="H355" s="408">
        <f>ROUND(+E355+F355+G355,4)</f>
        <v>0</v>
      </c>
      <c r="I355" s="234"/>
      <c r="J355" s="411"/>
      <c r="K355" s="411"/>
      <c r="L355" s="414">
        <v>0.1</v>
      </c>
      <c r="M355" s="414">
        <f>ROUND(+L355*C355,4)</f>
        <v>0</v>
      </c>
      <c r="N355" s="414"/>
      <c r="O355" s="414"/>
      <c r="P355" s="414"/>
      <c r="Q355" s="419">
        <f>ROUND(+N355+O355+P355,4)</f>
        <v>0</v>
      </c>
      <c r="R355" s="419">
        <f>ROUND(IF(+Q355-H355&lt;=0,0,Q355-H355),4)</f>
        <v>0</v>
      </c>
      <c r="S355" s="423">
        <v>0.5</v>
      </c>
      <c r="T355" s="419">
        <f>ROUND(+(R355*C355)*S355,4)</f>
        <v>0</v>
      </c>
      <c r="U355" s="419">
        <f>ROUND(+J355+M355+T355,4)</f>
        <v>0</v>
      </c>
      <c r="V355" s="235"/>
    </row>
    <row r="356" spans="1:22" ht="15.75" x14ac:dyDescent="0.25">
      <c r="A356" s="231"/>
      <c r="B356" s="232"/>
      <c r="C356" s="400"/>
      <c r="D356" s="233"/>
      <c r="E356" s="405"/>
      <c r="F356" s="405"/>
      <c r="G356" s="405"/>
      <c r="H356" s="408">
        <f>ROUND(+E356+F356+G356,4)</f>
        <v>0</v>
      </c>
      <c r="I356" s="234"/>
      <c r="J356" s="411"/>
      <c r="K356" s="411"/>
      <c r="L356" s="414">
        <v>0.1</v>
      </c>
      <c r="M356" s="414">
        <f>ROUND(+L356*C356,4)</f>
        <v>0</v>
      </c>
      <c r="N356" s="414"/>
      <c r="O356" s="414"/>
      <c r="P356" s="414"/>
      <c r="Q356" s="419">
        <f>ROUND(+N356+O356+P356,4)</f>
        <v>0</v>
      </c>
      <c r="R356" s="419">
        <f>ROUND(IF(+Q356-H356&lt;=0,0,Q356-H356),4)</f>
        <v>0</v>
      </c>
      <c r="S356" s="423">
        <v>0.5</v>
      </c>
      <c r="T356" s="419">
        <f>ROUND(+(R356*C356)*S356,4)</f>
        <v>0</v>
      </c>
      <c r="U356" s="419">
        <f>ROUND(+J356+M356+T356,4)</f>
        <v>0</v>
      </c>
      <c r="V356" s="235"/>
    </row>
    <row r="357" spans="1:22" ht="15.75" x14ac:dyDescent="0.25">
      <c r="A357" s="231"/>
      <c r="B357" s="232"/>
      <c r="C357" s="400"/>
      <c r="D357" s="233"/>
      <c r="E357" s="405"/>
      <c r="F357" s="405"/>
      <c r="G357" s="405"/>
      <c r="H357" s="408">
        <f>ROUND(+E357+F357+G357,4)</f>
        <v>0</v>
      </c>
      <c r="I357" s="234"/>
      <c r="J357" s="411"/>
      <c r="K357" s="411"/>
      <c r="L357" s="414">
        <v>0.1</v>
      </c>
      <c r="M357" s="414">
        <f>ROUND(+L357*C357,4)</f>
        <v>0</v>
      </c>
      <c r="N357" s="414"/>
      <c r="O357" s="414"/>
      <c r="P357" s="414"/>
      <c r="Q357" s="419">
        <f>ROUND(+N357+O357+P357,4)</f>
        <v>0</v>
      </c>
      <c r="R357" s="419">
        <f>ROUND(IF(+Q357-H357&lt;=0,0,Q357-H357),4)</f>
        <v>0</v>
      </c>
      <c r="S357" s="423">
        <v>0.5</v>
      </c>
      <c r="T357" s="419">
        <f>ROUND(+(R357*C357)*S357,4)</f>
        <v>0</v>
      </c>
      <c r="U357" s="419">
        <f>ROUND(+J357+M357+T357,4)</f>
        <v>0</v>
      </c>
      <c r="V357" s="235"/>
    </row>
    <row r="358" spans="1:22" ht="15.75" x14ac:dyDescent="0.25">
      <c r="A358" s="231"/>
      <c r="B358" s="232"/>
      <c r="C358" s="400"/>
      <c r="D358" s="233"/>
      <c r="E358" s="405"/>
      <c r="F358" s="405"/>
      <c r="G358" s="405"/>
      <c r="H358" s="408">
        <f>ROUND(+E358+F358+G358,4)</f>
        <v>0</v>
      </c>
      <c r="I358" s="234"/>
      <c r="J358" s="411"/>
      <c r="K358" s="411"/>
      <c r="L358" s="414">
        <v>0.1</v>
      </c>
      <c r="M358" s="414">
        <f>ROUND(+L358*C358,4)</f>
        <v>0</v>
      </c>
      <c r="N358" s="414"/>
      <c r="O358" s="414"/>
      <c r="P358" s="414"/>
      <c r="Q358" s="419">
        <f>ROUND(+N358+O358+P358,4)</f>
        <v>0</v>
      </c>
      <c r="R358" s="419">
        <f>ROUND(IF(+Q358-H358&lt;=0,0,Q358-H358),4)</f>
        <v>0</v>
      </c>
      <c r="S358" s="423">
        <v>0.5</v>
      </c>
      <c r="T358" s="419">
        <f>ROUND(+(R358*C358)*S358,4)</f>
        <v>0</v>
      </c>
      <c r="U358" s="419">
        <f>ROUND(+J358+M358+T358,4)</f>
        <v>0</v>
      </c>
      <c r="V358" s="235"/>
    </row>
    <row r="359" spans="1:22" ht="15.75" x14ac:dyDescent="0.25">
      <c r="A359" s="231"/>
      <c r="B359" s="232"/>
      <c r="C359" s="400"/>
      <c r="D359" s="233"/>
      <c r="E359" s="405"/>
      <c r="F359" s="405"/>
      <c r="G359" s="405"/>
      <c r="H359" s="408">
        <f>ROUND(+E359+F359+G359,4)</f>
        <v>0</v>
      </c>
      <c r="I359" s="234"/>
      <c r="J359" s="411"/>
      <c r="K359" s="411"/>
      <c r="L359" s="414">
        <v>0.1</v>
      </c>
      <c r="M359" s="414">
        <f>ROUND(+L359*C359,4)</f>
        <v>0</v>
      </c>
      <c r="N359" s="414"/>
      <c r="O359" s="414"/>
      <c r="P359" s="414"/>
      <c r="Q359" s="419">
        <f>ROUND(+N359+O359+P359,4)</f>
        <v>0</v>
      </c>
      <c r="R359" s="419">
        <f>ROUND(IF(+Q359-H359&lt;=0,0,Q359-H359),4)</f>
        <v>0</v>
      </c>
      <c r="S359" s="423">
        <v>0.5</v>
      </c>
      <c r="T359" s="419">
        <f>ROUND(+(R359*C359)*S359,4)</f>
        <v>0</v>
      </c>
      <c r="U359" s="419">
        <f>ROUND(+J359+M359+T359,4)</f>
        <v>0</v>
      </c>
      <c r="V359" s="235"/>
    </row>
    <row r="360" spans="1:22" ht="15.75" x14ac:dyDescent="0.25">
      <c r="A360" s="231"/>
      <c r="B360" s="232"/>
      <c r="C360" s="400"/>
      <c r="D360" s="233"/>
      <c r="E360" s="405"/>
      <c r="F360" s="405"/>
      <c r="G360" s="405"/>
      <c r="H360" s="408">
        <f>ROUND(+E360+F360+G360,4)</f>
        <v>0</v>
      </c>
      <c r="I360" s="234"/>
      <c r="J360" s="411"/>
      <c r="K360" s="411"/>
      <c r="L360" s="414">
        <v>0.1</v>
      </c>
      <c r="M360" s="414">
        <f>ROUND(+L360*C360,4)</f>
        <v>0</v>
      </c>
      <c r="N360" s="414"/>
      <c r="O360" s="414"/>
      <c r="P360" s="414"/>
      <c r="Q360" s="419">
        <f>ROUND(+N360+O360+P360,4)</f>
        <v>0</v>
      </c>
      <c r="R360" s="419">
        <f>ROUND(IF(+Q360-H360&lt;=0,0,Q360-H360),4)</f>
        <v>0</v>
      </c>
      <c r="S360" s="423">
        <v>0.5</v>
      </c>
      <c r="T360" s="419">
        <f>ROUND(+(R360*C360)*S360,4)</f>
        <v>0</v>
      </c>
      <c r="U360" s="419">
        <f>ROUND(+J360+M360+T360,4)</f>
        <v>0</v>
      </c>
      <c r="V360" s="235"/>
    </row>
    <row r="361" spans="1:22" ht="15.75" x14ac:dyDescent="0.25">
      <c r="A361" s="231"/>
      <c r="B361" s="232"/>
      <c r="C361" s="400"/>
      <c r="D361" s="233"/>
      <c r="E361" s="405"/>
      <c r="F361" s="405"/>
      <c r="G361" s="405"/>
      <c r="H361" s="408">
        <f>ROUND(+E361+F361+G361,4)</f>
        <v>0</v>
      </c>
      <c r="I361" s="234"/>
      <c r="J361" s="411"/>
      <c r="K361" s="411"/>
      <c r="L361" s="414">
        <v>0.1</v>
      </c>
      <c r="M361" s="414">
        <f>ROUND(+L361*C361,4)</f>
        <v>0</v>
      </c>
      <c r="N361" s="414"/>
      <c r="O361" s="414"/>
      <c r="P361" s="414"/>
      <c r="Q361" s="419">
        <f>ROUND(+N361+O361+P361,4)</f>
        <v>0</v>
      </c>
      <c r="R361" s="419">
        <f>ROUND(IF(+Q361-H361&lt;=0,0,Q361-H361),4)</f>
        <v>0</v>
      </c>
      <c r="S361" s="423">
        <v>0.5</v>
      </c>
      <c r="T361" s="419">
        <f>ROUND(+(R361*C361)*S361,4)</f>
        <v>0</v>
      </c>
      <c r="U361" s="419">
        <f>ROUND(+J361+M361+T361,4)</f>
        <v>0</v>
      </c>
      <c r="V361" s="235"/>
    </row>
    <row r="362" spans="1:22" ht="15.75" x14ac:dyDescent="0.25">
      <c r="A362" s="231"/>
      <c r="B362" s="232"/>
      <c r="C362" s="400"/>
      <c r="D362" s="233"/>
      <c r="E362" s="405"/>
      <c r="F362" s="405"/>
      <c r="G362" s="405"/>
      <c r="H362" s="408">
        <f>ROUND(+E362+F362+G362,4)</f>
        <v>0</v>
      </c>
      <c r="I362" s="234"/>
      <c r="J362" s="411"/>
      <c r="K362" s="411"/>
      <c r="L362" s="414">
        <v>0.1</v>
      </c>
      <c r="M362" s="414">
        <f>ROUND(+L362*C362,4)</f>
        <v>0</v>
      </c>
      <c r="N362" s="414"/>
      <c r="O362" s="414"/>
      <c r="P362" s="414"/>
      <c r="Q362" s="419">
        <f>ROUND(+N362+O362+P362,4)</f>
        <v>0</v>
      </c>
      <c r="R362" s="419">
        <f>ROUND(IF(+Q362-H362&lt;=0,0,Q362-H362),4)</f>
        <v>0</v>
      </c>
      <c r="S362" s="423">
        <v>0.5</v>
      </c>
      <c r="T362" s="419">
        <f>ROUND(+(R362*C362)*S362,4)</f>
        <v>0</v>
      </c>
      <c r="U362" s="419">
        <f>ROUND(+J362+M362+T362,4)</f>
        <v>0</v>
      </c>
      <c r="V362" s="235"/>
    </row>
    <row r="363" spans="1:22" ht="15.75" x14ac:dyDescent="0.25">
      <c r="A363" s="231"/>
      <c r="B363" s="232"/>
      <c r="C363" s="400"/>
      <c r="D363" s="233"/>
      <c r="E363" s="405"/>
      <c r="F363" s="405"/>
      <c r="G363" s="405"/>
      <c r="H363" s="408">
        <f>ROUND(+E363+F363+G363,4)</f>
        <v>0</v>
      </c>
      <c r="I363" s="234"/>
      <c r="J363" s="411"/>
      <c r="K363" s="411"/>
      <c r="L363" s="414">
        <v>0.1</v>
      </c>
      <c r="M363" s="414">
        <f>ROUND(+L363*C363,4)</f>
        <v>0</v>
      </c>
      <c r="N363" s="414"/>
      <c r="O363" s="414"/>
      <c r="P363" s="414"/>
      <c r="Q363" s="419">
        <f>ROUND(+N363+O363+P363,4)</f>
        <v>0</v>
      </c>
      <c r="R363" s="419">
        <f>ROUND(IF(+Q363-H363&lt;=0,0,Q363-H363),4)</f>
        <v>0</v>
      </c>
      <c r="S363" s="423">
        <v>0.5</v>
      </c>
      <c r="T363" s="419">
        <f>ROUND(+(R363*C363)*S363,4)</f>
        <v>0</v>
      </c>
      <c r="U363" s="419">
        <f>ROUND(+J363+M363+T363,4)</f>
        <v>0</v>
      </c>
      <c r="V363" s="235"/>
    </row>
    <row r="364" spans="1:22" ht="15.75" x14ac:dyDescent="0.25">
      <c r="A364" s="231"/>
      <c r="B364" s="232"/>
      <c r="C364" s="400"/>
      <c r="D364" s="233"/>
      <c r="E364" s="405"/>
      <c r="F364" s="405"/>
      <c r="G364" s="405"/>
      <c r="H364" s="408">
        <f>ROUND(+E364+F364+G364,4)</f>
        <v>0</v>
      </c>
      <c r="I364" s="234"/>
      <c r="J364" s="411"/>
      <c r="K364" s="411"/>
      <c r="L364" s="414">
        <v>0.1</v>
      </c>
      <c r="M364" s="414">
        <f>ROUND(+L364*C364,4)</f>
        <v>0</v>
      </c>
      <c r="N364" s="414"/>
      <c r="O364" s="414"/>
      <c r="P364" s="414"/>
      <c r="Q364" s="419">
        <f>ROUND(+N364+O364+P364,4)</f>
        <v>0</v>
      </c>
      <c r="R364" s="419">
        <f>ROUND(IF(+Q364-H364&lt;=0,0,Q364-H364),4)</f>
        <v>0</v>
      </c>
      <c r="S364" s="423">
        <v>0.5</v>
      </c>
      <c r="T364" s="419">
        <f>ROUND(+(R364*C364)*S364,4)</f>
        <v>0</v>
      </c>
      <c r="U364" s="419">
        <f>ROUND(+J364+M364+T364,4)</f>
        <v>0</v>
      </c>
      <c r="V364" s="235"/>
    </row>
    <row r="365" spans="1:22" ht="15.75" x14ac:dyDescent="0.25">
      <c r="A365" s="231"/>
      <c r="B365" s="232"/>
      <c r="C365" s="400"/>
      <c r="D365" s="233"/>
      <c r="E365" s="405"/>
      <c r="F365" s="405"/>
      <c r="G365" s="405"/>
      <c r="H365" s="408">
        <f>ROUND(+E365+F365+G365,4)</f>
        <v>0</v>
      </c>
      <c r="I365" s="234"/>
      <c r="J365" s="411"/>
      <c r="K365" s="411"/>
      <c r="L365" s="414">
        <v>0.1</v>
      </c>
      <c r="M365" s="414">
        <f>ROUND(+L365*C365,4)</f>
        <v>0</v>
      </c>
      <c r="N365" s="414"/>
      <c r="O365" s="414"/>
      <c r="P365" s="414"/>
      <c r="Q365" s="419">
        <f>ROUND(+N365+O365+P365,4)</f>
        <v>0</v>
      </c>
      <c r="R365" s="419">
        <f>ROUND(IF(+Q365-H365&lt;=0,0,Q365-H365),4)</f>
        <v>0</v>
      </c>
      <c r="S365" s="423">
        <v>0.5</v>
      </c>
      <c r="T365" s="419">
        <f>ROUND(+(R365*C365)*S365,4)</f>
        <v>0</v>
      </c>
      <c r="U365" s="419">
        <f>ROUND(+J365+M365+T365,4)</f>
        <v>0</v>
      </c>
      <c r="V365" s="235"/>
    </row>
    <row r="366" spans="1:22" ht="15.75" x14ac:dyDescent="0.25">
      <c r="A366" s="231"/>
      <c r="B366" s="232"/>
      <c r="C366" s="400"/>
      <c r="D366" s="233"/>
      <c r="E366" s="405"/>
      <c r="F366" s="405"/>
      <c r="G366" s="405"/>
      <c r="H366" s="408">
        <f>ROUND(+E366+F366+G366,4)</f>
        <v>0</v>
      </c>
      <c r="I366" s="234"/>
      <c r="J366" s="411"/>
      <c r="K366" s="411"/>
      <c r="L366" s="414">
        <v>0.1</v>
      </c>
      <c r="M366" s="414">
        <f>ROUND(+L366*C366,4)</f>
        <v>0</v>
      </c>
      <c r="N366" s="414"/>
      <c r="O366" s="414"/>
      <c r="P366" s="414"/>
      <c r="Q366" s="419">
        <f>ROUND(+N366+O366+P366,4)</f>
        <v>0</v>
      </c>
      <c r="R366" s="419">
        <f>ROUND(IF(+Q366-H366&lt;=0,0,Q366-H366),4)</f>
        <v>0</v>
      </c>
      <c r="S366" s="423">
        <v>0.5</v>
      </c>
      <c r="T366" s="419">
        <f>ROUND(+(R366*C366)*S366,4)</f>
        <v>0</v>
      </c>
      <c r="U366" s="419">
        <f>ROUND(+J366+M366+T366,4)</f>
        <v>0</v>
      </c>
      <c r="V366" s="235"/>
    </row>
    <row r="367" spans="1:22" ht="15.75" x14ac:dyDescent="0.25">
      <c r="A367" s="231"/>
      <c r="B367" s="232"/>
      <c r="C367" s="400"/>
      <c r="D367" s="233"/>
      <c r="E367" s="405"/>
      <c r="F367" s="405"/>
      <c r="G367" s="405"/>
      <c r="H367" s="408">
        <f>ROUND(+E367+F367+G367,4)</f>
        <v>0</v>
      </c>
      <c r="I367" s="234"/>
      <c r="J367" s="411"/>
      <c r="K367" s="411"/>
      <c r="L367" s="414">
        <v>0.1</v>
      </c>
      <c r="M367" s="414">
        <f>ROUND(+L367*C367,4)</f>
        <v>0</v>
      </c>
      <c r="N367" s="414"/>
      <c r="O367" s="414"/>
      <c r="P367" s="414"/>
      <c r="Q367" s="419">
        <f>ROUND(+N367+O367+P367,4)</f>
        <v>0</v>
      </c>
      <c r="R367" s="419">
        <f>ROUND(IF(+Q367-H367&lt;=0,0,Q367-H367),4)</f>
        <v>0</v>
      </c>
      <c r="S367" s="423">
        <v>0.5</v>
      </c>
      <c r="T367" s="419">
        <f>ROUND(+(R367*C367)*S367,4)</f>
        <v>0</v>
      </c>
      <c r="U367" s="419">
        <f>ROUND(+J367+M367+T367,4)</f>
        <v>0</v>
      </c>
      <c r="V367" s="235"/>
    </row>
    <row r="368" spans="1:22" ht="15.75" x14ac:dyDescent="0.25">
      <c r="A368" s="231"/>
      <c r="B368" s="232"/>
      <c r="C368" s="400"/>
      <c r="D368" s="233"/>
      <c r="E368" s="405"/>
      <c r="F368" s="405"/>
      <c r="G368" s="405"/>
      <c r="H368" s="408">
        <f>ROUND(+E368+F368+G368,4)</f>
        <v>0</v>
      </c>
      <c r="I368" s="234"/>
      <c r="J368" s="411"/>
      <c r="K368" s="411"/>
      <c r="L368" s="414">
        <v>0.1</v>
      </c>
      <c r="M368" s="414">
        <f>ROUND(+L368*C368,4)</f>
        <v>0</v>
      </c>
      <c r="N368" s="414"/>
      <c r="O368" s="414"/>
      <c r="P368" s="414"/>
      <c r="Q368" s="419">
        <f>ROUND(+N368+O368+P368,4)</f>
        <v>0</v>
      </c>
      <c r="R368" s="419">
        <f>ROUND(IF(+Q368-H368&lt;=0,0,Q368-H368),4)</f>
        <v>0</v>
      </c>
      <c r="S368" s="423">
        <v>0.5</v>
      </c>
      <c r="T368" s="419">
        <f>ROUND(+(R368*C368)*S368,4)</f>
        <v>0</v>
      </c>
      <c r="U368" s="419">
        <f>ROUND(+J368+M368+T368,4)</f>
        <v>0</v>
      </c>
      <c r="V368" s="235"/>
    </row>
    <row r="369" spans="1:22" ht="15.75" x14ac:dyDescent="0.25">
      <c r="A369" s="231"/>
      <c r="B369" s="232"/>
      <c r="C369" s="400"/>
      <c r="D369" s="233"/>
      <c r="E369" s="405"/>
      <c r="F369" s="405"/>
      <c r="G369" s="405"/>
      <c r="H369" s="408">
        <f>ROUND(+E369+F369+G369,4)</f>
        <v>0</v>
      </c>
      <c r="I369" s="234"/>
      <c r="J369" s="411"/>
      <c r="K369" s="411"/>
      <c r="L369" s="414">
        <v>0.1</v>
      </c>
      <c r="M369" s="414">
        <f>ROUND(+L369*C369,4)</f>
        <v>0</v>
      </c>
      <c r="N369" s="414"/>
      <c r="O369" s="414"/>
      <c r="P369" s="414"/>
      <c r="Q369" s="419">
        <f>ROUND(+N369+O369+P369,4)</f>
        <v>0</v>
      </c>
      <c r="R369" s="419">
        <f>ROUND(IF(+Q369-H369&lt;=0,0,Q369-H369),4)</f>
        <v>0</v>
      </c>
      <c r="S369" s="423">
        <v>0.5</v>
      </c>
      <c r="T369" s="419">
        <f>ROUND(+(R369*C369)*S369,4)</f>
        <v>0</v>
      </c>
      <c r="U369" s="419">
        <f>ROUND(+J369+M369+T369,4)</f>
        <v>0</v>
      </c>
      <c r="V369" s="235"/>
    </row>
    <row r="370" spans="1:22" ht="15.75" x14ac:dyDescent="0.25">
      <c r="A370" s="231"/>
      <c r="B370" s="232"/>
      <c r="C370" s="400"/>
      <c r="D370" s="233"/>
      <c r="E370" s="405"/>
      <c r="F370" s="405"/>
      <c r="G370" s="405"/>
      <c r="H370" s="408">
        <f>ROUND(+E370+F370+G370,4)</f>
        <v>0</v>
      </c>
      <c r="I370" s="234"/>
      <c r="J370" s="411"/>
      <c r="K370" s="411"/>
      <c r="L370" s="414">
        <v>0.1</v>
      </c>
      <c r="M370" s="414">
        <f>ROUND(+L370*C370,4)</f>
        <v>0</v>
      </c>
      <c r="N370" s="414"/>
      <c r="O370" s="414"/>
      <c r="P370" s="414"/>
      <c r="Q370" s="419">
        <f>ROUND(+N370+O370+P370,4)</f>
        <v>0</v>
      </c>
      <c r="R370" s="419">
        <f>ROUND(IF(+Q370-H370&lt;=0,0,Q370-H370),4)</f>
        <v>0</v>
      </c>
      <c r="S370" s="423">
        <v>0.5</v>
      </c>
      <c r="T370" s="419">
        <f>ROUND(+(R370*C370)*S370,4)</f>
        <v>0</v>
      </c>
      <c r="U370" s="419">
        <f>ROUND(+J370+M370+T370,4)</f>
        <v>0</v>
      </c>
      <c r="V370" s="235"/>
    </row>
    <row r="371" spans="1:22" ht="15.75" x14ac:dyDescent="0.25">
      <c r="A371" s="231"/>
      <c r="B371" s="232"/>
      <c r="C371" s="400"/>
      <c r="D371" s="233"/>
      <c r="E371" s="405"/>
      <c r="F371" s="405"/>
      <c r="G371" s="405"/>
      <c r="H371" s="408">
        <f>ROUND(+E371+F371+G371,4)</f>
        <v>0</v>
      </c>
      <c r="I371" s="234"/>
      <c r="J371" s="411"/>
      <c r="K371" s="411"/>
      <c r="L371" s="414">
        <v>0.1</v>
      </c>
      <c r="M371" s="414">
        <f>ROUND(+L371*C371,4)</f>
        <v>0</v>
      </c>
      <c r="N371" s="414"/>
      <c r="O371" s="414"/>
      <c r="P371" s="414"/>
      <c r="Q371" s="419">
        <f>ROUND(+N371+O371+P371,4)</f>
        <v>0</v>
      </c>
      <c r="R371" s="419">
        <f>ROUND(IF(+Q371-H371&lt;=0,0,Q371-H371),4)</f>
        <v>0</v>
      </c>
      <c r="S371" s="423">
        <v>0.5</v>
      </c>
      <c r="T371" s="419">
        <f>ROUND(+(R371*C371)*S371,4)</f>
        <v>0</v>
      </c>
      <c r="U371" s="419">
        <f>ROUND(+J371+M371+T371,4)</f>
        <v>0</v>
      </c>
      <c r="V371" s="235"/>
    </row>
    <row r="372" spans="1:22" ht="15.75" x14ac:dyDescent="0.25">
      <c r="A372" s="231"/>
      <c r="B372" s="232"/>
      <c r="C372" s="400"/>
      <c r="D372" s="233"/>
      <c r="E372" s="405"/>
      <c r="F372" s="405"/>
      <c r="G372" s="405"/>
      <c r="H372" s="408">
        <f>ROUND(+E372+F372+G372,4)</f>
        <v>0</v>
      </c>
      <c r="I372" s="234"/>
      <c r="J372" s="411"/>
      <c r="K372" s="411"/>
      <c r="L372" s="414">
        <v>0.1</v>
      </c>
      <c r="M372" s="414">
        <f>ROUND(+L372*C372,4)</f>
        <v>0</v>
      </c>
      <c r="N372" s="414"/>
      <c r="O372" s="414"/>
      <c r="P372" s="414"/>
      <c r="Q372" s="419">
        <f>ROUND(+N372+O372+P372,4)</f>
        <v>0</v>
      </c>
      <c r="R372" s="419">
        <f>ROUND(IF(+Q372-H372&lt;=0,0,Q372-H372),4)</f>
        <v>0</v>
      </c>
      <c r="S372" s="423">
        <v>0.5</v>
      </c>
      <c r="T372" s="419">
        <f>ROUND(+(R372*C372)*S372,4)</f>
        <v>0</v>
      </c>
      <c r="U372" s="419">
        <f>ROUND(+J372+M372+T372,4)</f>
        <v>0</v>
      </c>
      <c r="V372" s="235"/>
    </row>
    <row r="373" spans="1:22" ht="15.75" x14ac:dyDescent="0.25">
      <c r="A373" s="231"/>
      <c r="B373" s="232"/>
      <c r="C373" s="400"/>
      <c r="D373" s="233"/>
      <c r="E373" s="405"/>
      <c r="F373" s="405"/>
      <c r="G373" s="405"/>
      <c r="H373" s="408">
        <f>ROUND(+E373+F373+G373,4)</f>
        <v>0</v>
      </c>
      <c r="I373" s="234"/>
      <c r="J373" s="411"/>
      <c r="K373" s="411"/>
      <c r="L373" s="414">
        <v>0.1</v>
      </c>
      <c r="M373" s="414">
        <f>ROUND(+L373*C373,4)</f>
        <v>0</v>
      </c>
      <c r="N373" s="414"/>
      <c r="O373" s="414"/>
      <c r="P373" s="414"/>
      <c r="Q373" s="419">
        <f>ROUND(+N373+O373+P373,4)</f>
        <v>0</v>
      </c>
      <c r="R373" s="419">
        <f>ROUND(IF(+Q373-H373&lt;=0,0,Q373-H373),4)</f>
        <v>0</v>
      </c>
      <c r="S373" s="423">
        <v>0.5</v>
      </c>
      <c r="T373" s="419">
        <f>ROUND(+(R373*C373)*S373,4)</f>
        <v>0</v>
      </c>
      <c r="U373" s="419">
        <f>ROUND(+J373+M373+T373,4)</f>
        <v>0</v>
      </c>
      <c r="V373" s="235"/>
    </row>
    <row r="374" spans="1:22" ht="15.75" x14ac:dyDescent="0.25">
      <c r="A374" s="231"/>
      <c r="B374" s="232"/>
      <c r="C374" s="400"/>
      <c r="D374" s="233"/>
      <c r="E374" s="405"/>
      <c r="F374" s="405"/>
      <c r="G374" s="405"/>
      <c r="H374" s="408">
        <f>ROUND(+E374+F374+G374,4)</f>
        <v>0</v>
      </c>
      <c r="I374" s="234"/>
      <c r="J374" s="411"/>
      <c r="K374" s="411"/>
      <c r="L374" s="414">
        <v>0.1</v>
      </c>
      <c r="M374" s="414">
        <f>ROUND(+L374*C374,4)</f>
        <v>0</v>
      </c>
      <c r="N374" s="414"/>
      <c r="O374" s="414"/>
      <c r="P374" s="414"/>
      <c r="Q374" s="419">
        <f>ROUND(+N374+O374+P374,4)</f>
        <v>0</v>
      </c>
      <c r="R374" s="419">
        <f>ROUND(IF(+Q374-H374&lt;=0,0,Q374-H374),4)</f>
        <v>0</v>
      </c>
      <c r="S374" s="423">
        <v>0.5</v>
      </c>
      <c r="T374" s="419">
        <f>ROUND(+(R374*C374)*S374,4)</f>
        <v>0</v>
      </c>
      <c r="U374" s="419">
        <f>ROUND(+J374+M374+T374,4)</f>
        <v>0</v>
      </c>
      <c r="V374" s="235"/>
    </row>
    <row r="375" spans="1:22" ht="15.75" x14ac:dyDescent="0.25">
      <c r="A375" s="231"/>
      <c r="B375" s="232"/>
      <c r="C375" s="400"/>
      <c r="D375" s="233"/>
      <c r="E375" s="405"/>
      <c r="F375" s="405"/>
      <c r="G375" s="405"/>
      <c r="H375" s="408">
        <f>ROUND(+E375+F375+G375,4)</f>
        <v>0</v>
      </c>
      <c r="I375" s="234"/>
      <c r="J375" s="411"/>
      <c r="K375" s="411"/>
      <c r="L375" s="414">
        <v>0.1</v>
      </c>
      <c r="M375" s="414">
        <f>ROUND(+L375*C375,4)</f>
        <v>0</v>
      </c>
      <c r="N375" s="414"/>
      <c r="O375" s="414"/>
      <c r="P375" s="414"/>
      <c r="Q375" s="419">
        <f>ROUND(+N375+O375+P375,4)</f>
        <v>0</v>
      </c>
      <c r="R375" s="419">
        <f>ROUND(IF(+Q375-H375&lt;=0,0,Q375-H375),4)</f>
        <v>0</v>
      </c>
      <c r="S375" s="423">
        <v>0.5</v>
      </c>
      <c r="T375" s="419">
        <f>ROUND(+(R375*C375)*S375,4)</f>
        <v>0</v>
      </c>
      <c r="U375" s="419">
        <f>ROUND(+J375+M375+T375,4)</f>
        <v>0</v>
      </c>
      <c r="V375" s="235"/>
    </row>
    <row r="376" spans="1:22" ht="15.75" x14ac:dyDescent="0.25">
      <c r="A376" s="231"/>
      <c r="B376" s="232"/>
      <c r="C376" s="400"/>
      <c r="D376" s="233"/>
      <c r="E376" s="405"/>
      <c r="F376" s="405"/>
      <c r="G376" s="405"/>
      <c r="H376" s="408">
        <f>ROUND(+E376+F376+G376,4)</f>
        <v>0</v>
      </c>
      <c r="I376" s="234"/>
      <c r="J376" s="411"/>
      <c r="K376" s="411"/>
      <c r="L376" s="414">
        <v>0.1</v>
      </c>
      <c r="M376" s="414">
        <f>ROUND(+L376*C376,4)</f>
        <v>0</v>
      </c>
      <c r="N376" s="414"/>
      <c r="O376" s="414"/>
      <c r="P376" s="414"/>
      <c r="Q376" s="419">
        <f>ROUND(+N376+O376+P376,4)</f>
        <v>0</v>
      </c>
      <c r="R376" s="419">
        <f>ROUND(IF(+Q376-H376&lt;=0,0,Q376-H376),4)</f>
        <v>0</v>
      </c>
      <c r="S376" s="423">
        <v>0.5</v>
      </c>
      <c r="T376" s="419">
        <f>ROUND(+(R376*C376)*S376,4)</f>
        <v>0</v>
      </c>
      <c r="U376" s="419">
        <f>ROUND(+J376+M376+T376,4)</f>
        <v>0</v>
      </c>
      <c r="V376" s="235"/>
    </row>
    <row r="377" spans="1:22" ht="15.75" x14ac:dyDescent="0.25">
      <c r="A377" s="231"/>
      <c r="B377" s="232"/>
      <c r="C377" s="400"/>
      <c r="D377" s="233"/>
      <c r="E377" s="405"/>
      <c r="F377" s="405"/>
      <c r="G377" s="405"/>
      <c r="H377" s="408">
        <f>ROUND(+E377+F377+G377,4)</f>
        <v>0</v>
      </c>
      <c r="I377" s="234"/>
      <c r="J377" s="411"/>
      <c r="K377" s="411"/>
      <c r="L377" s="414">
        <v>0.1</v>
      </c>
      <c r="M377" s="414">
        <f>ROUND(+L377*C377,4)</f>
        <v>0</v>
      </c>
      <c r="N377" s="414"/>
      <c r="O377" s="414"/>
      <c r="P377" s="414"/>
      <c r="Q377" s="419">
        <f>ROUND(+N377+O377+P377,4)</f>
        <v>0</v>
      </c>
      <c r="R377" s="419">
        <f>ROUND(IF(+Q377-H377&lt;=0,0,Q377-H377),4)</f>
        <v>0</v>
      </c>
      <c r="S377" s="423">
        <v>0.5</v>
      </c>
      <c r="T377" s="419">
        <f>ROUND(+(R377*C377)*S377,4)</f>
        <v>0</v>
      </c>
      <c r="U377" s="419">
        <f>ROUND(+J377+M377+T377,4)</f>
        <v>0</v>
      </c>
      <c r="V377" s="235"/>
    </row>
    <row r="378" spans="1:22" ht="15.75" x14ac:dyDescent="0.25">
      <c r="A378" s="231"/>
      <c r="B378" s="232"/>
      <c r="C378" s="400"/>
      <c r="D378" s="233"/>
      <c r="E378" s="405"/>
      <c r="F378" s="405"/>
      <c r="G378" s="405"/>
      <c r="H378" s="408">
        <f>ROUND(+E378+F378+G378,4)</f>
        <v>0</v>
      </c>
      <c r="I378" s="234"/>
      <c r="J378" s="411"/>
      <c r="K378" s="411"/>
      <c r="L378" s="414">
        <v>0.1</v>
      </c>
      <c r="M378" s="414">
        <f>ROUND(+L378*C378,4)</f>
        <v>0</v>
      </c>
      <c r="N378" s="414"/>
      <c r="O378" s="414"/>
      <c r="P378" s="414"/>
      <c r="Q378" s="419">
        <f>ROUND(+N378+O378+P378,4)</f>
        <v>0</v>
      </c>
      <c r="R378" s="419">
        <f>ROUND(IF(+Q378-H378&lt;=0,0,Q378-H378),4)</f>
        <v>0</v>
      </c>
      <c r="S378" s="423">
        <v>0.5</v>
      </c>
      <c r="T378" s="419">
        <f>ROUND(+(R378*C378)*S378,4)</f>
        <v>0</v>
      </c>
      <c r="U378" s="419">
        <f>ROUND(+J378+M378+T378,4)</f>
        <v>0</v>
      </c>
      <c r="V378" s="235"/>
    </row>
    <row r="379" spans="1:22" ht="15.75" x14ac:dyDescent="0.25">
      <c r="A379" s="231"/>
      <c r="B379" s="232"/>
      <c r="C379" s="400"/>
      <c r="D379" s="233"/>
      <c r="E379" s="405"/>
      <c r="F379" s="405"/>
      <c r="G379" s="405"/>
      <c r="H379" s="408">
        <f>ROUND(+E379+F379+G379,4)</f>
        <v>0</v>
      </c>
      <c r="I379" s="234"/>
      <c r="J379" s="411"/>
      <c r="K379" s="411"/>
      <c r="L379" s="414">
        <v>0.1</v>
      </c>
      <c r="M379" s="414">
        <f>ROUND(+L379*C379,4)</f>
        <v>0</v>
      </c>
      <c r="N379" s="414"/>
      <c r="O379" s="414"/>
      <c r="P379" s="414"/>
      <c r="Q379" s="419">
        <f>ROUND(+N379+O379+P379,4)</f>
        <v>0</v>
      </c>
      <c r="R379" s="419">
        <f>ROUND(IF(+Q379-H379&lt;=0,0,Q379-H379),4)</f>
        <v>0</v>
      </c>
      <c r="S379" s="423">
        <v>0.5</v>
      </c>
      <c r="T379" s="419">
        <f>ROUND(+(R379*C379)*S379,4)</f>
        <v>0</v>
      </c>
      <c r="U379" s="419">
        <f>ROUND(+J379+M379+T379,4)</f>
        <v>0</v>
      </c>
      <c r="V379" s="235"/>
    </row>
    <row r="380" spans="1:22" ht="15.75" x14ac:dyDescent="0.25">
      <c r="A380" s="231"/>
      <c r="B380" s="232"/>
      <c r="C380" s="400"/>
      <c r="D380" s="233"/>
      <c r="E380" s="405"/>
      <c r="F380" s="405"/>
      <c r="G380" s="405"/>
      <c r="H380" s="408">
        <f>ROUND(+E380+F380+G380,4)</f>
        <v>0</v>
      </c>
      <c r="I380" s="234"/>
      <c r="J380" s="411"/>
      <c r="K380" s="411"/>
      <c r="L380" s="414">
        <v>0.1</v>
      </c>
      <c r="M380" s="414">
        <f>ROUND(+L380*C380,4)</f>
        <v>0</v>
      </c>
      <c r="N380" s="414"/>
      <c r="O380" s="414"/>
      <c r="P380" s="414"/>
      <c r="Q380" s="419">
        <f>ROUND(+N380+O380+P380,4)</f>
        <v>0</v>
      </c>
      <c r="R380" s="419">
        <f>ROUND(IF(+Q380-H380&lt;=0,0,Q380-H380),4)</f>
        <v>0</v>
      </c>
      <c r="S380" s="423">
        <v>0.5</v>
      </c>
      <c r="T380" s="419">
        <f>ROUND(+(R380*C380)*S380,4)</f>
        <v>0</v>
      </c>
      <c r="U380" s="419">
        <f>ROUND(+J380+M380+T380,4)</f>
        <v>0</v>
      </c>
      <c r="V380" s="235"/>
    </row>
    <row r="381" spans="1:22" ht="15.75" x14ac:dyDescent="0.25">
      <c r="A381" s="231"/>
      <c r="B381" s="232"/>
      <c r="C381" s="400"/>
      <c r="D381" s="233"/>
      <c r="E381" s="405"/>
      <c r="F381" s="405"/>
      <c r="G381" s="405"/>
      <c r="H381" s="408">
        <f>ROUND(+E381+F381+G381,4)</f>
        <v>0</v>
      </c>
      <c r="I381" s="234"/>
      <c r="J381" s="411"/>
      <c r="K381" s="411"/>
      <c r="L381" s="414">
        <v>0.1</v>
      </c>
      <c r="M381" s="414">
        <f>ROUND(+L381*C381,4)</f>
        <v>0</v>
      </c>
      <c r="N381" s="414"/>
      <c r="O381" s="414"/>
      <c r="P381" s="414"/>
      <c r="Q381" s="419">
        <f>ROUND(+N381+O381+P381,4)</f>
        <v>0</v>
      </c>
      <c r="R381" s="419">
        <f>ROUND(IF(+Q381-H381&lt;=0,0,Q381-H381),4)</f>
        <v>0</v>
      </c>
      <c r="S381" s="423">
        <v>0.5</v>
      </c>
      <c r="T381" s="419">
        <f>ROUND(+(R381*C381)*S381,4)</f>
        <v>0</v>
      </c>
      <c r="U381" s="419">
        <f>ROUND(+J381+M381+T381,4)</f>
        <v>0</v>
      </c>
      <c r="V381" s="235"/>
    </row>
    <row r="382" spans="1:22" ht="15.75" x14ac:dyDescent="0.25">
      <c r="A382" s="231"/>
      <c r="B382" s="232"/>
      <c r="C382" s="400"/>
      <c r="D382" s="233"/>
      <c r="E382" s="405"/>
      <c r="F382" s="405"/>
      <c r="G382" s="405"/>
      <c r="H382" s="408">
        <f>ROUND(+E382+F382+G382,4)</f>
        <v>0</v>
      </c>
      <c r="I382" s="234"/>
      <c r="J382" s="411"/>
      <c r="K382" s="411"/>
      <c r="L382" s="414">
        <v>0.1</v>
      </c>
      <c r="M382" s="414">
        <f>ROUND(+L382*C382,4)</f>
        <v>0</v>
      </c>
      <c r="N382" s="414"/>
      <c r="O382" s="414"/>
      <c r="P382" s="414"/>
      <c r="Q382" s="419">
        <f>ROUND(+N382+O382+P382,4)</f>
        <v>0</v>
      </c>
      <c r="R382" s="419">
        <f>ROUND(IF(+Q382-H382&lt;=0,0,Q382-H382),4)</f>
        <v>0</v>
      </c>
      <c r="S382" s="423">
        <v>0.5</v>
      </c>
      <c r="T382" s="419">
        <f>ROUND(+(R382*C382)*S382,4)</f>
        <v>0</v>
      </c>
      <c r="U382" s="419">
        <f>ROUND(+J382+M382+T382,4)</f>
        <v>0</v>
      </c>
      <c r="V382" s="235"/>
    </row>
    <row r="383" spans="1:22" ht="15.75" x14ac:dyDescent="0.25">
      <c r="A383" s="231"/>
      <c r="B383" s="232"/>
      <c r="C383" s="400"/>
      <c r="D383" s="233"/>
      <c r="E383" s="405"/>
      <c r="F383" s="405"/>
      <c r="G383" s="405"/>
      <c r="H383" s="408">
        <f>ROUND(+E383+F383+G383,4)</f>
        <v>0</v>
      </c>
      <c r="I383" s="234"/>
      <c r="J383" s="411"/>
      <c r="K383" s="411"/>
      <c r="L383" s="414">
        <v>0.1</v>
      </c>
      <c r="M383" s="414">
        <f>ROUND(+L383*C383,4)</f>
        <v>0</v>
      </c>
      <c r="N383" s="414"/>
      <c r="O383" s="414"/>
      <c r="P383" s="414"/>
      <c r="Q383" s="419">
        <f>ROUND(+N383+O383+P383,4)</f>
        <v>0</v>
      </c>
      <c r="R383" s="419">
        <f>ROUND(IF(+Q383-H383&lt;=0,0,Q383-H383),4)</f>
        <v>0</v>
      </c>
      <c r="S383" s="423">
        <v>0.5</v>
      </c>
      <c r="T383" s="419">
        <f>ROUND(+(R383*C383)*S383,4)</f>
        <v>0</v>
      </c>
      <c r="U383" s="419">
        <f>ROUND(+J383+M383+T383,4)</f>
        <v>0</v>
      </c>
      <c r="V383" s="235"/>
    </row>
    <row r="384" spans="1:22" ht="15.75" x14ac:dyDescent="0.25">
      <c r="A384" s="231"/>
      <c r="B384" s="232"/>
      <c r="C384" s="400"/>
      <c r="D384" s="233"/>
      <c r="E384" s="405"/>
      <c r="F384" s="405"/>
      <c r="G384" s="405"/>
      <c r="H384" s="408">
        <f>ROUND(+E384+F384+G384,4)</f>
        <v>0</v>
      </c>
      <c r="I384" s="234"/>
      <c r="J384" s="411"/>
      <c r="K384" s="411"/>
      <c r="L384" s="414">
        <v>0.1</v>
      </c>
      <c r="M384" s="414">
        <f>ROUND(+L384*C384,4)</f>
        <v>0</v>
      </c>
      <c r="N384" s="414"/>
      <c r="O384" s="414"/>
      <c r="P384" s="414"/>
      <c r="Q384" s="419">
        <f>ROUND(+N384+O384+P384,4)</f>
        <v>0</v>
      </c>
      <c r="R384" s="419">
        <f>ROUND(IF(+Q384-H384&lt;=0,0,Q384-H384),4)</f>
        <v>0</v>
      </c>
      <c r="S384" s="423">
        <v>0.5</v>
      </c>
      <c r="T384" s="419">
        <f>ROUND(+(R384*C384)*S384,4)</f>
        <v>0</v>
      </c>
      <c r="U384" s="419">
        <f>ROUND(+J384+M384+T384,4)</f>
        <v>0</v>
      </c>
      <c r="V384" s="235"/>
    </row>
    <row r="385" spans="1:22" ht="15.75" x14ac:dyDescent="0.25">
      <c r="A385" s="231"/>
      <c r="B385" s="232"/>
      <c r="C385" s="400"/>
      <c r="D385" s="233"/>
      <c r="E385" s="405"/>
      <c r="F385" s="405"/>
      <c r="G385" s="405"/>
      <c r="H385" s="408">
        <f>ROUND(+E385+F385+G385,4)</f>
        <v>0</v>
      </c>
      <c r="I385" s="234"/>
      <c r="J385" s="411"/>
      <c r="K385" s="411"/>
      <c r="L385" s="414">
        <v>0.1</v>
      </c>
      <c r="M385" s="414">
        <f>ROUND(+L385*C385,4)</f>
        <v>0</v>
      </c>
      <c r="N385" s="414"/>
      <c r="O385" s="414"/>
      <c r="P385" s="414"/>
      <c r="Q385" s="419">
        <f>ROUND(+N385+O385+P385,4)</f>
        <v>0</v>
      </c>
      <c r="R385" s="419">
        <f>ROUND(IF(+Q385-H385&lt;=0,0,Q385-H385),4)</f>
        <v>0</v>
      </c>
      <c r="S385" s="423">
        <v>0.5</v>
      </c>
      <c r="T385" s="419">
        <f>ROUND(+(R385*C385)*S385,4)</f>
        <v>0</v>
      </c>
      <c r="U385" s="419">
        <f>ROUND(+J385+M385+T385,4)</f>
        <v>0</v>
      </c>
      <c r="V385" s="235"/>
    </row>
    <row r="386" spans="1:22" ht="15.75" x14ac:dyDescent="0.25">
      <c r="A386" s="231"/>
      <c r="B386" s="232"/>
      <c r="C386" s="400"/>
      <c r="D386" s="233"/>
      <c r="E386" s="405"/>
      <c r="F386" s="405"/>
      <c r="G386" s="405"/>
      <c r="H386" s="408">
        <f>ROUND(+E386+F386+G386,4)</f>
        <v>0</v>
      </c>
      <c r="I386" s="234"/>
      <c r="J386" s="411"/>
      <c r="K386" s="411"/>
      <c r="L386" s="414">
        <v>0.1</v>
      </c>
      <c r="M386" s="414">
        <f>ROUND(+L386*C386,4)</f>
        <v>0</v>
      </c>
      <c r="N386" s="414"/>
      <c r="O386" s="414"/>
      <c r="P386" s="414"/>
      <c r="Q386" s="419">
        <f>ROUND(+N386+O386+P386,4)</f>
        <v>0</v>
      </c>
      <c r="R386" s="419">
        <f>ROUND(IF(+Q386-H386&lt;=0,0,Q386-H386),4)</f>
        <v>0</v>
      </c>
      <c r="S386" s="423">
        <v>0.5</v>
      </c>
      <c r="T386" s="419">
        <f>ROUND(+(R386*C386)*S386,4)</f>
        <v>0</v>
      </c>
      <c r="U386" s="419">
        <f>ROUND(+J386+M386+T386,4)</f>
        <v>0</v>
      </c>
      <c r="V386" s="235"/>
    </row>
    <row r="387" spans="1:22" ht="15.75" x14ac:dyDescent="0.25">
      <c r="A387" s="231"/>
      <c r="B387" s="232"/>
      <c r="C387" s="400"/>
      <c r="D387" s="233"/>
      <c r="E387" s="405"/>
      <c r="F387" s="405"/>
      <c r="G387" s="405"/>
      <c r="H387" s="408">
        <f>ROUND(+E387+F387+G387,4)</f>
        <v>0</v>
      </c>
      <c r="I387" s="234"/>
      <c r="J387" s="411"/>
      <c r="K387" s="411"/>
      <c r="L387" s="414">
        <v>0.1</v>
      </c>
      <c r="M387" s="414">
        <f>ROUND(+L387*C387,4)</f>
        <v>0</v>
      </c>
      <c r="N387" s="414"/>
      <c r="O387" s="414"/>
      <c r="P387" s="414"/>
      <c r="Q387" s="419">
        <f>ROUND(+N387+O387+P387,4)</f>
        <v>0</v>
      </c>
      <c r="R387" s="419">
        <f>ROUND(IF(+Q387-H387&lt;=0,0,Q387-H387),4)</f>
        <v>0</v>
      </c>
      <c r="S387" s="423">
        <v>0.5</v>
      </c>
      <c r="T387" s="419">
        <f>ROUND(+(R387*C387)*S387,4)</f>
        <v>0</v>
      </c>
      <c r="U387" s="419">
        <f>ROUND(+J387+M387+T387,4)</f>
        <v>0</v>
      </c>
      <c r="V387" s="235"/>
    </row>
    <row r="388" spans="1:22" ht="15.75" x14ac:dyDescent="0.25">
      <c r="A388" s="231"/>
      <c r="B388" s="232"/>
      <c r="C388" s="400"/>
      <c r="D388" s="233"/>
      <c r="E388" s="405"/>
      <c r="F388" s="405"/>
      <c r="G388" s="405"/>
      <c r="H388" s="408">
        <f>ROUND(+E388+F388+G388,4)</f>
        <v>0</v>
      </c>
      <c r="I388" s="234"/>
      <c r="J388" s="411"/>
      <c r="K388" s="411"/>
      <c r="L388" s="414">
        <v>0.1</v>
      </c>
      <c r="M388" s="414">
        <f>ROUND(+L388*C388,4)</f>
        <v>0</v>
      </c>
      <c r="N388" s="414"/>
      <c r="O388" s="414"/>
      <c r="P388" s="414"/>
      <c r="Q388" s="419">
        <f>ROUND(+N388+O388+P388,4)</f>
        <v>0</v>
      </c>
      <c r="R388" s="419">
        <f>ROUND(IF(+Q388-H388&lt;=0,0,Q388-H388),4)</f>
        <v>0</v>
      </c>
      <c r="S388" s="423">
        <v>0.5</v>
      </c>
      <c r="T388" s="419">
        <f>ROUND(+(R388*C388)*S388,4)</f>
        <v>0</v>
      </c>
      <c r="U388" s="419">
        <f>ROUND(+J388+M388+T388,4)</f>
        <v>0</v>
      </c>
      <c r="V388" s="235"/>
    </row>
    <row r="389" spans="1:22" ht="15.75" x14ac:dyDescent="0.25">
      <c r="A389" s="231"/>
      <c r="B389" s="232"/>
      <c r="C389" s="400"/>
      <c r="D389" s="233"/>
      <c r="E389" s="405"/>
      <c r="F389" s="405"/>
      <c r="G389" s="405"/>
      <c r="H389" s="408">
        <f>ROUND(+E389+F389+G389,4)</f>
        <v>0</v>
      </c>
      <c r="I389" s="234"/>
      <c r="J389" s="411"/>
      <c r="K389" s="411"/>
      <c r="L389" s="414">
        <v>0.1</v>
      </c>
      <c r="M389" s="414">
        <f>ROUND(+L389*C389,4)</f>
        <v>0</v>
      </c>
      <c r="N389" s="414"/>
      <c r="O389" s="414"/>
      <c r="P389" s="414"/>
      <c r="Q389" s="419">
        <f>ROUND(+N389+O389+P389,4)</f>
        <v>0</v>
      </c>
      <c r="R389" s="419">
        <f>ROUND(IF(+Q389-H389&lt;=0,0,Q389-H389),4)</f>
        <v>0</v>
      </c>
      <c r="S389" s="423">
        <v>0.5</v>
      </c>
      <c r="T389" s="419">
        <f>ROUND(+(R389*C389)*S389,4)</f>
        <v>0</v>
      </c>
      <c r="U389" s="419">
        <f>ROUND(+J389+M389+T389,4)</f>
        <v>0</v>
      </c>
      <c r="V389" s="235"/>
    </row>
    <row r="390" spans="1:22" ht="15.75" x14ac:dyDescent="0.25">
      <c r="A390" s="231"/>
      <c r="B390" s="232"/>
      <c r="C390" s="400"/>
      <c r="D390" s="233"/>
      <c r="E390" s="405"/>
      <c r="F390" s="405"/>
      <c r="G390" s="405"/>
      <c r="H390" s="408">
        <f>ROUND(+E390+F390+G390,4)</f>
        <v>0</v>
      </c>
      <c r="I390" s="234"/>
      <c r="J390" s="411"/>
      <c r="K390" s="411"/>
      <c r="L390" s="414">
        <v>0.1</v>
      </c>
      <c r="M390" s="414">
        <f>ROUND(+L390*C390,4)</f>
        <v>0</v>
      </c>
      <c r="N390" s="414"/>
      <c r="O390" s="414"/>
      <c r="P390" s="414"/>
      <c r="Q390" s="419">
        <f>ROUND(+N390+O390+P390,4)</f>
        <v>0</v>
      </c>
      <c r="R390" s="419">
        <f>ROUND(IF(+Q390-H390&lt;=0,0,Q390-H390),4)</f>
        <v>0</v>
      </c>
      <c r="S390" s="423">
        <v>0.5</v>
      </c>
      <c r="T390" s="419">
        <f>ROUND(+(R390*C390)*S390,4)</f>
        <v>0</v>
      </c>
      <c r="U390" s="419">
        <f>ROUND(+J390+M390+T390,4)</f>
        <v>0</v>
      </c>
      <c r="V390" s="235"/>
    </row>
    <row r="391" spans="1:22" ht="15.75" x14ac:dyDescent="0.25">
      <c r="A391" s="231"/>
      <c r="B391" s="232"/>
      <c r="C391" s="400"/>
      <c r="D391" s="233"/>
      <c r="E391" s="405"/>
      <c r="F391" s="405"/>
      <c r="G391" s="405"/>
      <c r="H391" s="408">
        <f>ROUND(+E391+F391+G391,4)</f>
        <v>0</v>
      </c>
      <c r="I391" s="234"/>
      <c r="J391" s="411"/>
      <c r="K391" s="411"/>
      <c r="L391" s="414">
        <v>0.1</v>
      </c>
      <c r="M391" s="414">
        <f>ROUND(+L391*C391,4)</f>
        <v>0</v>
      </c>
      <c r="N391" s="414"/>
      <c r="O391" s="414"/>
      <c r="P391" s="414"/>
      <c r="Q391" s="419">
        <f>ROUND(+N391+O391+P391,4)</f>
        <v>0</v>
      </c>
      <c r="R391" s="419">
        <f>ROUND(IF(+Q391-H391&lt;=0,0,Q391-H391),4)</f>
        <v>0</v>
      </c>
      <c r="S391" s="423">
        <v>0.5</v>
      </c>
      <c r="T391" s="419">
        <f>ROUND(+(R391*C391)*S391,4)</f>
        <v>0</v>
      </c>
      <c r="U391" s="419">
        <f>ROUND(+J391+M391+T391,4)</f>
        <v>0</v>
      </c>
      <c r="V391" s="235"/>
    </row>
    <row r="392" spans="1:22" ht="15.75" x14ac:dyDescent="0.25">
      <c r="A392" s="231"/>
      <c r="B392" s="232"/>
      <c r="C392" s="400"/>
      <c r="D392" s="233"/>
      <c r="E392" s="405"/>
      <c r="F392" s="405"/>
      <c r="G392" s="405"/>
      <c r="H392" s="408">
        <f>ROUND(+E392+F392+G392,4)</f>
        <v>0</v>
      </c>
      <c r="I392" s="234"/>
      <c r="J392" s="411"/>
      <c r="K392" s="411"/>
      <c r="L392" s="414">
        <v>0.1</v>
      </c>
      <c r="M392" s="414">
        <f>ROUND(+L392*C392,4)</f>
        <v>0</v>
      </c>
      <c r="N392" s="414"/>
      <c r="O392" s="414"/>
      <c r="P392" s="414"/>
      <c r="Q392" s="419">
        <f>ROUND(+N392+O392+P392,4)</f>
        <v>0</v>
      </c>
      <c r="R392" s="419">
        <f>ROUND(IF(+Q392-H392&lt;=0,0,Q392-H392),4)</f>
        <v>0</v>
      </c>
      <c r="S392" s="423">
        <v>0.5</v>
      </c>
      <c r="T392" s="419">
        <f>ROUND(+(R392*C392)*S392,4)</f>
        <v>0</v>
      </c>
      <c r="U392" s="419">
        <f>ROUND(+J392+M392+T392,4)</f>
        <v>0</v>
      </c>
      <c r="V392" s="235"/>
    </row>
    <row r="393" spans="1:22" ht="15.75" x14ac:dyDescent="0.25">
      <c r="A393" s="231"/>
      <c r="B393" s="232"/>
      <c r="C393" s="400"/>
      <c r="D393" s="233"/>
      <c r="E393" s="405"/>
      <c r="F393" s="405"/>
      <c r="G393" s="405"/>
      <c r="H393" s="408">
        <f>ROUND(+E393+F393+G393,4)</f>
        <v>0</v>
      </c>
      <c r="I393" s="234"/>
      <c r="J393" s="411"/>
      <c r="K393" s="411"/>
      <c r="L393" s="414">
        <v>0.1</v>
      </c>
      <c r="M393" s="414">
        <f>ROUND(+L393*C393,4)</f>
        <v>0</v>
      </c>
      <c r="N393" s="414"/>
      <c r="O393" s="414"/>
      <c r="P393" s="414"/>
      <c r="Q393" s="419">
        <f>ROUND(+N393+O393+P393,4)</f>
        <v>0</v>
      </c>
      <c r="R393" s="419">
        <f>ROUND(IF(+Q393-H393&lt;=0,0,Q393-H393),4)</f>
        <v>0</v>
      </c>
      <c r="S393" s="423">
        <v>0.5</v>
      </c>
      <c r="T393" s="419">
        <f>ROUND(+(R393*C393)*S393,4)</f>
        <v>0</v>
      </c>
      <c r="U393" s="419">
        <f>ROUND(+J393+M393+T393,4)</f>
        <v>0</v>
      </c>
      <c r="V393" s="235"/>
    </row>
    <row r="394" spans="1:22" ht="15.75" x14ac:dyDescent="0.25">
      <c r="A394" s="231"/>
      <c r="B394" s="232"/>
      <c r="C394" s="400"/>
      <c r="D394" s="233"/>
      <c r="E394" s="405"/>
      <c r="F394" s="405"/>
      <c r="G394" s="405"/>
      <c r="H394" s="408">
        <f>ROUND(+E394+F394+G394,4)</f>
        <v>0</v>
      </c>
      <c r="I394" s="234"/>
      <c r="J394" s="411"/>
      <c r="K394" s="411"/>
      <c r="L394" s="414">
        <v>0.1</v>
      </c>
      <c r="M394" s="414">
        <f>ROUND(+L394*C394,4)</f>
        <v>0</v>
      </c>
      <c r="N394" s="414"/>
      <c r="O394" s="414"/>
      <c r="P394" s="414"/>
      <c r="Q394" s="419">
        <f>ROUND(+N394+O394+P394,4)</f>
        <v>0</v>
      </c>
      <c r="R394" s="419">
        <f>ROUND(IF(+Q394-H394&lt;=0,0,Q394-H394),4)</f>
        <v>0</v>
      </c>
      <c r="S394" s="423">
        <v>0.5</v>
      </c>
      <c r="T394" s="419">
        <f>ROUND(+(R394*C394)*S394,4)</f>
        <v>0</v>
      </c>
      <c r="U394" s="419">
        <f>ROUND(+J394+M394+T394,4)</f>
        <v>0</v>
      </c>
      <c r="V394" s="235"/>
    </row>
    <row r="395" spans="1:22" ht="15.75" x14ac:dyDescent="0.25">
      <c r="A395" s="231"/>
      <c r="B395" s="232"/>
      <c r="C395" s="400"/>
      <c r="D395" s="233"/>
      <c r="E395" s="405"/>
      <c r="F395" s="405"/>
      <c r="G395" s="405"/>
      <c r="H395" s="408">
        <f>ROUND(+E395+F395+G395,4)</f>
        <v>0</v>
      </c>
      <c r="I395" s="234"/>
      <c r="J395" s="411"/>
      <c r="K395" s="411"/>
      <c r="L395" s="414">
        <v>0.1</v>
      </c>
      <c r="M395" s="414">
        <f>ROUND(+L395*C395,4)</f>
        <v>0</v>
      </c>
      <c r="N395" s="414"/>
      <c r="O395" s="414"/>
      <c r="P395" s="414"/>
      <c r="Q395" s="419">
        <f>ROUND(+N395+O395+P395,4)</f>
        <v>0</v>
      </c>
      <c r="R395" s="419">
        <f>ROUND(IF(+Q395-H395&lt;=0,0,Q395-H395),4)</f>
        <v>0</v>
      </c>
      <c r="S395" s="423">
        <v>0.5</v>
      </c>
      <c r="T395" s="419">
        <f>ROUND(+(R395*C395)*S395,4)</f>
        <v>0</v>
      </c>
      <c r="U395" s="419">
        <f>ROUND(+J395+M395+T395,4)</f>
        <v>0</v>
      </c>
      <c r="V395" s="235"/>
    </row>
    <row r="396" spans="1:22" ht="15.75" x14ac:dyDescent="0.25">
      <c r="A396" s="231"/>
      <c r="B396" s="232"/>
      <c r="C396" s="400"/>
      <c r="D396" s="233"/>
      <c r="E396" s="405"/>
      <c r="F396" s="405"/>
      <c r="G396" s="405"/>
      <c r="H396" s="408">
        <f>ROUND(+E396+F396+G396,4)</f>
        <v>0</v>
      </c>
      <c r="I396" s="234"/>
      <c r="J396" s="411"/>
      <c r="K396" s="411"/>
      <c r="L396" s="414">
        <v>0.1</v>
      </c>
      <c r="M396" s="414">
        <f>ROUND(+L396*C396,4)</f>
        <v>0</v>
      </c>
      <c r="N396" s="414"/>
      <c r="O396" s="414"/>
      <c r="P396" s="414"/>
      <c r="Q396" s="419">
        <f>ROUND(+N396+O396+P396,4)</f>
        <v>0</v>
      </c>
      <c r="R396" s="419">
        <f>ROUND(IF(+Q396-H396&lt;=0,0,Q396-H396),4)</f>
        <v>0</v>
      </c>
      <c r="S396" s="423">
        <v>0.5</v>
      </c>
      <c r="T396" s="419">
        <f>ROUND(+(R396*C396)*S396,4)</f>
        <v>0</v>
      </c>
      <c r="U396" s="419">
        <f>ROUND(+J396+M396+T396,4)</f>
        <v>0</v>
      </c>
      <c r="V396" s="235"/>
    </row>
    <row r="397" spans="1:22" ht="15.75" x14ac:dyDescent="0.25">
      <c r="A397" s="231"/>
      <c r="B397" s="232"/>
      <c r="C397" s="400"/>
      <c r="D397" s="233"/>
      <c r="E397" s="405"/>
      <c r="F397" s="405"/>
      <c r="G397" s="405"/>
      <c r="H397" s="408">
        <f>ROUND(+E397+F397+G397,4)</f>
        <v>0</v>
      </c>
      <c r="I397" s="234"/>
      <c r="J397" s="411"/>
      <c r="K397" s="411"/>
      <c r="L397" s="414">
        <v>0.1</v>
      </c>
      <c r="M397" s="414">
        <f>ROUND(+L397*C397,4)</f>
        <v>0</v>
      </c>
      <c r="N397" s="414"/>
      <c r="O397" s="414"/>
      <c r="P397" s="414"/>
      <c r="Q397" s="419">
        <f>ROUND(+N397+O397+P397,4)</f>
        <v>0</v>
      </c>
      <c r="R397" s="419">
        <f>ROUND(IF(+Q397-H397&lt;=0,0,Q397-H397),4)</f>
        <v>0</v>
      </c>
      <c r="S397" s="423">
        <v>0.5</v>
      </c>
      <c r="T397" s="419">
        <f>ROUND(+(R397*C397)*S397,4)</f>
        <v>0</v>
      </c>
      <c r="U397" s="419">
        <f>ROUND(+J397+M397+T397,4)</f>
        <v>0</v>
      </c>
      <c r="V397" s="235"/>
    </row>
    <row r="398" spans="1:22" ht="15.75" x14ac:dyDescent="0.25">
      <c r="A398" s="231"/>
      <c r="B398" s="232"/>
      <c r="C398" s="400"/>
      <c r="D398" s="233"/>
      <c r="E398" s="405"/>
      <c r="F398" s="405"/>
      <c r="G398" s="405"/>
      <c r="H398" s="408">
        <f>ROUND(+E398+F398+G398,4)</f>
        <v>0</v>
      </c>
      <c r="I398" s="234"/>
      <c r="J398" s="411"/>
      <c r="K398" s="411"/>
      <c r="L398" s="414">
        <v>0.1</v>
      </c>
      <c r="M398" s="414">
        <f>ROUND(+L398*C398,4)</f>
        <v>0</v>
      </c>
      <c r="N398" s="414"/>
      <c r="O398" s="414"/>
      <c r="P398" s="414"/>
      <c r="Q398" s="419">
        <f>ROUND(+N398+O398+P398,4)</f>
        <v>0</v>
      </c>
      <c r="R398" s="419">
        <f>ROUND(IF(+Q398-H398&lt;=0,0,Q398-H398),4)</f>
        <v>0</v>
      </c>
      <c r="S398" s="423">
        <v>0.5</v>
      </c>
      <c r="T398" s="419">
        <f>ROUND(+(R398*C398)*S398,4)</f>
        <v>0</v>
      </c>
      <c r="U398" s="419">
        <f>ROUND(+J398+M398+T398,4)</f>
        <v>0</v>
      </c>
      <c r="V398" s="235"/>
    </row>
    <row r="399" spans="1:22" ht="15.75" x14ac:dyDescent="0.25">
      <c r="A399" s="231"/>
      <c r="B399" s="232"/>
      <c r="C399" s="400"/>
      <c r="D399" s="233"/>
      <c r="E399" s="405"/>
      <c r="F399" s="405"/>
      <c r="G399" s="405"/>
      <c r="H399" s="408">
        <f>ROUND(+E399+F399+G399,4)</f>
        <v>0</v>
      </c>
      <c r="I399" s="234"/>
      <c r="J399" s="411"/>
      <c r="K399" s="411"/>
      <c r="L399" s="414">
        <v>0.1</v>
      </c>
      <c r="M399" s="414">
        <f>ROUND(+L399*C399,4)</f>
        <v>0</v>
      </c>
      <c r="N399" s="414"/>
      <c r="O399" s="414"/>
      <c r="P399" s="414"/>
      <c r="Q399" s="419">
        <f>ROUND(+N399+O399+P399,4)</f>
        <v>0</v>
      </c>
      <c r="R399" s="419">
        <f>ROUND(IF(+Q399-H399&lt;=0,0,Q399-H399),4)</f>
        <v>0</v>
      </c>
      <c r="S399" s="423">
        <v>0.5</v>
      </c>
      <c r="T399" s="419">
        <f>ROUND(+(R399*C399)*S399,4)</f>
        <v>0</v>
      </c>
      <c r="U399" s="419">
        <f>ROUND(+J399+M399+T399,4)</f>
        <v>0</v>
      </c>
      <c r="V399" s="235"/>
    </row>
    <row r="400" spans="1:22" ht="15.75" x14ac:dyDescent="0.25">
      <c r="A400" s="231"/>
      <c r="B400" s="232"/>
      <c r="C400" s="400"/>
      <c r="D400" s="233"/>
      <c r="E400" s="405"/>
      <c r="F400" s="405"/>
      <c r="G400" s="405"/>
      <c r="H400" s="408">
        <f>ROUND(+E400+F400+G400,4)</f>
        <v>0</v>
      </c>
      <c r="I400" s="234"/>
      <c r="J400" s="411"/>
      <c r="K400" s="411"/>
      <c r="L400" s="414">
        <v>0.1</v>
      </c>
      <c r="M400" s="414">
        <f>ROUND(+L400*C400,4)</f>
        <v>0</v>
      </c>
      <c r="N400" s="414"/>
      <c r="O400" s="414"/>
      <c r="P400" s="414"/>
      <c r="Q400" s="419">
        <f>ROUND(+N400+O400+P400,4)</f>
        <v>0</v>
      </c>
      <c r="R400" s="419">
        <f>ROUND(IF(+Q400-H400&lt;=0,0,Q400-H400),4)</f>
        <v>0</v>
      </c>
      <c r="S400" s="423">
        <v>0.5</v>
      </c>
      <c r="T400" s="419">
        <f>ROUND(+(R400*C400)*S400,4)</f>
        <v>0</v>
      </c>
      <c r="U400" s="419">
        <f>ROUND(+J400+M400+T400,4)</f>
        <v>0</v>
      </c>
      <c r="V400" s="235"/>
    </row>
    <row r="401" spans="1:22" ht="15.75" x14ac:dyDescent="0.25">
      <c r="A401" s="231"/>
      <c r="B401" s="232"/>
      <c r="C401" s="400"/>
      <c r="D401" s="233"/>
      <c r="E401" s="405"/>
      <c r="F401" s="405"/>
      <c r="G401" s="405"/>
      <c r="H401" s="408">
        <f>ROUND(+E401+F401+G401,4)</f>
        <v>0</v>
      </c>
      <c r="I401" s="234"/>
      <c r="J401" s="411"/>
      <c r="K401" s="411"/>
      <c r="L401" s="414">
        <v>0.1</v>
      </c>
      <c r="M401" s="414">
        <f>ROUND(+L401*C401,4)</f>
        <v>0</v>
      </c>
      <c r="N401" s="414"/>
      <c r="O401" s="414"/>
      <c r="P401" s="414"/>
      <c r="Q401" s="419">
        <f>ROUND(+N401+O401+P401,4)</f>
        <v>0</v>
      </c>
      <c r="R401" s="419">
        <f>ROUND(IF(+Q401-H401&lt;=0,0,Q401-H401),4)</f>
        <v>0</v>
      </c>
      <c r="S401" s="423">
        <v>0.5</v>
      </c>
      <c r="T401" s="419">
        <f>ROUND(+(R401*C401)*S401,4)</f>
        <v>0</v>
      </c>
      <c r="U401" s="419">
        <f>ROUND(+J401+M401+T401,4)</f>
        <v>0</v>
      </c>
      <c r="V401" s="235"/>
    </row>
    <row r="402" spans="1:22" ht="15.75" x14ac:dyDescent="0.25">
      <c r="A402" s="231"/>
      <c r="B402" s="232"/>
      <c r="C402" s="400"/>
      <c r="D402" s="233"/>
      <c r="E402" s="405"/>
      <c r="F402" s="405"/>
      <c r="G402" s="405"/>
      <c r="H402" s="408">
        <f>ROUND(+E402+F402+G402,4)</f>
        <v>0</v>
      </c>
      <c r="I402" s="234"/>
      <c r="J402" s="411"/>
      <c r="K402" s="411"/>
      <c r="L402" s="414">
        <v>0.1</v>
      </c>
      <c r="M402" s="414">
        <f>ROUND(+L402*C402,4)</f>
        <v>0</v>
      </c>
      <c r="N402" s="414"/>
      <c r="O402" s="414"/>
      <c r="P402" s="414"/>
      <c r="Q402" s="419">
        <f>ROUND(+N402+O402+P402,4)</f>
        <v>0</v>
      </c>
      <c r="R402" s="419">
        <f>ROUND(IF(+Q402-H402&lt;=0,0,Q402-H402),4)</f>
        <v>0</v>
      </c>
      <c r="S402" s="423">
        <v>0.5</v>
      </c>
      <c r="T402" s="419">
        <f>ROUND(+(R402*C402)*S402,4)</f>
        <v>0</v>
      </c>
      <c r="U402" s="419">
        <f>ROUND(+J402+M402+T402,4)</f>
        <v>0</v>
      </c>
      <c r="V402" s="235"/>
    </row>
    <row r="403" spans="1:22" ht="15.75" x14ac:dyDescent="0.25">
      <c r="A403" s="231"/>
      <c r="B403" s="232"/>
      <c r="C403" s="400"/>
      <c r="D403" s="233"/>
      <c r="E403" s="405"/>
      <c r="F403" s="405"/>
      <c r="G403" s="405"/>
      <c r="H403" s="408">
        <f>ROUND(+E403+F403+G403,4)</f>
        <v>0</v>
      </c>
      <c r="I403" s="234"/>
      <c r="J403" s="411"/>
      <c r="K403" s="411"/>
      <c r="L403" s="414">
        <v>0.1</v>
      </c>
      <c r="M403" s="414">
        <f>ROUND(+L403*C403,4)</f>
        <v>0</v>
      </c>
      <c r="N403" s="414"/>
      <c r="O403" s="414"/>
      <c r="P403" s="414"/>
      <c r="Q403" s="419">
        <f>ROUND(+N403+O403+P403,4)</f>
        <v>0</v>
      </c>
      <c r="R403" s="419">
        <f>ROUND(IF(+Q403-H403&lt;=0,0,Q403-H403),4)</f>
        <v>0</v>
      </c>
      <c r="S403" s="423">
        <v>0.5</v>
      </c>
      <c r="T403" s="419">
        <f>ROUND(+(R403*C403)*S403,4)</f>
        <v>0</v>
      </c>
      <c r="U403" s="419">
        <f>ROUND(+J403+M403+T403,4)</f>
        <v>0</v>
      </c>
      <c r="V403" s="235"/>
    </row>
    <row r="404" spans="1:22" ht="15.75" x14ac:dyDescent="0.25">
      <c r="A404" s="231"/>
      <c r="B404" s="232"/>
      <c r="C404" s="400"/>
      <c r="D404" s="233"/>
      <c r="E404" s="405"/>
      <c r="F404" s="405"/>
      <c r="G404" s="405"/>
      <c r="H404" s="408">
        <f>ROUND(+E404+F404+G404,4)</f>
        <v>0</v>
      </c>
      <c r="I404" s="234"/>
      <c r="J404" s="411"/>
      <c r="K404" s="411"/>
      <c r="L404" s="414">
        <v>0.1</v>
      </c>
      <c r="M404" s="414">
        <f>ROUND(+L404*C404,4)</f>
        <v>0</v>
      </c>
      <c r="N404" s="414"/>
      <c r="O404" s="414"/>
      <c r="P404" s="414"/>
      <c r="Q404" s="419">
        <f>ROUND(+N404+O404+P404,4)</f>
        <v>0</v>
      </c>
      <c r="R404" s="419">
        <f>ROUND(IF(+Q404-H404&lt;=0,0,Q404-H404),4)</f>
        <v>0</v>
      </c>
      <c r="S404" s="423">
        <v>0.5</v>
      </c>
      <c r="T404" s="419">
        <f>ROUND(+(R404*C404)*S404,4)</f>
        <v>0</v>
      </c>
      <c r="U404" s="419">
        <f>ROUND(+J404+M404+T404,4)</f>
        <v>0</v>
      </c>
      <c r="V404" s="235"/>
    </row>
    <row r="405" spans="1:22" ht="15.75" x14ac:dyDescent="0.25">
      <c r="A405" s="231"/>
      <c r="B405" s="232"/>
      <c r="C405" s="400"/>
      <c r="D405" s="233"/>
      <c r="E405" s="405"/>
      <c r="F405" s="405"/>
      <c r="G405" s="405"/>
      <c r="H405" s="408">
        <f>ROUND(+E405+F405+G405,4)</f>
        <v>0</v>
      </c>
      <c r="I405" s="234"/>
      <c r="J405" s="411"/>
      <c r="K405" s="411"/>
      <c r="L405" s="414">
        <v>0.1</v>
      </c>
      <c r="M405" s="414">
        <f>ROUND(+L405*C405,4)</f>
        <v>0</v>
      </c>
      <c r="N405" s="414"/>
      <c r="O405" s="414"/>
      <c r="P405" s="414"/>
      <c r="Q405" s="419">
        <f>ROUND(+N405+O405+P405,4)</f>
        <v>0</v>
      </c>
      <c r="R405" s="419">
        <f>ROUND(IF(+Q405-H405&lt;=0,0,Q405-H405),4)</f>
        <v>0</v>
      </c>
      <c r="S405" s="423">
        <v>0.5</v>
      </c>
      <c r="T405" s="419">
        <f>ROUND(+(R405*C405)*S405,4)</f>
        <v>0</v>
      </c>
      <c r="U405" s="419">
        <f>ROUND(+J405+M405+T405,4)</f>
        <v>0</v>
      </c>
      <c r="V405" s="235"/>
    </row>
    <row r="406" spans="1:22" ht="15.75" x14ac:dyDescent="0.25">
      <c r="A406" s="231"/>
      <c r="B406" s="232"/>
      <c r="C406" s="400"/>
      <c r="D406" s="233"/>
      <c r="E406" s="405"/>
      <c r="F406" s="405"/>
      <c r="G406" s="405"/>
      <c r="H406" s="408">
        <f>ROUND(+E406+F406+G406,4)</f>
        <v>0</v>
      </c>
      <c r="I406" s="234"/>
      <c r="J406" s="411"/>
      <c r="K406" s="411"/>
      <c r="L406" s="414">
        <v>0.1</v>
      </c>
      <c r="M406" s="414">
        <f>ROUND(+L406*C406,4)</f>
        <v>0</v>
      </c>
      <c r="N406" s="414"/>
      <c r="O406" s="414"/>
      <c r="P406" s="414"/>
      <c r="Q406" s="419">
        <f>ROUND(+N406+O406+P406,4)</f>
        <v>0</v>
      </c>
      <c r="R406" s="419">
        <f>ROUND(IF(+Q406-H406&lt;=0,0,Q406-H406),4)</f>
        <v>0</v>
      </c>
      <c r="S406" s="423">
        <v>0.5</v>
      </c>
      <c r="T406" s="419">
        <f>ROUND(+(R406*C406)*S406,4)</f>
        <v>0</v>
      </c>
      <c r="U406" s="419">
        <f>ROUND(+J406+M406+T406,4)</f>
        <v>0</v>
      </c>
      <c r="V406" s="235"/>
    </row>
    <row r="407" spans="1:22" ht="15.75" x14ac:dyDescent="0.25">
      <c r="A407" s="231"/>
      <c r="B407" s="232"/>
      <c r="C407" s="400"/>
      <c r="D407" s="233"/>
      <c r="E407" s="405"/>
      <c r="F407" s="405"/>
      <c r="G407" s="405"/>
      <c r="H407" s="408">
        <f>ROUND(+E407+F407+G407,4)</f>
        <v>0</v>
      </c>
      <c r="I407" s="234"/>
      <c r="J407" s="411"/>
      <c r="K407" s="411"/>
      <c r="L407" s="414">
        <v>0.1</v>
      </c>
      <c r="M407" s="414">
        <f>ROUND(+L407*C407,4)</f>
        <v>0</v>
      </c>
      <c r="N407" s="414"/>
      <c r="O407" s="414"/>
      <c r="P407" s="414"/>
      <c r="Q407" s="419">
        <f>ROUND(+N407+O407+P407,4)</f>
        <v>0</v>
      </c>
      <c r="R407" s="419">
        <f>ROUND(IF(+Q407-H407&lt;=0,0,Q407-H407),4)</f>
        <v>0</v>
      </c>
      <c r="S407" s="423">
        <v>0.5</v>
      </c>
      <c r="T407" s="419">
        <f>ROUND(+(R407*C407)*S407,4)</f>
        <v>0</v>
      </c>
      <c r="U407" s="419">
        <f>ROUND(+J407+M407+T407,4)</f>
        <v>0</v>
      </c>
      <c r="V407" s="235"/>
    </row>
    <row r="408" spans="1:22" ht="15.75" x14ac:dyDescent="0.25">
      <c r="A408" s="231"/>
      <c r="B408" s="232"/>
      <c r="C408" s="400"/>
      <c r="D408" s="233"/>
      <c r="E408" s="405"/>
      <c r="F408" s="405"/>
      <c r="G408" s="405"/>
      <c r="H408" s="408">
        <f>ROUND(+E408+F408+G408,4)</f>
        <v>0</v>
      </c>
      <c r="I408" s="234"/>
      <c r="J408" s="411"/>
      <c r="K408" s="411"/>
      <c r="L408" s="414">
        <v>0.1</v>
      </c>
      <c r="M408" s="414">
        <f>ROUND(+L408*C408,4)</f>
        <v>0</v>
      </c>
      <c r="N408" s="414"/>
      <c r="O408" s="414"/>
      <c r="P408" s="414"/>
      <c r="Q408" s="419">
        <f>ROUND(+N408+O408+P408,4)</f>
        <v>0</v>
      </c>
      <c r="R408" s="419">
        <f>ROUND(IF(+Q408-H408&lt;=0,0,Q408-H408),4)</f>
        <v>0</v>
      </c>
      <c r="S408" s="423">
        <v>0.5</v>
      </c>
      <c r="T408" s="419">
        <f>ROUND(+(R408*C408)*S408,4)</f>
        <v>0</v>
      </c>
      <c r="U408" s="419">
        <f>ROUND(+J408+M408+T408,4)</f>
        <v>0</v>
      </c>
      <c r="V408" s="235"/>
    </row>
    <row r="409" spans="1:22" ht="15.75" x14ac:dyDescent="0.25">
      <c r="A409" s="231"/>
      <c r="B409" s="232"/>
      <c r="C409" s="400"/>
      <c r="D409" s="233"/>
      <c r="E409" s="405"/>
      <c r="F409" s="405"/>
      <c r="G409" s="405"/>
      <c r="H409" s="408">
        <f>ROUND(+E409+F409+G409,4)</f>
        <v>0</v>
      </c>
      <c r="I409" s="234"/>
      <c r="J409" s="411"/>
      <c r="K409" s="411"/>
      <c r="L409" s="414">
        <v>0.1</v>
      </c>
      <c r="M409" s="414">
        <f>ROUND(+L409*C409,4)</f>
        <v>0</v>
      </c>
      <c r="N409" s="414"/>
      <c r="O409" s="414"/>
      <c r="P409" s="414"/>
      <c r="Q409" s="419">
        <f>ROUND(+N409+O409+P409,4)</f>
        <v>0</v>
      </c>
      <c r="R409" s="419">
        <f>ROUND(IF(+Q409-H409&lt;=0,0,Q409-H409),4)</f>
        <v>0</v>
      </c>
      <c r="S409" s="423">
        <v>0.5</v>
      </c>
      <c r="T409" s="419">
        <f>ROUND(+(R409*C409)*S409,4)</f>
        <v>0</v>
      </c>
      <c r="U409" s="419">
        <f>ROUND(+J409+M409+T409,4)</f>
        <v>0</v>
      </c>
      <c r="V409" s="235"/>
    </row>
    <row r="410" spans="1:22" ht="15.75" x14ac:dyDescent="0.25">
      <c r="A410" s="231"/>
      <c r="B410" s="232"/>
      <c r="C410" s="400"/>
      <c r="D410" s="233"/>
      <c r="E410" s="405"/>
      <c r="F410" s="405"/>
      <c r="G410" s="405"/>
      <c r="H410" s="408">
        <f>ROUND(+E410+F410+G410,4)</f>
        <v>0</v>
      </c>
      <c r="I410" s="234"/>
      <c r="J410" s="411"/>
      <c r="K410" s="411"/>
      <c r="L410" s="414">
        <v>0.1</v>
      </c>
      <c r="M410" s="414">
        <f>ROUND(+L410*C410,4)</f>
        <v>0</v>
      </c>
      <c r="N410" s="414"/>
      <c r="O410" s="414"/>
      <c r="P410" s="414"/>
      <c r="Q410" s="419">
        <f>ROUND(+N410+O410+P410,4)</f>
        <v>0</v>
      </c>
      <c r="R410" s="419">
        <f>ROUND(IF(+Q410-H410&lt;=0,0,Q410-H410),4)</f>
        <v>0</v>
      </c>
      <c r="S410" s="423">
        <v>0.5</v>
      </c>
      <c r="T410" s="419">
        <f>ROUND(+(R410*C410)*S410,4)</f>
        <v>0</v>
      </c>
      <c r="U410" s="419">
        <f>ROUND(+J410+M410+T410,4)</f>
        <v>0</v>
      </c>
      <c r="V410" s="235"/>
    </row>
    <row r="411" spans="1:22" ht="15.75" x14ac:dyDescent="0.25">
      <c r="A411" s="231"/>
      <c r="B411" s="232"/>
      <c r="C411" s="400"/>
      <c r="D411" s="233"/>
      <c r="E411" s="405"/>
      <c r="F411" s="405"/>
      <c r="G411" s="405"/>
      <c r="H411" s="408">
        <f>ROUND(+E411+F411+G411,4)</f>
        <v>0</v>
      </c>
      <c r="I411" s="234"/>
      <c r="J411" s="411"/>
      <c r="K411" s="411"/>
      <c r="L411" s="414">
        <v>0.1</v>
      </c>
      <c r="M411" s="414">
        <f>ROUND(+L411*C411,4)</f>
        <v>0</v>
      </c>
      <c r="N411" s="414"/>
      <c r="O411" s="414"/>
      <c r="P411" s="414"/>
      <c r="Q411" s="419">
        <f>ROUND(+N411+O411+P411,4)</f>
        <v>0</v>
      </c>
      <c r="R411" s="419">
        <f>ROUND(IF(+Q411-H411&lt;=0,0,Q411-H411),4)</f>
        <v>0</v>
      </c>
      <c r="S411" s="423">
        <v>0.5</v>
      </c>
      <c r="T411" s="419">
        <f>ROUND(+(R411*C411)*S411,4)</f>
        <v>0</v>
      </c>
      <c r="U411" s="419">
        <f>ROUND(+J411+M411+T411,4)</f>
        <v>0</v>
      </c>
      <c r="V411" s="235"/>
    </row>
    <row r="412" spans="1:22" ht="15.75" x14ac:dyDescent="0.25">
      <c r="A412" s="231"/>
      <c r="B412" s="232"/>
      <c r="C412" s="400"/>
      <c r="D412" s="233"/>
      <c r="E412" s="405"/>
      <c r="F412" s="405"/>
      <c r="G412" s="405"/>
      <c r="H412" s="408">
        <f>ROUND(+E412+F412+G412,4)</f>
        <v>0</v>
      </c>
      <c r="I412" s="234"/>
      <c r="J412" s="411"/>
      <c r="K412" s="411"/>
      <c r="L412" s="414">
        <v>0.1</v>
      </c>
      <c r="M412" s="414">
        <f>ROUND(+L412*C412,4)</f>
        <v>0</v>
      </c>
      <c r="N412" s="414"/>
      <c r="O412" s="414"/>
      <c r="P412" s="414"/>
      <c r="Q412" s="419">
        <f>ROUND(+N412+O412+P412,4)</f>
        <v>0</v>
      </c>
      <c r="R412" s="419">
        <f>ROUND(IF(+Q412-H412&lt;=0,0,Q412-H412),4)</f>
        <v>0</v>
      </c>
      <c r="S412" s="423">
        <v>0.5</v>
      </c>
      <c r="T412" s="419">
        <f>ROUND(+(R412*C412)*S412,4)</f>
        <v>0</v>
      </c>
      <c r="U412" s="419">
        <f>ROUND(+J412+M412+T412,4)</f>
        <v>0</v>
      </c>
      <c r="V412" s="235"/>
    </row>
    <row r="413" spans="1:22" ht="15.75" x14ac:dyDescent="0.25">
      <c r="A413" s="231"/>
      <c r="B413" s="232"/>
      <c r="C413" s="400"/>
      <c r="D413" s="233"/>
      <c r="E413" s="405"/>
      <c r="F413" s="405"/>
      <c r="G413" s="405"/>
      <c r="H413" s="408">
        <f>ROUND(+E413+F413+G413,4)</f>
        <v>0</v>
      </c>
      <c r="I413" s="234"/>
      <c r="J413" s="411"/>
      <c r="K413" s="411"/>
      <c r="L413" s="414">
        <v>0.1</v>
      </c>
      <c r="M413" s="414">
        <f>ROUND(+L413*C413,4)</f>
        <v>0</v>
      </c>
      <c r="N413" s="414"/>
      <c r="O413" s="414"/>
      <c r="P413" s="414"/>
      <c r="Q413" s="419">
        <f>ROUND(+N413+O413+P413,4)</f>
        <v>0</v>
      </c>
      <c r="R413" s="419">
        <f>ROUND(IF(+Q413-H413&lt;=0,0,Q413-H413),4)</f>
        <v>0</v>
      </c>
      <c r="S413" s="423">
        <v>0.5</v>
      </c>
      <c r="T413" s="419">
        <f>ROUND(+(R413*C413)*S413,4)</f>
        <v>0</v>
      </c>
      <c r="U413" s="419">
        <f>ROUND(+J413+M413+T413,4)</f>
        <v>0</v>
      </c>
      <c r="V413" s="235"/>
    </row>
    <row r="414" spans="1:22" ht="15.75" x14ac:dyDescent="0.25">
      <c r="A414" s="231"/>
      <c r="B414" s="232"/>
      <c r="C414" s="400"/>
      <c r="D414" s="233"/>
      <c r="E414" s="405"/>
      <c r="F414" s="405"/>
      <c r="G414" s="405"/>
      <c r="H414" s="408">
        <f>ROUND(+E414+F414+G414,4)</f>
        <v>0</v>
      </c>
      <c r="I414" s="234"/>
      <c r="J414" s="411"/>
      <c r="K414" s="411"/>
      <c r="L414" s="414">
        <v>0.1</v>
      </c>
      <c r="M414" s="414">
        <f>ROUND(+L414*C414,4)</f>
        <v>0</v>
      </c>
      <c r="N414" s="414"/>
      <c r="O414" s="414"/>
      <c r="P414" s="414"/>
      <c r="Q414" s="419">
        <f>ROUND(+N414+O414+P414,4)</f>
        <v>0</v>
      </c>
      <c r="R414" s="419">
        <f>ROUND(IF(+Q414-H414&lt;=0,0,Q414-H414),4)</f>
        <v>0</v>
      </c>
      <c r="S414" s="423">
        <v>0.5</v>
      </c>
      <c r="T414" s="419">
        <f>ROUND(+(R414*C414)*S414,4)</f>
        <v>0</v>
      </c>
      <c r="U414" s="419">
        <f>ROUND(+J414+M414+T414,4)</f>
        <v>0</v>
      </c>
      <c r="V414" s="235"/>
    </row>
    <row r="415" spans="1:22" ht="15.75" x14ac:dyDescent="0.25">
      <c r="A415" s="231"/>
      <c r="B415" s="232"/>
      <c r="C415" s="400"/>
      <c r="D415" s="233"/>
      <c r="E415" s="405"/>
      <c r="F415" s="405"/>
      <c r="G415" s="405"/>
      <c r="H415" s="408">
        <f>ROUND(+E415+F415+G415,4)</f>
        <v>0</v>
      </c>
      <c r="I415" s="234"/>
      <c r="J415" s="411"/>
      <c r="K415" s="411"/>
      <c r="L415" s="414">
        <v>0.1</v>
      </c>
      <c r="M415" s="414">
        <f>ROUND(+L415*C415,4)</f>
        <v>0</v>
      </c>
      <c r="N415" s="414"/>
      <c r="O415" s="414"/>
      <c r="P415" s="414"/>
      <c r="Q415" s="419">
        <f>ROUND(+N415+O415+P415,4)</f>
        <v>0</v>
      </c>
      <c r="R415" s="419">
        <f>ROUND(IF(+Q415-H415&lt;=0,0,Q415-H415),4)</f>
        <v>0</v>
      </c>
      <c r="S415" s="423">
        <v>0.5</v>
      </c>
      <c r="T415" s="419">
        <f>ROUND(+(R415*C415)*S415,4)</f>
        <v>0</v>
      </c>
      <c r="U415" s="419">
        <f>ROUND(+J415+M415+T415,4)</f>
        <v>0</v>
      </c>
      <c r="V415" s="235"/>
    </row>
    <row r="416" spans="1:22" ht="15.75" x14ac:dyDescent="0.25">
      <c r="A416" s="231"/>
      <c r="B416" s="232"/>
      <c r="C416" s="400"/>
      <c r="D416" s="233"/>
      <c r="E416" s="405"/>
      <c r="F416" s="405"/>
      <c r="G416" s="405"/>
      <c r="H416" s="408">
        <f>ROUND(+E416+F416+G416,4)</f>
        <v>0</v>
      </c>
      <c r="I416" s="234"/>
      <c r="J416" s="411"/>
      <c r="K416" s="411"/>
      <c r="L416" s="414">
        <v>0.1</v>
      </c>
      <c r="M416" s="414">
        <f>ROUND(+L416*C416,4)</f>
        <v>0</v>
      </c>
      <c r="N416" s="414"/>
      <c r="O416" s="414"/>
      <c r="P416" s="414"/>
      <c r="Q416" s="419">
        <f>ROUND(+N416+O416+P416,4)</f>
        <v>0</v>
      </c>
      <c r="R416" s="419">
        <f>ROUND(IF(+Q416-H416&lt;=0,0,Q416-H416),4)</f>
        <v>0</v>
      </c>
      <c r="S416" s="423">
        <v>0.5</v>
      </c>
      <c r="T416" s="419">
        <f>ROUND(+(R416*C416)*S416,4)</f>
        <v>0</v>
      </c>
      <c r="U416" s="419">
        <f>ROUND(+J416+M416+T416,4)</f>
        <v>0</v>
      </c>
      <c r="V416" s="235"/>
    </row>
    <row r="417" spans="1:22" ht="15.75" x14ac:dyDescent="0.25">
      <c r="A417" s="231"/>
      <c r="B417" s="232"/>
      <c r="C417" s="400"/>
      <c r="D417" s="233"/>
      <c r="E417" s="405"/>
      <c r="F417" s="405"/>
      <c r="G417" s="405"/>
      <c r="H417" s="408">
        <f>ROUND(+E417+F417+G417,4)</f>
        <v>0</v>
      </c>
      <c r="I417" s="234"/>
      <c r="J417" s="411"/>
      <c r="K417" s="411"/>
      <c r="L417" s="414">
        <v>0.1</v>
      </c>
      <c r="M417" s="414">
        <f>ROUND(+L417*C417,4)</f>
        <v>0</v>
      </c>
      <c r="N417" s="414"/>
      <c r="O417" s="414"/>
      <c r="P417" s="414"/>
      <c r="Q417" s="419">
        <f>ROUND(+N417+O417+P417,4)</f>
        <v>0</v>
      </c>
      <c r="R417" s="419">
        <f>ROUND(IF(+Q417-H417&lt;=0,0,Q417-H417),4)</f>
        <v>0</v>
      </c>
      <c r="S417" s="423">
        <v>0.5</v>
      </c>
      <c r="T417" s="419">
        <f>ROUND(+(R417*C417)*S417,4)</f>
        <v>0</v>
      </c>
      <c r="U417" s="419">
        <f>ROUND(+J417+M417+T417,4)</f>
        <v>0</v>
      </c>
      <c r="V417" s="235"/>
    </row>
    <row r="418" spans="1:22" ht="15.75" x14ac:dyDescent="0.25">
      <c r="A418" s="231"/>
      <c r="B418" s="232"/>
      <c r="C418" s="400"/>
      <c r="D418" s="233"/>
      <c r="E418" s="405"/>
      <c r="F418" s="405"/>
      <c r="G418" s="405"/>
      <c r="H418" s="408">
        <f>ROUND(+E418+F418+G418,4)</f>
        <v>0</v>
      </c>
      <c r="I418" s="234"/>
      <c r="J418" s="411"/>
      <c r="K418" s="411"/>
      <c r="L418" s="414">
        <v>0.1</v>
      </c>
      <c r="M418" s="414">
        <f>ROUND(+L418*C418,4)</f>
        <v>0</v>
      </c>
      <c r="N418" s="414"/>
      <c r="O418" s="414"/>
      <c r="P418" s="414"/>
      <c r="Q418" s="419">
        <f>ROUND(+N418+O418+P418,4)</f>
        <v>0</v>
      </c>
      <c r="R418" s="419">
        <f>ROUND(IF(+Q418-H418&lt;=0,0,Q418-H418),4)</f>
        <v>0</v>
      </c>
      <c r="S418" s="423">
        <v>0.5</v>
      </c>
      <c r="T418" s="419">
        <f>ROUND(+(R418*C418)*S418,4)</f>
        <v>0</v>
      </c>
      <c r="U418" s="419">
        <f>ROUND(+J418+M418+T418,4)</f>
        <v>0</v>
      </c>
      <c r="V418" s="235"/>
    </row>
    <row r="419" spans="1:22" ht="15.75" x14ac:dyDescent="0.25">
      <c r="A419" s="231"/>
      <c r="B419" s="232"/>
      <c r="C419" s="400"/>
      <c r="D419" s="233"/>
      <c r="E419" s="405"/>
      <c r="F419" s="405"/>
      <c r="G419" s="405"/>
      <c r="H419" s="408">
        <f>ROUND(+E419+F419+G419,4)</f>
        <v>0</v>
      </c>
      <c r="I419" s="234"/>
      <c r="J419" s="411"/>
      <c r="K419" s="411"/>
      <c r="L419" s="414">
        <v>0.1</v>
      </c>
      <c r="M419" s="414">
        <f>ROUND(+L419*C419,4)</f>
        <v>0</v>
      </c>
      <c r="N419" s="414"/>
      <c r="O419" s="414"/>
      <c r="P419" s="414"/>
      <c r="Q419" s="419">
        <f>ROUND(+N419+O419+P419,4)</f>
        <v>0</v>
      </c>
      <c r="R419" s="419">
        <f>ROUND(IF(+Q419-H419&lt;=0,0,Q419-H419),4)</f>
        <v>0</v>
      </c>
      <c r="S419" s="423">
        <v>0.5</v>
      </c>
      <c r="T419" s="419">
        <f>ROUND(+(R419*C419)*S419,4)</f>
        <v>0</v>
      </c>
      <c r="U419" s="419">
        <f>ROUND(+J419+M419+T419,4)</f>
        <v>0</v>
      </c>
      <c r="V419" s="235"/>
    </row>
    <row r="420" spans="1:22" ht="15.75" x14ac:dyDescent="0.25">
      <c r="A420" s="231"/>
      <c r="B420" s="232"/>
      <c r="C420" s="400"/>
      <c r="D420" s="233"/>
      <c r="E420" s="405"/>
      <c r="F420" s="405"/>
      <c r="G420" s="405"/>
      <c r="H420" s="408">
        <f>ROUND(+E420+F420+G420,4)</f>
        <v>0</v>
      </c>
      <c r="I420" s="234"/>
      <c r="J420" s="411"/>
      <c r="K420" s="411"/>
      <c r="L420" s="414">
        <v>0.1</v>
      </c>
      <c r="M420" s="414">
        <f>ROUND(+L420*C420,4)</f>
        <v>0</v>
      </c>
      <c r="N420" s="414"/>
      <c r="O420" s="414"/>
      <c r="P420" s="414"/>
      <c r="Q420" s="419">
        <f>ROUND(+N420+O420+P420,4)</f>
        <v>0</v>
      </c>
      <c r="R420" s="419">
        <f>ROUND(IF(+Q420-H420&lt;=0,0,Q420-H420),4)</f>
        <v>0</v>
      </c>
      <c r="S420" s="423">
        <v>0.5</v>
      </c>
      <c r="T420" s="419">
        <f>ROUND(+(R420*C420)*S420,4)</f>
        <v>0</v>
      </c>
      <c r="U420" s="419">
        <f>ROUND(+J420+M420+T420,4)</f>
        <v>0</v>
      </c>
      <c r="V420" s="235"/>
    </row>
    <row r="421" spans="1:22" ht="15.75" x14ac:dyDescent="0.25">
      <c r="A421" s="231"/>
      <c r="B421" s="232"/>
      <c r="C421" s="400"/>
      <c r="D421" s="233"/>
      <c r="E421" s="405"/>
      <c r="F421" s="405"/>
      <c r="G421" s="405"/>
      <c r="H421" s="408">
        <f>ROUND(+E421+F421+G421,4)</f>
        <v>0</v>
      </c>
      <c r="I421" s="234"/>
      <c r="J421" s="411"/>
      <c r="K421" s="411"/>
      <c r="L421" s="414">
        <v>0.1</v>
      </c>
      <c r="M421" s="414">
        <f>ROUND(+L421*C421,4)</f>
        <v>0</v>
      </c>
      <c r="N421" s="414"/>
      <c r="O421" s="414"/>
      <c r="P421" s="414"/>
      <c r="Q421" s="419">
        <f>ROUND(+N421+O421+P421,4)</f>
        <v>0</v>
      </c>
      <c r="R421" s="419">
        <f>ROUND(IF(+Q421-H421&lt;=0,0,Q421-H421),4)</f>
        <v>0</v>
      </c>
      <c r="S421" s="423">
        <v>0.5</v>
      </c>
      <c r="T421" s="419">
        <f>ROUND(+(R421*C421)*S421,4)</f>
        <v>0</v>
      </c>
      <c r="U421" s="419">
        <f>ROUND(+J421+M421+T421,4)</f>
        <v>0</v>
      </c>
      <c r="V421" s="235"/>
    </row>
    <row r="422" spans="1:22" ht="15.75" x14ac:dyDescent="0.25">
      <c r="A422" s="231"/>
      <c r="B422" s="232"/>
      <c r="C422" s="400"/>
      <c r="D422" s="233"/>
      <c r="E422" s="405"/>
      <c r="F422" s="405"/>
      <c r="G422" s="405"/>
      <c r="H422" s="408">
        <f>ROUND(+E422+F422+G422,4)</f>
        <v>0</v>
      </c>
      <c r="I422" s="234"/>
      <c r="J422" s="411"/>
      <c r="K422" s="411"/>
      <c r="L422" s="414">
        <v>0.1</v>
      </c>
      <c r="M422" s="414">
        <f>ROUND(+L422*C422,4)</f>
        <v>0</v>
      </c>
      <c r="N422" s="414"/>
      <c r="O422" s="414"/>
      <c r="P422" s="414"/>
      <c r="Q422" s="419">
        <f>ROUND(+N422+O422+P422,4)</f>
        <v>0</v>
      </c>
      <c r="R422" s="419">
        <f>ROUND(IF(+Q422-H422&lt;=0,0,Q422-H422),4)</f>
        <v>0</v>
      </c>
      <c r="S422" s="423">
        <v>0.5</v>
      </c>
      <c r="T422" s="419">
        <f>ROUND(+(R422*C422)*S422,4)</f>
        <v>0</v>
      </c>
      <c r="U422" s="419">
        <f>ROUND(+J422+M422+T422,4)</f>
        <v>0</v>
      </c>
      <c r="V422" s="235"/>
    </row>
    <row r="423" spans="1:22" ht="15.75" x14ac:dyDescent="0.25">
      <c r="A423" s="231"/>
      <c r="B423" s="232"/>
      <c r="C423" s="400"/>
      <c r="D423" s="233"/>
      <c r="E423" s="405"/>
      <c r="F423" s="405"/>
      <c r="G423" s="405"/>
      <c r="H423" s="408">
        <f>ROUND(+E423+F423+G423,4)</f>
        <v>0</v>
      </c>
      <c r="I423" s="234"/>
      <c r="J423" s="411"/>
      <c r="K423" s="411"/>
      <c r="L423" s="414">
        <v>0.1</v>
      </c>
      <c r="M423" s="414">
        <f>ROUND(+L423*C423,4)</f>
        <v>0</v>
      </c>
      <c r="N423" s="414"/>
      <c r="O423" s="414"/>
      <c r="P423" s="414"/>
      <c r="Q423" s="419">
        <f>ROUND(+N423+O423+P423,4)</f>
        <v>0</v>
      </c>
      <c r="R423" s="419">
        <f>ROUND(IF(+Q423-H423&lt;=0,0,Q423-H423),4)</f>
        <v>0</v>
      </c>
      <c r="S423" s="423">
        <v>0.5</v>
      </c>
      <c r="T423" s="419">
        <f>ROUND(+(R423*C423)*S423,4)</f>
        <v>0</v>
      </c>
      <c r="U423" s="419">
        <f>ROUND(+J423+M423+T423,4)</f>
        <v>0</v>
      </c>
      <c r="V423" s="235"/>
    </row>
    <row r="424" spans="1:22" ht="15.75" x14ac:dyDescent="0.25">
      <c r="A424" s="231"/>
      <c r="B424" s="232"/>
      <c r="C424" s="400"/>
      <c r="D424" s="233"/>
      <c r="E424" s="405"/>
      <c r="F424" s="405"/>
      <c r="G424" s="405"/>
      <c r="H424" s="408">
        <f>ROUND(+E424+F424+G424,4)</f>
        <v>0</v>
      </c>
      <c r="I424" s="234"/>
      <c r="J424" s="411"/>
      <c r="K424" s="411"/>
      <c r="L424" s="414">
        <v>0.1</v>
      </c>
      <c r="M424" s="414">
        <f>ROUND(+L424*C424,4)</f>
        <v>0</v>
      </c>
      <c r="N424" s="414"/>
      <c r="O424" s="414"/>
      <c r="P424" s="414"/>
      <c r="Q424" s="419">
        <f>ROUND(+N424+O424+P424,4)</f>
        <v>0</v>
      </c>
      <c r="R424" s="419">
        <f>ROUND(IF(+Q424-H424&lt;=0,0,Q424-H424),4)</f>
        <v>0</v>
      </c>
      <c r="S424" s="423">
        <v>0.5</v>
      </c>
      <c r="T424" s="419">
        <f>ROUND(+(R424*C424)*S424,4)</f>
        <v>0</v>
      </c>
      <c r="U424" s="419">
        <f>ROUND(+J424+M424+T424,4)</f>
        <v>0</v>
      </c>
      <c r="V424" s="235"/>
    </row>
    <row r="425" spans="1:22" ht="15.75" x14ac:dyDescent="0.25">
      <c r="A425" s="231"/>
      <c r="B425" s="232"/>
      <c r="C425" s="400"/>
      <c r="D425" s="233"/>
      <c r="E425" s="405"/>
      <c r="F425" s="405"/>
      <c r="G425" s="405"/>
      <c r="H425" s="408">
        <f>ROUND(+E425+F425+G425,4)</f>
        <v>0</v>
      </c>
      <c r="I425" s="234"/>
      <c r="J425" s="411"/>
      <c r="K425" s="411"/>
      <c r="L425" s="414">
        <v>0.1</v>
      </c>
      <c r="M425" s="414">
        <f>ROUND(+L425*C425,4)</f>
        <v>0</v>
      </c>
      <c r="N425" s="414"/>
      <c r="O425" s="414"/>
      <c r="P425" s="414"/>
      <c r="Q425" s="419">
        <f>ROUND(+N425+O425+P425,4)</f>
        <v>0</v>
      </c>
      <c r="R425" s="419">
        <f>ROUND(IF(+Q425-H425&lt;=0,0,Q425-H425),4)</f>
        <v>0</v>
      </c>
      <c r="S425" s="423">
        <v>0.5</v>
      </c>
      <c r="T425" s="419">
        <f>ROUND(+(R425*C425)*S425,4)</f>
        <v>0</v>
      </c>
      <c r="U425" s="419">
        <f>ROUND(+J425+M425+T425,4)</f>
        <v>0</v>
      </c>
      <c r="V425" s="235"/>
    </row>
    <row r="426" spans="1:22" ht="15.75" x14ac:dyDescent="0.25">
      <c r="A426" s="231"/>
      <c r="B426" s="232"/>
      <c r="C426" s="400"/>
      <c r="D426" s="233"/>
      <c r="E426" s="405"/>
      <c r="F426" s="405"/>
      <c r="G426" s="405"/>
      <c r="H426" s="408">
        <f>ROUND(+E426+F426+G426,4)</f>
        <v>0</v>
      </c>
      <c r="I426" s="234"/>
      <c r="J426" s="411"/>
      <c r="K426" s="411"/>
      <c r="L426" s="414">
        <v>0.1</v>
      </c>
      <c r="M426" s="414">
        <f>ROUND(+L426*C426,4)</f>
        <v>0</v>
      </c>
      <c r="N426" s="414"/>
      <c r="O426" s="414"/>
      <c r="P426" s="414"/>
      <c r="Q426" s="419">
        <f>ROUND(+N426+O426+P426,4)</f>
        <v>0</v>
      </c>
      <c r="R426" s="419">
        <f>ROUND(IF(+Q426-H426&lt;=0,0,Q426-H426),4)</f>
        <v>0</v>
      </c>
      <c r="S426" s="423">
        <v>0.5</v>
      </c>
      <c r="T426" s="419">
        <f>ROUND(+(R426*C426)*S426,4)</f>
        <v>0</v>
      </c>
      <c r="U426" s="419">
        <f>ROUND(+J426+M426+T426,4)</f>
        <v>0</v>
      </c>
      <c r="V426" s="235"/>
    </row>
    <row r="427" spans="1:22" ht="15.75" x14ac:dyDescent="0.25">
      <c r="A427" s="231"/>
      <c r="B427" s="232"/>
      <c r="C427" s="400"/>
      <c r="D427" s="233"/>
      <c r="E427" s="405"/>
      <c r="F427" s="405"/>
      <c r="G427" s="405"/>
      <c r="H427" s="408">
        <f>ROUND(+E427+F427+G427,4)</f>
        <v>0</v>
      </c>
      <c r="I427" s="234"/>
      <c r="J427" s="411"/>
      <c r="K427" s="411"/>
      <c r="L427" s="414">
        <v>0.1</v>
      </c>
      <c r="M427" s="414">
        <f>ROUND(+L427*C427,4)</f>
        <v>0</v>
      </c>
      <c r="N427" s="414"/>
      <c r="O427" s="414"/>
      <c r="P427" s="414"/>
      <c r="Q427" s="419">
        <f>ROUND(+N427+O427+P427,4)</f>
        <v>0</v>
      </c>
      <c r="R427" s="419">
        <f>ROUND(IF(+Q427-H427&lt;=0,0,Q427-H427),4)</f>
        <v>0</v>
      </c>
      <c r="S427" s="423">
        <v>0.5</v>
      </c>
      <c r="T427" s="419">
        <f>ROUND(+(R427*C427)*S427,4)</f>
        <v>0</v>
      </c>
      <c r="U427" s="419">
        <f>ROUND(+J427+M427+T427,4)</f>
        <v>0</v>
      </c>
      <c r="V427" s="235"/>
    </row>
    <row r="428" spans="1:22" ht="15.75" x14ac:dyDescent="0.25">
      <c r="A428" s="231"/>
      <c r="B428" s="232"/>
      <c r="C428" s="400"/>
      <c r="D428" s="233"/>
      <c r="E428" s="405"/>
      <c r="F428" s="405"/>
      <c r="G428" s="405"/>
      <c r="H428" s="408">
        <f>ROUND(+E428+F428+G428,4)</f>
        <v>0</v>
      </c>
      <c r="I428" s="234"/>
      <c r="J428" s="411"/>
      <c r="K428" s="411"/>
      <c r="L428" s="414">
        <v>0.1</v>
      </c>
      <c r="M428" s="414">
        <f>ROUND(+L428*C428,4)</f>
        <v>0</v>
      </c>
      <c r="N428" s="414"/>
      <c r="O428" s="414"/>
      <c r="P428" s="414"/>
      <c r="Q428" s="419">
        <f>ROUND(+N428+O428+P428,4)</f>
        <v>0</v>
      </c>
      <c r="R428" s="419">
        <f>ROUND(IF(+Q428-H428&lt;=0,0,Q428-H428),4)</f>
        <v>0</v>
      </c>
      <c r="S428" s="423">
        <v>0.5</v>
      </c>
      <c r="T428" s="419">
        <f>ROUND(+(R428*C428)*S428,4)</f>
        <v>0</v>
      </c>
      <c r="U428" s="419">
        <f>ROUND(+J428+M428+T428,4)</f>
        <v>0</v>
      </c>
      <c r="V428" s="235"/>
    </row>
    <row r="429" spans="1:22" ht="15.75" x14ac:dyDescent="0.25">
      <c r="A429" s="231"/>
      <c r="B429" s="232"/>
      <c r="C429" s="400"/>
      <c r="D429" s="233"/>
      <c r="E429" s="405"/>
      <c r="F429" s="405"/>
      <c r="G429" s="405"/>
      <c r="H429" s="408">
        <f>ROUND(+E429+F429+G429,4)</f>
        <v>0</v>
      </c>
      <c r="I429" s="234"/>
      <c r="J429" s="411"/>
      <c r="K429" s="411"/>
      <c r="L429" s="414">
        <v>0.1</v>
      </c>
      <c r="M429" s="414">
        <f>ROUND(+L429*C429,4)</f>
        <v>0</v>
      </c>
      <c r="N429" s="414"/>
      <c r="O429" s="414"/>
      <c r="P429" s="414"/>
      <c r="Q429" s="419">
        <f>ROUND(+N429+O429+P429,4)</f>
        <v>0</v>
      </c>
      <c r="R429" s="419">
        <f>ROUND(IF(+Q429-H429&lt;=0,0,Q429-H429),4)</f>
        <v>0</v>
      </c>
      <c r="S429" s="423">
        <v>0.5</v>
      </c>
      <c r="T429" s="419">
        <f>ROUND(+(R429*C429)*S429,4)</f>
        <v>0</v>
      </c>
      <c r="U429" s="419">
        <f>ROUND(+J429+M429+T429,4)</f>
        <v>0</v>
      </c>
      <c r="V429" s="235"/>
    </row>
    <row r="430" spans="1:22" ht="15.75" x14ac:dyDescent="0.25">
      <c r="A430" s="231"/>
      <c r="B430" s="232"/>
      <c r="C430" s="400"/>
      <c r="D430" s="233"/>
      <c r="E430" s="405"/>
      <c r="F430" s="405"/>
      <c r="G430" s="405"/>
      <c r="H430" s="408">
        <f>ROUND(+E430+F430+G430,4)</f>
        <v>0</v>
      </c>
      <c r="I430" s="234"/>
      <c r="J430" s="411"/>
      <c r="K430" s="411"/>
      <c r="L430" s="414">
        <v>0.1</v>
      </c>
      <c r="M430" s="414">
        <f>ROUND(+L430*C430,4)</f>
        <v>0</v>
      </c>
      <c r="N430" s="414"/>
      <c r="O430" s="414"/>
      <c r="P430" s="414"/>
      <c r="Q430" s="419">
        <f>ROUND(+N430+O430+P430,4)</f>
        <v>0</v>
      </c>
      <c r="R430" s="419">
        <f>ROUND(IF(+Q430-H430&lt;=0,0,Q430-H430),4)</f>
        <v>0</v>
      </c>
      <c r="S430" s="423">
        <v>0.5</v>
      </c>
      <c r="T430" s="419">
        <f>ROUND(+(R430*C430)*S430,4)</f>
        <v>0</v>
      </c>
      <c r="U430" s="419">
        <f>ROUND(+J430+M430+T430,4)</f>
        <v>0</v>
      </c>
      <c r="V430" s="235"/>
    </row>
    <row r="431" spans="1:22" ht="15.75" x14ac:dyDescent="0.25">
      <c r="A431" s="231"/>
      <c r="B431" s="232"/>
      <c r="C431" s="400"/>
      <c r="D431" s="233"/>
      <c r="E431" s="405"/>
      <c r="F431" s="405"/>
      <c r="G431" s="405"/>
      <c r="H431" s="408">
        <f>ROUND(+E431+F431+G431,4)</f>
        <v>0</v>
      </c>
      <c r="I431" s="234"/>
      <c r="J431" s="411"/>
      <c r="K431" s="411"/>
      <c r="L431" s="414">
        <v>0.1</v>
      </c>
      <c r="M431" s="414">
        <f>ROUND(+L431*C431,4)</f>
        <v>0</v>
      </c>
      <c r="N431" s="414"/>
      <c r="O431" s="414"/>
      <c r="P431" s="414"/>
      <c r="Q431" s="419">
        <f>ROUND(+N431+O431+P431,4)</f>
        <v>0</v>
      </c>
      <c r="R431" s="419">
        <f>ROUND(IF(+Q431-H431&lt;=0,0,Q431-H431),4)</f>
        <v>0</v>
      </c>
      <c r="S431" s="423">
        <v>0.5</v>
      </c>
      <c r="T431" s="419">
        <f>ROUND(+(R431*C431)*S431,4)</f>
        <v>0</v>
      </c>
      <c r="U431" s="419">
        <f>ROUND(+J431+M431+T431,4)</f>
        <v>0</v>
      </c>
      <c r="V431" s="235"/>
    </row>
    <row r="432" spans="1:22" ht="15.75" x14ac:dyDescent="0.25">
      <c r="A432" s="231"/>
      <c r="B432" s="232"/>
      <c r="C432" s="400"/>
      <c r="D432" s="233"/>
      <c r="E432" s="405"/>
      <c r="F432" s="405"/>
      <c r="G432" s="405"/>
      <c r="H432" s="408">
        <f>ROUND(+E432+F432+G432,4)</f>
        <v>0</v>
      </c>
      <c r="I432" s="234"/>
      <c r="J432" s="411"/>
      <c r="K432" s="411"/>
      <c r="L432" s="414">
        <v>0.1</v>
      </c>
      <c r="M432" s="414">
        <f>ROUND(+L432*C432,4)</f>
        <v>0</v>
      </c>
      <c r="N432" s="414"/>
      <c r="O432" s="414"/>
      <c r="P432" s="414"/>
      <c r="Q432" s="419">
        <f>ROUND(+N432+O432+P432,4)</f>
        <v>0</v>
      </c>
      <c r="R432" s="419">
        <f>ROUND(IF(+Q432-H432&lt;=0,0,Q432-H432),4)</f>
        <v>0</v>
      </c>
      <c r="S432" s="423">
        <v>0.5</v>
      </c>
      <c r="T432" s="419">
        <f>ROUND(+(R432*C432)*S432,4)</f>
        <v>0</v>
      </c>
      <c r="U432" s="419">
        <f>ROUND(+J432+M432+T432,4)</f>
        <v>0</v>
      </c>
      <c r="V432" s="235"/>
    </row>
    <row r="433" spans="1:22" ht="15.75" x14ac:dyDescent="0.25">
      <c r="A433" s="231"/>
      <c r="B433" s="232"/>
      <c r="C433" s="400"/>
      <c r="D433" s="233"/>
      <c r="E433" s="405"/>
      <c r="F433" s="405"/>
      <c r="G433" s="405"/>
      <c r="H433" s="408">
        <f>ROUND(+E433+F433+G433,4)</f>
        <v>0</v>
      </c>
      <c r="I433" s="234"/>
      <c r="J433" s="411"/>
      <c r="K433" s="411"/>
      <c r="L433" s="414">
        <v>0.1</v>
      </c>
      <c r="M433" s="414">
        <f>ROUND(+L433*C433,4)</f>
        <v>0</v>
      </c>
      <c r="N433" s="414"/>
      <c r="O433" s="414"/>
      <c r="P433" s="414"/>
      <c r="Q433" s="419">
        <f>ROUND(+N433+O433+P433,4)</f>
        <v>0</v>
      </c>
      <c r="R433" s="419">
        <f>ROUND(IF(+Q433-H433&lt;=0,0,Q433-H433),4)</f>
        <v>0</v>
      </c>
      <c r="S433" s="423">
        <v>0.5</v>
      </c>
      <c r="T433" s="419">
        <f>ROUND(+(R433*C433)*S433,4)</f>
        <v>0</v>
      </c>
      <c r="U433" s="419">
        <f>ROUND(+J433+M433+T433,4)</f>
        <v>0</v>
      </c>
      <c r="V433" s="235"/>
    </row>
    <row r="434" spans="1:22" ht="15.75" x14ac:dyDescent="0.25">
      <c r="A434" s="231"/>
      <c r="B434" s="232"/>
      <c r="C434" s="400"/>
      <c r="D434" s="233"/>
      <c r="E434" s="405"/>
      <c r="F434" s="405"/>
      <c r="G434" s="405"/>
      <c r="H434" s="408">
        <f>ROUND(+E434+F434+G434,4)</f>
        <v>0</v>
      </c>
      <c r="I434" s="234"/>
      <c r="J434" s="411"/>
      <c r="K434" s="411"/>
      <c r="L434" s="414">
        <v>0.1</v>
      </c>
      <c r="M434" s="414">
        <f>ROUND(+L434*C434,4)</f>
        <v>0</v>
      </c>
      <c r="N434" s="414"/>
      <c r="O434" s="414"/>
      <c r="P434" s="414"/>
      <c r="Q434" s="419">
        <f>ROUND(+N434+O434+P434,4)</f>
        <v>0</v>
      </c>
      <c r="R434" s="419">
        <f>ROUND(IF(+Q434-H434&lt;=0,0,Q434-H434),4)</f>
        <v>0</v>
      </c>
      <c r="S434" s="423">
        <v>0.5</v>
      </c>
      <c r="T434" s="419">
        <f>ROUND(+(R434*C434)*S434,4)</f>
        <v>0</v>
      </c>
      <c r="U434" s="419">
        <f>ROUND(+J434+M434+T434,4)</f>
        <v>0</v>
      </c>
      <c r="V434" s="235"/>
    </row>
    <row r="435" spans="1:22" ht="15.75" x14ac:dyDescent="0.25">
      <c r="A435" s="231"/>
      <c r="B435" s="232"/>
      <c r="C435" s="400"/>
      <c r="D435" s="233"/>
      <c r="E435" s="405"/>
      <c r="F435" s="405"/>
      <c r="G435" s="405"/>
      <c r="H435" s="408">
        <f>ROUND(+E435+F435+G435,4)</f>
        <v>0</v>
      </c>
      <c r="I435" s="234"/>
      <c r="J435" s="411"/>
      <c r="K435" s="411"/>
      <c r="L435" s="414">
        <v>0.1</v>
      </c>
      <c r="M435" s="414">
        <f>ROUND(+L435*C435,4)</f>
        <v>0</v>
      </c>
      <c r="N435" s="414"/>
      <c r="O435" s="414"/>
      <c r="P435" s="414"/>
      <c r="Q435" s="419">
        <f>ROUND(+N435+O435+P435,4)</f>
        <v>0</v>
      </c>
      <c r="R435" s="419">
        <f>ROUND(IF(+Q435-H435&lt;=0,0,Q435-H435),4)</f>
        <v>0</v>
      </c>
      <c r="S435" s="423">
        <v>0.5</v>
      </c>
      <c r="T435" s="419">
        <f>ROUND(+(R435*C435)*S435,4)</f>
        <v>0</v>
      </c>
      <c r="U435" s="419">
        <f>ROUND(+J435+M435+T435,4)</f>
        <v>0</v>
      </c>
      <c r="V435" s="235"/>
    </row>
    <row r="436" spans="1:22" ht="15.75" x14ac:dyDescent="0.25">
      <c r="A436" s="231"/>
      <c r="B436" s="232"/>
      <c r="C436" s="400"/>
      <c r="D436" s="233"/>
      <c r="E436" s="405"/>
      <c r="F436" s="405"/>
      <c r="G436" s="405"/>
      <c r="H436" s="408">
        <f>ROUND(+E436+F436+G436,4)</f>
        <v>0</v>
      </c>
      <c r="I436" s="234"/>
      <c r="J436" s="411"/>
      <c r="K436" s="411"/>
      <c r="L436" s="414">
        <v>0.1</v>
      </c>
      <c r="M436" s="414">
        <f>ROUND(+L436*C436,4)</f>
        <v>0</v>
      </c>
      <c r="N436" s="414"/>
      <c r="O436" s="414"/>
      <c r="P436" s="414"/>
      <c r="Q436" s="419">
        <f>ROUND(+N436+O436+P436,4)</f>
        <v>0</v>
      </c>
      <c r="R436" s="419">
        <f>ROUND(IF(+Q436-H436&lt;=0,0,Q436-H436),4)</f>
        <v>0</v>
      </c>
      <c r="S436" s="423">
        <v>0.5</v>
      </c>
      <c r="T436" s="419">
        <f>ROUND(+(R436*C436)*S436,4)</f>
        <v>0</v>
      </c>
      <c r="U436" s="419">
        <f>ROUND(+J436+M436+T436,4)</f>
        <v>0</v>
      </c>
      <c r="V436" s="235"/>
    </row>
    <row r="437" spans="1:22" ht="15.75" x14ac:dyDescent="0.25">
      <c r="A437" s="231"/>
      <c r="B437" s="232"/>
      <c r="C437" s="400"/>
      <c r="D437" s="233"/>
      <c r="E437" s="405"/>
      <c r="F437" s="405"/>
      <c r="G437" s="405"/>
      <c r="H437" s="408">
        <f>ROUND(+E437+F437+G437,4)</f>
        <v>0</v>
      </c>
      <c r="I437" s="234"/>
      <c r="J437" s="411"/>
      <c r="K437" s="411"/>
      <c r="L437" s="414">
        <v>0.1</v>
      </c>
      <c r="M437" s="414">
        <f>ROUND(+L437*C437,4)</f>
        <v>0</v>
      </c>
      <c r="N437" s="414"/>
      <c r="O437" s="414"/>
      <c r="P437" s="414"/>
      <c r="Q437" s="419">
        <f>ROUND(+N437+O437+P437,4)</f>
        <v>0</v>
      </c>
      <c r="R437" s="419">
        <f>ROUND(IF(+Q437-H437&lt;=0,0,Q437-H437),4)</f>
        <v>0</v>
      </c>
      <c r="S437" s="423">
        <v>0.5</v>
      </c>
      <c r="T437" s="419">
        <f>ROUND(+(R437*C437)*S437,4)</f>
        <v>0</v>
      </c>
      <c r="U437" s="419">
        <f>ROUND(+J437+M437+T437,4)</f>
        <v>0</v>
      </c>
      <c r="V437" s="235"/>
    </row>
    <row r="438" spans="1:22" ht="15.75" x14ac:dyDescent="0.25">
      <c r="A438" s="231"/>
      <c r="B438" s="232"/>
      <c r="C438" s="400"/>
      <c r="D438" s="233"/>
      <c r="E438" s="405"/>
      <c r="F438" s="405"/>
      <c r="G438" s="405"/>
      <c r="H438" s="408">
        <f>ROUND(+E438+F438+G438,4)</f>
        <v>0</v>
      </c>
      <c r="I438" s="234"/>
      <c r="J438" s="411"/>
      <c r="K438" s="411"/>
      <c r="L438" s="414">
        <v>0.1</v>
      </c>
      <c r="M438" s="414">
        <f>ROUND(+L438*C438,4)</f>
        <v>0</v>
      </c>
      <c r="N438" s="414"/>
      <c r="O438" s="414"/>
      <c r="P438" s="414"/>
      <c r="Q438" s="419">
        <f>ROUND(+N438+O438+P438,4)</f>
        <v>0</v>
      </c>
      <c r="R438" s="419">
        <f>ROUND(IF(+Q438-H438&lt;=0,0,Q438-H438),4)</f>
        <v>0</v>
      </c>
      <c r="S438" s="423">
        <v>0.5</v>
      </c>
      <c r="T438" s="419">
        <f>ROUND(+(R438*C438)*S438,4)</f>
        <v>0</v>
      </c>
      <c r="U438" s="419">
        <f>ROUND(+J438+M438+T438,4)</f>
        <v>0</v>
      </c>
      <c r="V438" s="235"/>
    </row>
    <row r="439" spans="1:22" ht="15.75" x14ac:dyDescent="0.25">
      <c r="A439" s="231"/>
      <c r="B439" s="232"/>
      <c r="C439" s="400"/>
      <c r="D439" s="233"/>
      <c r="E439" s="405"/>
      <c r="F439" s="405"/>
      <c r="G439" s="405"/>
      <c r="H439" s="408">
        <f>ROUND(+E439+F439+G439,4)</f>
        <v>0</v>
      </c>
      <c r="I439" s="234"/>
      <c r="J439" s="411"/>
      <c r="K439" s="411"/>
      <c r="L439" s="414">
        <v>0.1</v>
      </c>
      <c r="M439" s="414">
        <f>ROUND(+L439*C439,4)</f>
        <v>0</v>
      </c>
      <c r="N439" s="414"/>
      <c r="O439" s="414"/>
      <c r="P439" s="414"/>
      <c r="Q439" s="419">
        <f>ROUND(+N439+O439+P439,4)</f>
        <v>0</v>
      </c>
      <c r="R439" s="419">
        <f>ROUND(IF(+Q439-H439&lt;=0,0,Q439-H439),4)</f>
        <v>0</v>
      </c>
      <c r="S439" s="423">
        <v>0.5</v>
      </c>
      <c r="T439" s="419">
        <f>ROUND(+(R439*C439)*S439,4)</f>
        <v>0</v>
      </c>
      <c r="U439" s="419">
        <f>ROUND(+J439+M439+T439,4)</f>
        <v>0</v>
      </c>
      <c r="V439" s="235"/>
    </row>
    <row r="440" spans="1:22" ht="15.75" x14ac:dyDescent="0.25">
      <c r="A440" s="231"/>
      <c r="B440" s="232"/>
      <c r="C440" s="400"/>
      <c r="D440" s="233"/>
      <c r="E440" s="405"/>
      <c r="F440" s="405"/>
      <c r="G440" s="405"/>
      <c r="H440" s="408">
        <f>ROUND(+E440+F440+G440,4)</f>
        <v>0</v>
      </c>
      <c r="I440" s="234"/>
      <c r="J440" s="411"/>
      <c r="K440" s="411"/>
      <c r="L440" s="414">
        <v>0.1</v>
      </c>
      <c r="M440" s="414">
        <f>ROUND(+L440*C440,4)</f>
        <v>0</v>
      </c>
      <c r="N440" s="414"/>
      <c r="O440" s="414"/>
      <c r="P440" s="414"/>
      <c r="Q440" s="419">
        <f>ROUND(+N440+O440+P440,4)</f>
        <v>0</v>
      </c>
      <c r="R440" s="419">
        <f>ROUND(IF(+Q440-H440&lt;=0,0,Q440-H440),4)</f>
        <v>0</v>
      </c>
      <c r="S440" s="423">
        <v>0.5</v>
      </c>
      <c r="T440" s="419">
        <f>ROUND(+(R440*C440)*S440,4)</f>
        <v>0</v>
      </c>
      <c r="U440" s="419">
        <f>ROUND(+J440+M440+T440,4)</f>
        <v>0</v>
      </c>
      <c r="V440" s="235"/>
    </row>
    <row r="441" spans="1:22" ht="15.75" x14ac:dyDescent="0.25">
      <c r="A441" s="231"/>
      <c r="B441" s="232"/>
      <c r="C441" s="400"/>
      <c r="D441" s="233"/>
      <c r="E441" s="405"/>
      <c r="F441" s="405"/>
      <c r="G441" s="405"/>
      <c r="H441" s="408">
        <f>ROUND(+E441+F441+G441,4)</f>
        <v>0</v>
      </c>
      <c r="I441" s="234"/>
      <c r="J441" s="411"/>
      <c r="K441" s="411"/>
      <c r="L441" s="414">
        <v>0.1</v>
      </c>
      <c r="M441" s="414">
        <f>ROUND(+L441*C441,4)</f>
        <v>0</v>
      </c>
      <c r="N441" s="414"/>
      <c r="O441" s="414"/>
      <c r="P441" s="414"/>
      <c r="Q441" s="419">
        <f>ROUND(+N441+O441+P441,4)</f>
        <v>0</v>
      </c>
      <c r="R441" s="419">
        <f>ROUND(IF(+Q441-H441&lt;=0,0,Q441-H441),4)</f>
        <v>0</v>
      </c>
      <c r="S441" s="423">
        <v>0.5</v>
      </c>
      <c r="T441" s="419">
        <f>ROUND(+(R441*C441)*S441,4)</f>
        <v>0</v>
      </c>
      <c r="U441" s="419">
        <f>ROUND(+J441+M441+T441,4)</f>
        <v>0</v>
      </c>
      <c r="V441" s="235"/>
    </row>
    <row r="442" spans="1:22" ht="15.75" x14ac:dyDescent="0.25">
      <c r="A442" s="231"/>
      <c r="B442" s="232"/>
      <c r="C442" s="400"/>
      <c r="D442" s="233"/>
      <c r="E442" s="405"/>
      <c r="F442" s="405"/>
      <c r="G442" s="405"/>
      <c r="H442" s="408">
        <f>ROUND(+E442+F442+G442,4)</f>
        <v>0</v>
      </c>
      <c r="I442" s="234"/>
      <c r="J442" s="411"/>
      <c r="K442" s="411"/>
      <c r="L442" s="414">
        <v>0.1</v>
      </c>
      <c r="M442" s="414">
        <f>ROUND(+L442*C442,4)</f>
        <v>0</v>
      </c>
      <c r="N442" s="414"/>
      <c r="O442" s="414"/>
      <c r="P442" s="414"/>
      <c r="Q442" s="419">
        <f>ROUND(+N442+O442+P442,4)</f>
        <v>0</v>
      </c>
      <c r="R442" s="419">
        <f>ROUND(IF(+Q442-H442&lt;=0,0,Q442-H442),4)</f>
        <v>0</v>
      </c>
      <c r="S442" s="423">
        <v>0.5</v>
      </c>
      <c r="T442" s="419">
        <f>ROUND(+(R442*C442)*S442,4)</f>
        <v>0</v>
      </c>
      <c r="U442" s="419">
        <f>ROUND(+J442+M442+T442,4)</f>
        <v>0</v>
      </c>
      <c r="V442" s="235"/>
    </row>
    <row r="443" spans="1:22" ht="15.75" x14ac:dyDescent="0.25">
      <c r="A443" s="231"/>
      <c r="B443" s="232"/>
      <c r="C443" s="400"/>
      <c r="D443" s="233"/>
      <c r="E443" s="405"/>
      <c r="F443" s="405"/>
      <c r="G443" s="405"/>
      <c r="H443" s="408">
        <f>ROUND(+E443+F443+G443,4)</f>
        <v>0</v>
      </c>
      <c r="I443" s="234"/>
      <c r="J443" s="411"/>
      <c r="K443" s="411"/>
      <c r="L443" s="414">
        <v>0.1</v>
      </c>
      <c r="M443" s="414">
        <f>ROUND(+L443*C443,4)</f>
        <v>0</v>
      </c>
      <c r="N443" s="414"/>
      <c r="O443" s="414"/>
      <c r="P443" s="414"/>
      <c r="Q443" s="419">
        <f>ROUND(+N443+O443+P443,4)</f>
        <v>0</v>
      </c>
      <c r="R443" s="419">
        <f>ROUND(IF(+Q443-H443&lt;=0,0,Q443-H443),4)</f>
        <v>0</v>
      </c>
      <c r="S443" s="423">
        <v>0.5</v>
      </c>
      <c r="T443" s="419">
        <f>ROUND(+(R443*C443)*S443,4)</f>
        <v>0</v>
      </c>
      <c r="U443" s="419">
        <f>ROUND(+J443+M443+T443,4)</f>
        <v>0</v>
      </c>
      <c r="V443" s="235"/>
    </row>
    <row r="444" spans="1:22" ht="15.75" x14ac:dyDescent="0.25">
      <c r="A444" s="231"/>
      <c r="B444" s="232"/>
      <c r="C444" s="400"/>
      <c r="D444" s="233"/>
      <c r="E444" s="405"/>
      <c r="F444" s="405"/>
      <c r="G444" s="405"/>
      <c r="H444" s="408">
        <f>ROUND(+E444+F444+G444,4)</f>
        <v>0</v>
      </c>
      <c r="I444" s="234"/>
      <c r="J444" s="411"/>
      <c r="K444" s="411"/>
      <c r="L444" s="414">
        <v>0.1</v>
      </c>
      <c r="M444" s="414">
        <f>ROUND(+L444*C444,4)</f>
        <v>0</v>
      </c>
      <c r="N444" s="414"/>
      <c r="O444" s="414"/>
      <c r="P444" s="414"/>
      <c r="Q444" s="419">
        <f>ROUND(+N444+O444+P444,4)</f>
        <v>0</v>
      </c>
      <c r="R444" s="419">
        <f>ROUND(IF(+Q444-H444&lt;=0,0,Q444-H444),4)</f>
        <v>0</v>
      </c>
      <c r="S444" s="423">
        <v>0.5</v>
      </c>
      <c r="T444" s="419">
        <f>ROUND(+(R444*C444)*S444,4)</f>
        <v>0</v>
      </c>
      <c r="U444" s="419">
        <f>ROUND(+J444+M444+T444,4)</f>
        <v>0</v>
      </c>
      <c r="V444" s="235"/>
    </row>
    <row r="445" spans="1:22" ht="15.75" x14ac:dyDescent="0.25">
      <c r="A445" s="231"/>
      <c r="B445" s="232"/>
      <c r="C445" s="400"/>
      <c r="D445" s="233"/>
      <c r="E445" s="405"/>
      <c r="F445" s="405"/>
      <c r="G445" s="405"/>
      <c r="H445" s="408">
        <f>ROUND(+E445+F445+G445,4)</f>
        <v>0</v>
      </c>
      <c r="I445" s="234"/>
      <c r="J445" s="411"/>
      <c r="K445" s="411"/>
      <c r="L445" s="414">
        <v>0.1</v>
      </c>
      <c r="M445" s="414">
        <f>ROUND(+L445*C445,4)</f>
        <v>0</v>
      </c>
      <c r="N445" s="414"/>
      <c r="O445" s="414"/>
      <c r="P445" s="414"/>
      <c r="Q445" s="419">
        <f>ROUND(+N445+O445+P445,4)</f>
        <v>0</v>
      </c>
      <c r="R445" s="419">
        <f>ROUND(IF(+Q445-H445&lt;=0,0,Q445-H445),4)</f>
        <v>0</v>
      </c>
      <c r="S445" s="423">
        <v>0.5</v>
      </c>
      <c r="T445" s="419">
        <f>ROUND(+(R445*C445)*S445,4)</f>
        <v>0</v>
      </c>
      <c r="U445" s="419">
        <f>ROUND(+J445+M445+T445,4)</f>
        <v>0</v>
      </c>
      <c r="V445" s="235"/>
    </row>
    <row r="446" spans="1:22" ht="15.75" x14ac:dyDescent="0.25">
      <c r="A446" s="231"/>
      <c r="B446" s="232"/>
      <c r="C446" s="400"/>
      <c r="D446" s="233"/>
      <c r="E446" s="405"/>
      <c r="F446" s="405"/>
      <c r="G446" s="405"/>
      <c r="H446" s="408">
        <f>ROUND(+E446+F446+G446,4)</f>
        <v>0</v>
      </c>
      <c r="I446" s="234"/>
      <c r="J446" s="411"/>
      <c r="K446" s="411"/>
      <c r="L446" s="414">
        <v>0.1</v>
      </c>
      <c r="M446" s="414">
        <f>ROUND(+L446*C446,4)</f>
        <v>0</v>
      </c>
      <c r="N446" s="414"/>
      <c r="O446" s="414"/>
      <c r="P446" s="414"/>
      <c r="Q446" s="419">
        <f>ROUND(+N446+O446+P446,4)</f>
        <v>0</v>
      </c>
      <c r="R446" s="419">
        <f>ROUND(IF(+Q446-H446&lt;=0,0,Q446-H446),4)</f>
        <v>0</v>
      </c>
      <c r="S446" s="423">
        <v>0.5</v>
      </c>
      <c r="T446" s="419">
        <f>ROUND(+(R446*C446)*S446,4)</f>
        <v>0</v>
      </c>
      <c r="U446" s="419">
        <f>ROUND(+J446+M446+T446,4)</f>
        <v>0</v>
      </c>
      <c r="V446" s="235"/>
    </row>
    <row r="447" spans="1:22" ht="15.75" x14ac:dyDescent="0.25">
      <c r="A447" s="231"/>
      <c r="B447" s="232"/>
      <c r="C447" s="400"/>
      <c r="D447" s="233"/>
      <c r="E447" s="405"/>
      <c r="F447" s="405"/>
      <c r="G447" s="405"/>
      <c r="H447" s="408">
        <f>ROUND(+E447+F447+G447,4)</f>
        <v>0</v>
      </c>
      <c r="I447" s="234"/>
      <c r="J447" s="411"/>
      <c r="K447" s="411"/>
      <c r="L447" s="414">
        <v>0.1</v>
      </c>
      <c r="M447" s="414">
        <f>ROUND(+L447*C447,4)</f>
        <v>0</v>
      </c>
      <c r="N447" s="414"/>
      <c r="O447" s="414"/>
      <c r="P447" s="414"/>
      <c r="Q447" s="419">
        <f>ROUND(+N447+O447+P447,4)</f>
        <v>0</v>
      </c>
      <c r="R447" s="419">
        <f>ROUND(IF(+Q447-H447&lt;=0,0,Q447-H447),4)</f>
        <v>0</v>
      </c>
      <c r="S447" s="423">
        <v>0.5</v>
      </c>
      <c r="T447" s="419">
        <f>ROUND(+(R447*C447)*S447,4)</f>
        <v>0</v>
      </c>
      <c r="U447" s="419">
        <f>ROUND(+J447+M447+T447,4)</f>
        <v>0</v>
      </c>
      <c r="V447" s="235"/>
    </row>
    <row r="448" spans="1:22" ht="15.75" x14ac:dyDescent="0.25">
      <c r="A448" s="231"/>
      <c r="B448" s="232"/>
      <c r="C448" s="400"/>
      <c r="D448" s="233"/>
      <c r="E448" s="405"/>
      <c r="F448" s="405"/>
      <c r="G448" s="405"/>
      <c r="H448" s="408">
        <f>ROUND(+E448+F448+G448,4)</f>
        <v>0</v>
      </c>
      <c r="I448" s="234"/>
      <c r="J448" s="411"/>
      <c r="K448" s="411"/>
      <c r="L448" s="414">
        <v>0.1</v>
      </c>
      <c r="M448" s="414">
        <f>ROUND(+L448*C448,4)</f>
        <v>0</v>
      </c>
      <c r="N448" s="414"/>
      <c r="O448" s="414"/>
      <c r="P448" s="414"/>
      <c r="Q448" s="419">
        <f>ROUND(+N448+O448+P448,4)</f>
        <v>0</v>
      </c>
      <c r="R448" s="419">
        <f>ROUND(IF(+Q448-H448&lt;=0,0,Q448-H448),4)</f>
        <v>0</v>
      </c>
      <c r="S448" s="423">
        <v>0.5</v>
      </c>
      <c r="T448" s="419">
        <f>ROUND(+(R448*C448)*S448,4)</f>
        <v>0</v>
      </c>
      <c r="U448" s="419">
        <f>ROUND(+J448+M448+T448,4)</f>
        <v>0</v>
      </c>
      <c r="V448" s="235"/>
    </row>
    <row r="449" spans="1:22" ht="15.75" x14ac:dyDescent="0.25">
      <c r="A449" s="231"/>
      <c r="B449" s="232"/>
      <c r="C449" s="400"/>
      <c r="D449" s="233"/>
      <c r="E449" s="405"/>
      <c r="F449" s="405"/>
      <c r="G449" s="405"/>
      <c r="H449" s="408">
        <f>ROUND(+E449+F449+G449,4)</f>
        <v>0</v>
      </c>
      <c r="I449" s="234"/>
      <c r="J449" s="411"/>
      <c r="K449" s="411"/>
      <c r="L449" s="414">
        <v>0.1</v>
      </c>
      <c r="M449" s="414">
        <f>ROUND(+L449*C449,4)</f>
        <v>0</v>
      </c>
      <c r="N449" s="414"/>
      <c r="O449" s="414"/>
      <c r="P449" s="414"/>
      <c r="Q449" s="419">
        <f>ROUND(+N449+O449+P449,4)</f>
        <v>0</v>
      </c>
      <c r="R449" s="419">
        <f>ROUND(IF(+Q449-H449&lt;=0,0,Q449-H449),4)</f>
        <v>0</v>
      </c>
      <c r="S449" s="423">
        <v>0.5</v>
      </c>
      <c r="T449" s="419">
        <f>ROUND(+(R449*C449)*S449,4)</f>
        <v>0</v>
      </c>
      <c r="U449" s="419">
        <f>ROUND(+J449+M449+T449,4)</f>
        <v>0</v>
      </c>
      <c r="V449" s="235"/>
    </row>
    <row r="450" spans="1:22" ht="15.75" x14ac:dyDescent="0.25">
      <c r="A450" s="231"/>
      <c r="B450" s="232"/>
      <c r="C450" s="400"/>
      <c r="D450" s="233"/>
      <c r="E450" s="405"/>
      <c r="F450" s="405"/>
      <c r="G450" s="405"/>
      <c r="H450" s="408">
        <f>ROUND(+E450+F450+G450,4)</f>
        <v>0</v>
      </c>
      <c r="I450" s="234"/>
      <c r="J450" s="411"/>
      <c r="K450" s="411"/>
      <c r="L450" s="414">
        <v>0.1</v>
      </c>
      <c r="M450" s="414">
        <f>ROUND(+L450*C450,4)</f>
        <v>0</v>
      </c>
      <c r="N450" s="414"/>
      <c r="O450" s="414"/>
      <c r="P450" s="414"/>
      <c r="Q450" s="419">
        <f>ROUND(+N450+O450+P450,4)</f>
        <v>0</v>
      </c>
      <c r="R450" s="419">
        <f>ROUND(IF(+Q450-H450&lt;=0,0,Q450-H450),4)</f>
        <v>0</v>
      </c>
      <c r="S450" s="423">
        <v>0.5</v>
      </c>
      <c r="T450" s="419">
        <f>ROUND(+(R450*C450)*S450,4)</f>
        <v>0</v>
      </c>
      <c r="U450" s="419">
        <f>ROUND(+J450+M450+T450,4)</f>
        <v>0</v>
      </c>
      <c r="V450" s="235"/>
    </row>
    <row r="451" spans="1:22" ht="15.75" x14ac:dyDescent="0.25">
      <c r="A451" s="231"/>
      <c r="B451" s="232"/>
      <c r="C451" s="400"/>
      <c r="D451" s="233"/>
      <c r="E451" s="405"/>
      <c r="F451" s="405"/>
      <c r="G451" s="405"/>
      <c r="H451" s="408">
        <f>ROUND(+E451+F451+G451,4)</f>
        <v>0</v>
      </c>
      <c r="I451" s="234"/>
      <c r="J451" s="411"/>
      <c r="K451" s="411"/>
      <c r="L451" s="414">
        <v>0.1</v>
      </c>
      <c r="M451" s="414">
        <f>ROUND(+L451*C451,4)</f>
        <v>0</v>
      </c>
      <c r="N451" s="414"/>
      <c r="O451" s="414"/>
      <c r="P451" s="414"/>
      <c r="Q451" s="419">
        <f>ROUND(+N451+O451+P451,4)</f>
        <v>0</v>
      </c>
      <c r="R451" s="419">
        <f>ROUND(IF(+Q451-H451&lt;=0,0,Q451-H451),4)</f>
        <v>0</v>
      </c>
      <c r="S451" s="423">
        <v>0.5</v>
      </c>
      <c r="T451" s="419">
        <f>ROUND(+(R451*C451)*S451,4)</f>
        <v>0</v>
      </c>
      <c r="U451" s="419">
        <f>ROUND(+J451+M451+T451,4)</f>
        <v>0</v>
      </c>
      <c r="V451" s="235"/>
    </row>
    <row r="452" spans="1:22" ht="15.75" x14ac:dyDescent="0.25">
      <c r="A452" s="231"/>
      <c r="B452" s="232"/>
      <c r="C452" s="400"/>
      <c r="D452" s="233"/>
      <c r="E452" s="405"/>
      <c r="F452" s="405"/>
      <c r="G452" s="405"/>
      <c r="H452" s="408">
        <f>ROUND(+E452+F452+G452,4)</f>
        <v>0</v>
      </c>
      <c r="I452" s="234"/>
      <c r="J452" s="411"/>
      <c r="K452" s="411"/>
      <c r="L452" s="414">
        <v>0.1</v>
      </c>
      <c r="M452" s="414">
        <f>ROUND(+L452*C452,4)</f>
        <v>0</v>
      </c>
      <c r="N452" s="414"/>
      <c r="O452" s="414"/>
      <c r="P452" s="414"/>
      <c r="Q452" s="419">
        <f>ROUND(+N452+O452+P452,4)</f>
        <v>0</v>
      </c>
      <c r="R452" s="419">
        <f>ROUND(IF(+Q452-H452&lt;=0,0,Q452-H452),4)</f>
        <v>0</v>
      </c>
      <c r="S452" s="423">
        <v>0.5</v>
      </c>
      <c r="T452" s="419">
        <f>ROUND(+(R452*C452)*S452,4)</f>
        <v>0</v>
      </c>
      <c r="U452" s="419">
        <f>ROUND(+J452+M452+T452,4)</f>
        <v>0</v>
      </c>
      <c r="V452" s="235"/>
    </row>
    <row r="453" spans="1:22" ht="15.75" x14ac:dyDescent="0.25">
      <c r="A453" s="231"/>
      <c r="B453" s="232"/>
      <c r="C453" s="400"/>
      <c r="D453" s="233"/>
      <c r="E453" s="405"/>
      <c r="F453" s="405"/>
      <c r="G453" s="405"/>
      <c r="H453" s="408">
        <f>ROUND(+E453+F453+G453,4)</f>
        <v>0</v>
      </c>
      <c r="I453" s="234"/>
      <c r="J453" s="411"/>
      <c r="K453" s="411"/>
      <c r="L453" s="414">
        <v>0.1</v>
      </c>
      <c r="M453" s="414">
        <f>ROUND(+L453*C453,4)</f>
        <v>0</v>
      </c>
      <c r="N453" s="414"/>
      <c r="O453" s="414"/>
      <c r="P453" s="414"/>
      <c r="Q453" s="419">
        <f>ROUND(+N453+O453+P453,4)</f>
        <v>0</v>
      </c>
      <c r="R453" s="419">
        <f>ROUND(IF(+Q453-H453&lt;=0,0,Q453-H453),4)</f>
        <v>0</v>
      </c>
      <c r="S453" s="423">
        <v>0.5</v>
      </c>
      <c r="T453" s="419">
        <f>ROUND(+(R453*C453)*S453,4)</f>
        <v>0</v>
      </c>
      <c r="U453" s="419">
        <f>ROUND(+J453+M453+T453,4)</f>
        <v>0</v>
      </c>
      <c r="V453" s="235"/>
    </row>
    <row r="454" spans="1:22" ht="15.75" x14ac:dyDescent="0.25">
      <c r="A454" s="231"/>
      <c r="B454" s="232"/>
      <c r="C454" s="400"/>
      <c r="D454" s="233"/>
      <c r="E454" s="405"/>
      <c r="F454" s="405"/>
      <c r="G454" s="405"/>
      <c r="H454" s="408">
        <f>ROUND(+E454+F454+G454,4)</f>
        <v>0</v>
      </c>
      <c r="I454" s="234"/>
      <c r="J454" s="411"/>
      <c r="K454" s="411"/>
      <c r="L454" s="414">
        <v>0.1</v>
      </c>
      <c r="M454" s="414">
        <f>ROUND(+L454*C454,4)</f>
        <v>0</v>
      </c>
      <c r="N454" s="414"/>
      <c r="O454" s="414"/>
      <c r="P454" s="414"/>
      <c r="Q454" s="419">
        <f>ROUND(+N454+O454+P454,4)</f>
        <v>0</v>
      </c>
      <c r="R454" s="419">
        <f>ROUND(IF(+Q454-H454&lt;=0,0,Q454-H454),4)</f>
        <v>0</v>
      </c>
      <c r="S454" s="423">
        <v>0.5</v>
      </c>
      <c r="T454" s="419">
        <f>ROUND(+(R454*C454)*S454,4)</f>
        <v>0</v>
      </c>
      <c r="U454" s="419">
        <f>ROUND(+J454+M454+T454,4)</f>
        <v>0</v>
      </c>
      <c r="V454" s="235"/>
    </row>
    <row r="455" spans="1:22" ht="15.75" x14ac:dyDescent="0.25">
      <c r="A455" s="231"/>
      <c r="B455" s="232"/>
      <c r="C455" s="400"/>
      <c r="D455" s="233"/>
      <c r="E455" s="405"/>
      <c r="F455" s="405"/>
      <c r="G455" s="405"/>
      <c r="H455" s="408">
        <f>ROUND(+E455+F455+G455,4)</f>
        <v>0</v>
      </c>
      <c r="I455" s="234"/>
      <c r="J455" s="411"/>
      <c r="K455" s="411"/>
      <c r="L455" s="414">
        <v>0.1</v>
      </c>
      <c r="M455" s="414">
        <f>ROUND(+L455*C455,4)</f>
        <v>0</v>
      </c>
      <c r="N455" s="414"/>
      <c r="O455" s="414"/>
      <c r="P455" s="414"/>
      <c r="Q455" s="419">
        <f>ROUND(+N455+O455+P455,4)</f>
        <v>0</v>
      </c>
      <c r="R455" s="419">
        <f>ROUND(IF(+Q455-H455&lt;=0,0,Q455-H455),4)</f>
        <v>0</v>
      </c>
      <c r="S455" s="423">
        <v>0.5</v>
      </c>
      <c r="T455" s="419">
        <f>ROUND(+(R455*C455)*S455,4)</f>
        <v>0</v>
      </c>
      <c r="U455" s="419">
        <f>ROUND(+J455+M455+T455,4)</f>
        <v>0</v>
      </c>
      <c r="V455" s="235"/>
    </row>
    <row r="456" spans="1:22" ht="15.75" x14ac:dyDescent="0.25">
      <c r="A456" s="231"/>
      <c r="B456" s="232"/>
      <c r="C456" s="400"/>
      <c r="D456" s="233"/>
      <c r="E456" s="405"/>
      <c r="F456" s="405"/>
      <c r="G456" s="405"/>
      <c r="H456" s="408">
        <f>ROUND(+E456+F456+G456,4)</f>
        <v>0</v>
      </c>
      <c r="I456" s="234"/>
      <c r="J456" s="411"/>
      <c r="K456" s="411"/>
      <c r="L456" s="414">
        <v>0.1</v>
      </c>
      <c r="M456" s="414">
        <f>ROUND(+L456*C456,4)</f>
        <v>0</v>
      </c>
      <c r="N456" s="414"/>
      <c r="O456" s="414"/>
      <c r="P456" s="414"/>
      <c r="Q456" s="419">
        <f>ROUND(+N456+O456+P456,4)</f>
        <v>0</v>
      </c>
      <c r="R456" s="419">
        <f>ROUND(IF(+Q456-H456&lt;=0,0,Q456-H456),4)</f>
        <v>0</v>
      </c>
      <c r="S456" s="423">
        <v>0.5</v>
      </c>
      <c r="T456" s="419">
        <f>ROUND(+(R456*C456)*S456,4)</f>
        <v>0</v>
      </c>
      <c r="U456" s="419">
        <f>ROUND(+J456+M456+T456,4)</f>
        <v>0</v>
      </c>
      <c r="V456" s="235"/>
    </row>
    <row r="457" spans="1:22" ht="15.75" x14ac:dyDescent="0.25">
      <c r="A457" s="231"/>
      <c r="B457" s="232"/>
      <c r="C457" s="400"/>
      <c r="D457" s="233"/>
      <c r="E457" s="405"/>
      <c r="F457" s="405"/>
      <c r="G457" s="405"/>
      <c r="H457" s="408">
        <f>ROUND(+E457+F457+G457,4)</f>
        <v>0</v>
      </c>
      <c r="I457" s="234"/>
      <c r="J457" s="411"/>
      <c r="K457" s="411"/>
      <c r="L457" s="414">
        <v>0.1</v>
      </c>
      <c r="M457" s="414">
        <f>ROUND(+L457*C457,4)</f>
        <v>0</v>
      </c>
      <c r="N457" s="414"/>
      <c r="O457" s="414"/>
      <c r="P457" s="414"/>
      <c r="Q457" s="419">
        <f>ROUND(+N457+O457+P457,4)</f>
        <v>0</v>
      </c>
      <c r="R457" s="419">
        <f>ROUND(IF(+Q457-H457&lt;=0,0,Q457-H457),4)</f>
        <v>0</v>
      </c>
      <c r="S457" s="423">
        <v>0.5</v>
      </c>
      <c r="T457" s="419">
        <f>ROUND(+(R457*C457)*S457,4)</f>
        <v>0</v>
      </c>
      <c r="U457" s="419">
        <f>ROUND(+J457+M457+T457,4)</f>
        <v>0</v>
      </c>
      <c r="V457" s="235"/>
    </row>
    <row r="458" spans="1:22" ht="15.75" x14ac:dyDescent="0.25">
      <c r="A458" s="231"/>
      <c r="B458" s="232"/>
      <c r="C458" s="400"/>
      <c r="D458" s="233"/>
      <c r="E458" s="405"/>
      <c r="F458" s="405"/>
      <c r="G458" s="405"/>
      <c r="H458" s="408">
        <f>ROUND(+E458+F458+G458,4)</f>
        <v>0</v>
      </c>
      <c r="I458" s="234"/>
      <c r="J458" s="411"/>
      <c r="K458" s="411"/>
      <c r="L458" s="414">
        <v>0.1</v>
      </c>
      <c r="M458" s="414">
        <f>ROUND(+L458*C458,4)</f>
        <v>0</v>
      </c>
      <c r="N458" s="414"/>
      <c r="O458" s="414"/>
      <c r="P458" s="414"/>
      <c r="Q458" s="419">
        <f>ROUND(+N458+O458+P458,4)</f>
        <v>0</v>
      </c>
      <c r="R458" s="419">
        <f>ROUND(IF(+Q458-H458&lt;=0,0,Q458-H458),4)</f>
        <v>0</v>
      </c>
      <c r="S458" s="423">
        <v>0.5</v>
      </c>
      <c r="T458" s="419">
        <f>ROUND(+(R458*C458)*S458,4)</f>
        <v>0</v>
      </c>
      <c r="U458" s="419">
        <f>ROUND(+J458+M458+T458,4)</f>
        <v>0</v>
      </c>
      <c r="V458" s="235"/>
    </row>
    <row r="459" spans="1:22" ht="15.75" x14ac:dyDescent="0.25">
      <c r="A459" s="231"/>
      <c r="B459" s="232"/>
      <c r="C459" s="400"/>
      <c r="D459" s="233"/>
      <c r="E459" s="405"/>
      <c r="F459" s="405"/>
      <c r="G459" s="405"/>
      <c r="H459" s="408">
        <f>ROUND(+E459+F459+G459,4)</f>
        <v>0</v>
      </c>
      <c r="I459" s="234"/>
      <c r="J459" s="411"/>
      <c r="K459" s="411"/>
      <c r="L459" s="414">
        <v>0.1</v>
      </c>
      <c r="M459" s="414">
        <f>ROUND(+L459*C459,4)</f>
        <v>0</v>
      </c>
      <c r="N459" s="414"/>
      <c r="O459" s="414"/>
      <c r="P459" s="414"/>
      <c r="Q459" s="419">
        <f>ROUND(+N459+O459+P459,4)</f>
        <v>0</v>
      </c>
      <c r="R459" s="419">
        <f>ROUND(IF(+Q459-H459&lt;=0,0,Q459-H459),4)</f>
        <v>0</v>
      </c>
      <c r="S459" s="423">
        <v>0.5</v>
      </c>
      <c r="T459" s="419">
        <f>ROUND(+(R459*C459)*S459,4)</f>
        <v>0</v>
      </c>
      <c r="U459" s="419">
        <f>ROUND(+J459+M459+T459,4)</f>
        <v>0</v>
      </c>
      <c r="V459" s="235"/>
    </row>
    <row r="460" spans="1:22" ht="15.75" x14ac:dyDescent="0.25">
      <c r="A460" s="231"/>
      <c r="B460" s="232"/>
      <c r="C460" s="400"/>
      <c r="D460" s="233"/>
      <c r="E460" s="405"/>
      <c r="F460" s="405"/>
      <c r="G460" s="405"/>
      <c r="H460" s="408">
        <f>ROUND(+E460+F460+G460,4)</f>
        <v>0</v>
      </c>
      <c r="I460" s="234"/>
      <c r="J460" s="411"/>
      <c r="K460" s="411"/>
      <c r="L460" s="414">
        <v>0.1</v>
      </c>
      <c r="M460" s="414">
        <f>ROUND(+L460*C460,4)</f>
        <v>0</v>
      </c>
      <c r="N460" s="414"/>
      <c r="O460" s="414"/>
      <c r="P460" s="414"/>
      <c r="Q460" s="419">
        <f>ROUND(+N460+O460+P460,4)</f>
        <v>0</v>
      </c>
      <c r="R460" s="419">
        <f>ROUND(IF(+Q460-H460&lt;=0,0,Q460-H460),4)</f>
        <v>0</v>
      </c>
      <c r="S460" s="423">
        <v>0.5</v>
      </c>
      <c r="T460" s="419">
        <f>ROUND(+(R460*C460)*S460,4)</f>
        <v>0</v>
      </c>
      <c r="U460" s="419">
        <f>ROUND(+J460+M460+T460,4)</f>
        <v>0</v>
      </c>
      <c r="V460" s="235"/>
    </row>
    <row r="461" spans="1:22" ht="15.75" x14ac:dyDescent="0.25">
      <c r="A461" s="231"/>
      <c r="B461" s="232"/>
      <c r="C461" s="400"/>
      <c r="D461" s="233"/>
      <c r="E461" s="405"/>
      <c r="F461" s="405"/>
      <c r="G461" s="405"/>
      <c r="H461" s="408">
        <f>ROUND(+E461+F461+G461,4)</f>
        <v>0</v>
      </c>
      <c r="I461" s="234"/>
      <c r="J461" s="411"/>
      <c r="K461" s="411"/>
      <c r="L461" s="414">
        <v>0.1</v>
      </c>
      <c r="M461" s="414">
        <f>ROUND(+L461*C461,4)</f>
        <v>0</v>
      </c>
      <c r="N461" s="414"/>
      <c r="O461" s="414"/>
      <c r="P461" s="414"/>
      <c r="Q461" s="419">
        <f>ROUND(+N461+O461+P461,4)</f>
        <v>0</v>
      </c>
      <c r="R461" s="419">
        <f>ROUND(IF(+Q461-H461&lt;=0,0,Q461-H461),4)</f>
        <v>0</v>
      </c>
      <c r="S461" s="423">
        <v>0.5</v>
      </c>
      <c r="T461" s="419">
        <f>ROUND(+(R461*C461)*S461,4)</f>
        <v>0</v>
      </c>
      <c r="U461" s="419">
        <f>ROUND(+J461+M461+T461,4)</f>
        <v>0</v>
      </c>
      <c r="V461" s="235"/>
    </row>
    <row r="462" spans="1:22" ht="15.75" x14ac:dyDescent="0.25">
      <c r="A462" s="231"/>
      <c r="B462" s="232"/>
      <c r="C462" s="400"/>
      <c r="D462" s="233"/>
      <c r="E462" s="405"/>
      <c r="F462" s="405"/>
      <c r="G462" s="405"/>
      <c r="H462" s="408">
        <f>ROUND(+E462+F462+G462,4)</f>
        <v>0</v>
      </c>
      <c r="I462" s="234"/>
      <c r="J462" s="411"/>
      <c r="K462" s="411"/>
      <c r="L462" s="414">
        <v>0.1</v>
      </c>
      <c r="M462" s="414">
        <f>ROUND(+L462*C462,4)</f>
        <v>0</v>
      </c>
      <c r="N462" s="414"/>
      <c r="O462" s="414"/>
      <c r="P462" s="414"/>
      <c r="Q462" s="419">
        <f>ROUND(+N462+O462+P462,4)</f>
        <v>0</v>
      </c>
      <c r="R462" s="419">
        <f>ROUND(IF(+Q462-H462&lt;=0,0,Q462-H462),4)</f>
        <v>0</v>
      </c>
      <c r="S462" s="423">
        <v>0.5</v>
      </c>
      <c r="T462" s="419">
        <f>ROUND(+(R462*C462)*S462,4)</f>
        <v>0</v>
      </c>
      <c r="U462" s="419">
        <f>ROUND(+J462+M462+T462,4)</f>
        <v>0</v>
      </c>
      <c r="V462" s="235"/>
    </row>
    <row r="463" spans="1:22" ht="15.75" x14ac:dyDescent="0.25">
      <c r="A463" s="231"/>
      <c r="B463" s="232"/>
      <c r="C463" s="400"/>
      <c r="D463" s="233"/>
      <c r="E463" s="405"/>
      <c r="F463" s="405"/>
      <c r="G463" s="405"/>
      <c r="H463" s="408">
        <f>ROUND(+E463+F463+G463,4)</f>
        <v>0</v>
      </c>
      <c r="I463" s="234"/>
      <c r="J463" s="411"/>
      <c r="K463" s="411"/>
      <c r="L463" s="414">
        <v>0.1</v>
      </c>
      <c r="M463" s="414">
        <f>ROUND(+L463*C463,4)</f>
        <v>0</v>
      </c>
      <c r="N463" s="414"/>
      <c r="O463" s="414"/>
      <c r="P463" s="414"/>
      <c r="Q463" s="419">
        <f>ROUND(+N463+O463+P463,4)</f>
        <v>0</v>
      </c>
      <c r="R463" s="419">
        <f>ROUND(IF(+Q463-H463&lt;=0,0,Q463-H463),4)</f>
        <v>0</v>
      </c>
      <c r="S463" s="423">
        <v>0.5</v>
      </c>
      <c r="T463" s="419">
        <f>ROUND(+(R463*C463)*S463,4)</f>
        <v>0</v>
      </c>
      <c r="U463" s="419">
        <f>ROUND(+J463+M463+T463,4)</f>
        <v>0</v>
      </c>
      <c r="V463" s="235"/>
    </row>
    <row r="464" spans="1:22" ht="15.75" x14ac:dyDescent="0.25">
      <c r="A464" s="231"/>
      <c r="B464" s="232"/>
      <c r="C464" s="400"/>
      <c r="D464" s="233"/>
      <c r="E464" s="405"/>
      <c r="F464" s="405"/>
      <c r="G464" s="405"/>
      <c r="H464" s="408">
        <f>ROUND(+E464+F464+G464,4)</f>
        <v>0</v>
      </c>
      <c r="I464" s="234"/>
      <c r="J464" s="411"/>
      <c r="K464" s="411"/>
      <c r="L464" s="414">
        <v>0.1</v>
      </c>
      <c r="M464" s="414">
        <f>ROUND(+L464*C464,4)</f>
        <v>0</v>
      </c>
      <c r="N464" s="414"/>
      <c r="O464" s="414"/>
      <c r="P464" s="414"/>
      <c r="Q464" s="419">
        <f>ROUND(+N464+O464+P464,4)</f>
        <v>0</v>
      </c>
      <c r="R464" s="419">
        <f>ROUND(IF(+Q464-H464&lt;=0,0,Q464-H464),4)</f>
        <v>0</v>
      </c>
      <c r="S464" s="423">
        <v>0.5</v>
      </c>
      <c r="T464" s="419">
        <f>ROUND(+(R464*C464)*S464,4)</f>
        <v>0</v>
      </c>
      <c r="U464" s="419">
        <f>ROUND(+J464+M464+T464,4)</f>
        <v>0</v>
      </c>
      <c r="V464" s="235"/>
    </row>
    <row r="465" spans="1:22" ht="15.75" x14ac:dyDescent="0.25">
      <c r="A465" s="231"/>
      <c r="B465" s="232"/>
      <c r="C465" s="400"/>
      <c r="D465" s="233"/>
      <c r="E465" s="405"/>
      <c r="F465" s="405"/>
      <c r="G465" s="405"/>
      <c r="H465" s="408">
        <f>ROUND(+E465+F465+G465,4)</f>
        <v>0</v>
      </c>
      <c r="I465" s="234"/>
      <c r="J465" s="411"/>
      <c r="K465" s="411"/>
      <c r="L465" s="414">
        <v>0.1</v>
      </c>
      <c r="M465" s="414">
        <f>ROUND(+L465*C465,4)</f>
        <v>0</v>
      </c>
      <c r="N465" s="414"/>
      <c r="O465" s="414"/>
      <c r="P465" s="414"/>
      <c r="Q465" s="419">
        <f>ROUND(+N465+O465+P465,4)</f>
        <v>0</v>
      </c>
      <c r="R465" s="419">
        <f>ROUND(IF(+Q465-H465&lt;=0,0,Q465-H465),4)</f>
        <v>0</v>
      </c>
      <c r="S465" s="423">
        <v>0.5</v>
      </c>
      <c r="T465" s="419">
        <f>ROUND(+(R465*C465)*S465,4)</f>
        <v>0</v>
      </c>
      <c r="U465" s="419">
        <f>ROUND(+J465+M465+T465,4)</f>
        <v>0</v>
      </c>
      <c r="V465" s="235"/>
    </row>
    <row r="466" spans="1:22" ht="15.75" x14ac:dyDescent="0.25">
      <c r="A466" s="231"/>
      <c r="B466" s="232"/>
      <c r="C466" s="400"/>
      <c r="D466" s="233"/>
      <c r="E466" s="405"/>
      <c r="F466" s="405"/>
      <c r="G466" s="405"/>
      <c r="H466" s="408">
        <f>ROUND(+E466+F466+G466,4)</f>
        <v>0</v>
      </c>
      <c r="I466" s="234"/>
      <c r="J466" s="411"/>
      <c r="K466" s="411"/>
      <c r="L466" s="414">
        <v>0.1</v>
      </c>
      <c r="M466" s="414">
        <f>ROUND(+L466*C466,4)</f>
        <v>0</v>
      </c>
      <c r="N466" s="414"/>
      <c r="O466" s="414"/>
      <c r="P466" s="414"/>
      <c r="Q466" s="419">
        <f>ROUND(+N466+O466+P466,4)</f>
        <v>0</v>
      </c>
      <c r="R466" s="419">
        <f>ROUND(IF(+Q466-H466&lt;=0,0,Q466-H466),4)</f>
        <v>0</v>
      </c>
      <c r="S466" s="423">
        <v>0.5</v>
      </c>
      <c r="T466" s="419">
        <f>ROUND(+(R466*C466)*S466,4)</f>
        <v>0</v>
      </c>
      <c r="U466" s="419">
        <f>ROUND(+J466+M466+T466,4)</f>
        <v>0</v>
      </c>
      <c r="V466" s="235"/>
    </row>
    <row r="467" spans="1:22" ht="15.75" x14ac:dyDescent="0.25">
      <c r="A467" s="231"/>
      <c r="B467" s="232"/>
      <c r="C467" s="400"/>
      <c r="D467" s="233"/>
      <c r="E467" s="405"/>
      <c r="F467" s="405"/>
      <c r="G467" s="405"/>
      <c r="H467" s="408">
        <f>ROUND(+E467+F467+G467,4)</f>
        <v>0</v>
      </c>
      <c r="I467" s="234"/>
      <c r="J467" s="411"/>
      <c r="K467" s="411"/>
      <c r="L467" s="414">
        <v>0.1</v>
      </c>
      <c r="M467" s="414">
        <f>ROUND(+L467*C467,4)</f>
        <v>0</v>
      </c>
      <c r="N467" s="414"/>
      <c r="O467" s="414"/>
      <c r="P467" s="414"/>
      <c r="Q467" s="419">
        <f>ROUND(+N467+O467+P467,4)</f>
        <v>0</v>
      </c>
      <c r="R467" s="419">
        <f>ROUND(IF(+Q467-H467&lt;=0,0,Q467-H467),4)</f>
        <v>0</v>
      </c>
      <c r="S467" s="423">
        <v>0.5</v>
      </c>
      <c r="T467" s="419">
        <f>ROUND(+(R467*C467)*S467,4)</f>
        <v>0</v>
      </c>
      <c r="U467" s="419">
        <f>ROUND(+J467+M467+T467,4)</f>
        <v>0</v>
      </c>
      <c r="V467" s="235"/>
    </row>
    <row r="468" spans="1:22" ht="15.75" x14ac:dyDescent="0.25">
      <c r="A468" s="231"/>
      <c r="B468" s="232"/>
      <c r="C468" s="400"/>
      <c r="D468" s="233"/>
      <c r="E468" s="405"/>
      <c r="F468" s="405"/>
      <c r="G468" s="405"/>
      <c r="H468" s="408">
        <f>ROUND(+E468+F468+G468,4)</f>
        <v>0</v>
      </c>
      <c r="I468" s="234"/>
      <c r="J468" s="411"/>
      <c r="K468" s="411"/>
      <c r="L468" s="414">
        <v>0.1</v>
      </c>
      <c r="M468" s="414">
        <f>ROUND(+L468*C468,4)</f>
        <v>0</v>
      </c>
      <c r="N468" s="414"/>
      <c r="O468" s="414"/>
      <c r="P468" s="414"/>
      <c r="Q468" s="419">
        <f>ROUND(+N468+O468+P468,4)</f>
        <v>0</v>
      </c>
      <c r="R468" s="419">
        <f>ROUND(IF(+Q468-H468&lt;=0,0,Q468-H468),4)</f>
        <v>0</v>
      </c>
      <c r="S468" s="423">
        <v>0.5</v>
      </c>
      <c r="T468" s="419">
        <f>ROUND(+(R468*C468)*S468,4)</f>
        <v>0</v>
      </c>
      <c r="U468" s="419">
        <f>ROUND(+J468+M468+T468,4)</f>
        <v>0</v>
      </c>
      <c r="V468" s="235"/>
    </row>
    <row r="469" spans="1:22" ht="15.75" x14ac:dyDescent="0.25">
      <c r="A469" s="231"/>
      <c r="B469" s="232"/>
      <c r="C469" s="400"/>
      <c r="D469" s="233"/>
      <c r="E469" s="405"/>
      <c r="F469" s="405"/>
      <c r="G469" s="405"/>
      <c r="H469" s="408">
        <f>ROUND(+E469+F469+G469,4)</f>
        <v>0</v>
      </c>
      <c r="I469" s="234"/>
      <c r="J469" s="411"/>
      <c r="K469" s="411"/>
      <c r="L469" s="414">
        <v>0.1</v>
      </c>
      <c r="M469" s="414">
        <f>ROUND(+L469*C469,4)</f>
        <v>0</v>
      </c>
      <c r="N469" s="414"/>
      <c r="O469" s="414"/>
      <c r="P469" s="414"/>
      <c r="Q469" s="419">
        <f>ROUND(+N469+O469+P469,4)</f>
        <v>0</v>
      </c>
      <c r="R469" s="419">
        <f>ROUND(IF(+Q469-H469&lt;=0,0,Q469-H469),4)</f>
        <v>0</v>
      </c>
      <c r="S469" s="423">
        <v>0.5</v>
      </c>
      <c r="T469" s="419">
        <f>ROUND(+(R469*C469)*S469,4)</f>
        <v>0</v>
      </c>
      <c r="U469" s="419">
        <f>ROUND(+J469+M469+T469,4)</f>
        <v>0</v>
      </c>
      <c r="V469" s="235"/>
    </row>
    <row r="470" spans="1:22" ht="15.75" x14ac:dyDescent="0.25">
      <c r="A470" s="231"/>
      <c r="B470" s="232"/>
      <c r="C470" s="400"/>
      <c r="D470" s="233"/>
      <c r="E470" s="405"/>
      <c r="F470" s="405"/>
      <c r="G470" s="405"/>
      <c r="H470" s="408">
        <f>ROUND(+E470+F470+G470,4)</f>
        <v>0</v>
      </c>
      <c r="I470" s="234"/>
      <c r="J470" s="411"/>
      <c r="K470" s="411"/>
      <c r="L470" s="414">
        <v>0.1</v>
      </c>
      <c r="M470" s="414">
        <f>ROUND(+L470*C470,4)</f>
        <v>0</v>
      </c>
      <c r="N470" s="414"/>
      <c r="O470" s="414"/>
      <c r="P470" s="414"/>
      <c r="Q470" s="419">
        <f>ROUND(+N470+O470+P470,4)</f>
        <v>0</v>
      </c>
      <c r="R470" s="419">
        <f>ROUND(IF(+Q470-H470&lt;=0,0,Q470-H470),4)</f>
        <v>0</v>
      </c>
      <c r="S470" s="423">
        <v>0.5</v>
      </c>
      <c r="T470" s="419">
        <f>ROUND(+(R470*C470)*S470,4)</f>
        <v>0</v>
      </c>
      <c r="U470" s="419">
        <f>ROUND(+J470+M470+T470,4)</f>
        <v>0</v>
      </c>
      <c r="V470" s="235"/>
    </row>
    <row r="471" spans="1:22" ht="15.75" x14ac:dyDescent="0.25">
      <c r="A471" s="231"/>
      <c r="B471" s="232"/>
      <c r="C471" s="400"/>
      <c r="D471" s="233"/>
      <c r="E471" s="405"/>
      <c r="F471" s="405"/>
      <c r="G471" s="405"/>
      <c r="H471" s="408">
        <f>ROUND(+E471+F471+G471,4)</f>
        <v>0</v>
      </c>
      <c r="I471" s="234"/>
      <c r="J471" s="411"/>
      <c r="K471" s="411"/>
      <c r="L471" s="414">
        <v>0.1</v>
      </c>
      <c r="M471" s="414">
        <f>ROUND(+L471*C471,4)</f>
        <v>0</v>
      </c>
      <c r="N471" s="414"/>
      <c r="O471" s="414"/>
      <c r="P471" s="414"/>
      <c r="Q471" s="419">
        <f>ROUND(+N471+O471+P471,4)</f>
        <v>0</v>
      </c>
      <c r="R471" s="419">
        <f>ROUND(IF(+Q471-H471&lt;=0,0,Q471-H471),4)</f>
        <v>0</v>
      </c>
      <c r="S471" s="423">
        <v>0.5</v>
      </c>
      <c r="T471" s="419">
        <f>ROUND(+(R471*C471)*S471,4)</f>
        <v>0</v>
      </c>
      <c r="U471" s="419">
        <f>ROUND(+J471+M471+T471,4)</f>
        <v>0</v>
      </c>
      <c r="V471" s="235"/>
    </row>
    <row r="472" spans="1:22" ht="15.75" x14ac:dyDescent="0.25">
      <c r="A472" s="231"/>
      <c r="B472" s="232"/>
      <c r="C472" s="400"/>
      <c r="D472" s="233"/>
      <c r="E472" s="405"/>
      <c r="F472" s="405"/>
      <c r="G472" s="405"/>
      <c r="H472" s="408">
        <f>ROUND(+E472+F472+G472,4)</f>
        <v>0</v>
      </c>
      <c r="I472" s="234"/>
      <c r="J472" s="411"/>
      <c r="K472" s="411"/>
      <c r="L472" s="414">
        <v>0.1</v>
      </c>
      <c r="M472" s="414">
        <f>ROUND(+L472*C472,4)</f>
        <v>0</v>
      </c>
      <c r="N472" s="414"/>
      <c r="O472" s="414"/>
      <c r="P472" s="414"/>
      <c r="Q472" s="419">
        <f>ROUND(+N472+O472+P472,4)</f>
        <v>0</v>
      </c>
      <c r="R472" s="419">
        <f>ROUND(IF(+Q472-H472&lt;=0,0,Q472-H472),4)</f>
        <v>0</v>
      </c>
      <c r="S472" s="423">
        <v>0.5</v>
      </c>
      <c r="T472" s="419">
        <f>ROUND(+(R472*C472)*S472,4)</f>
        <v>0</v>
      </c>
      <c r="U472" s="419">
        <f>ROUND(+J472+M472+T472,4)</f>
        <v>0</v>
      </c>
      <c r="V472" s="235"/>
    </row>
    <row r="473" spans="1:22" ht="15.75" x14ac:dyDescent="0.25">
      <c r="A473" s="231"/>
      <c r="B473" s="232"/>
      <c r="C473" s="400"/>
      <c r="D473" s="233"/>
      <c r="E473" s="405"/>
      <c r="F473" s="405"/>
      <c r="G473" s="405"/>
      <c r="H473" s="408">
        <f>ROUND(+E473+F473+G473,4)</f>
        <v>0</v>
      </c>
      <c r="I473" s="234"/>
      <c r="J473" s="411"/>
      <c r="K473" s="411"/>
      <c r="L473" s="414">
        <v>0.1</v>
      </c>
      <c r="M473" s="414">
        <f>ROUND(+L473*C473,4)</f>
        <v>0</v>
      </c>
      <c r="N473" s="414"/>
      <c r="O473" s="414"/>
      <c r="P473" s="414"/>
      <c r="Q473" s="419">
        <f>ROUND(+N473+O473+P473,4)</f>
        <v>0</v>
      </c>
      <c r="R473" s="419">
        <f>ROUND(IF(+Q473-H473&lt;=0,0,Q473-H473),4)</f>
        <v>0</v>
      </c>
      <c r="S473" s="423">
        <v>0.5</v>
      </c>
      <c r="T473" s="419">
        <f>ROUND(+(R473*C473)*S473,4)</f>
        <v>0</v>
      </c>
      <c r="U473" s="419">
        <f>ROUND(+J473+M473+T473,4)</f>
        <v>0</v>
      </c>
      <c r="V473" s="235"/>
    </row>
    <row r="474" spans="1:22" ht="15.75" x14ac:dyDescent="0.25">
      <c r="A474" s="231"/>
      <c r="B474" s="232"/>
      <c r="C474" s="400"/>
      <c r="D474" s="233"/>
      <c r="E474" s="405"/>
      <c r="F474" s="405"/>
      <c r="G474" s="405"/>
      <c r="H474" s="408">
        <f>ROUND(+E474+F474+G474,4)</f>
        <v>0</v>
      </c>
      <c r="I474" s="234"/>
      <c r="J474" s="411"/>
      <c r="K474" s="411"/>
      <c r="L474" s="414">
        <v>0.1</v>
      </c>
      <c r="M474" s="414">
        <f>ROUND(+L474*C474,4)</f>
        <v>0</v>
      </c>
      <c r="N474" s="414"/>
      <c r="O474" s="414"/>
      <c r="P474" s="414"/>
      <c r="Q474" s="419">
        <f>ROUND(+N474+O474+P474,4)</f>
        <v>0</v>
      </c>
      <c r="R474" s="419">
        <f>ROUND(IF(+Q474-H474&lt;=0,0,Q474-H474),4)</f>
        <v>0</v>
      </c>
      <c r="S474" s="423">
        <v>0.5</v>
      </c>
      <c r="T474" s="419">
        <f>ROUND(+(R474*C474)*S474,4)</f>
        <v>0</v>
      </c>
      <c r="U474" s="419">
        <f>ROUND(+J474+M474+T474,4)</f>
        <v>0</v>
      </c>
      <c r="V474" s="235"/>
    </row>
    <row r="475" spans="1:22" ht="15.75" x14ac:dyDescent="0.25">
      <c r="A475" s="231"/>
      <c r="B475" s="232"/>
      <c r="C475" s="400"/>
      <c r="D475" s="233"/>
      <c r="E475" s="405"/>
      <c r="F475" s="405"/>
      <c r="G475" s="405"/>
      <c r="H475" s="408">
        <f>ROUND(+E475+F475+G475,4)</f>
        <v>0</v>
      </c>
      <c r="I475" s="234"/>
      <c r="J475" s="411"/>
      <c r="K475" s="411"/>
      <c r="L475" s="414">
        <v>0.1</v>
      </c>
      <c r="M475" s="414">
        <f>ROUND(+L475*C475,4)</f>
        <v>0</v>
      </c>
      <c r="N475" s="414"/>
      <c r="O475" s="414"/>
      <c r="P475" s="414"/>
      <c r="Q475" s="419">
        <f>ROUND(+N475+O475+P475,4)</f>
        <v>0</v>
      </c>
      <c r="R475" s="419">
        <f>ROUND(IF(+Q475-H475&lt;=0,0,Q475-H475),4)</f>
        <v>0</v>
      </c>
      <c r="S475" s="423">
        <v>0.5</v>
      </c>
      <c r="T475" s="419">
        <f>ROUND(+(R475*C475)*S475,4)</f>
        <v>0</v>
      </c>
      <c r="U475" s="419">
        <f>ROUND(+J475+M475+T475,4)</f>
        <v>0</v>
      </c>
      <c r="V475" s="235"/>
    </row>
    <row r="476" spans="1:22" ht="15.75" x14ac:dyDescent="0.25">
      <c r="A476" s="231"/>
      <c r="B476" s="232"/>
      <c r="C476" s="400"/>
      <c r="D476" s="233"/>
      <c r="E476" s="405"/>
      <c r="F476" s="405"/>
      <c r="G476" s="405"/>
      <c r="H476" s="408">
        <f>ROUND(+E476+F476+G476,4)</f>
        <v>0</v>
      </c>
      <c r="I476" s="234"/>
      <c r="J476" s="411"/>
      <c r="K476" s="411"/>
      <c r="L476" s="414">
        <v>0.1</v>
      </c>
      <c r="M476" s="414">
        <f>ROUND(+L476*C476,4)</f>
        <v>0</v>
      </c>
      <c r="N476" s="414"/>
      <c r="O476" s="414"/>
      <c r="P476" s="414"/>
      <c r="Q476" s="419">
        <f>ROUND(+N476+O476+P476,4)</f>
        <v>0</v>
      </c>
      <c r="R476" s="419">
        <f>ROUND(IF(+Q476-H476&lt;=0,0,Q476-H476),4)</f>
        <v>0</v>
      </c>
      <c r="S476" s="423">
        <v>0.5</v>
      </c>
      <c r="T476" s="419">
        <f>ROUND(+(R476*C476)*S476,4)</f>
        <v>0</v>
      </c>
      <c r="U476" s="419">
        <f>ROUND(+J476+M476+T476,4)</f>
        <v>0</v>
      </c>
      <c r="V476" s="235"/>
    </row>
    <row r="477" spans="1:22" ht="15.75" x14ac:dyDescent="0.25">
      <c r="A477" s="231"/>
      <c r="B477" s="232"/>
      <c r="C477" s="400"/>
      <c r="D477" s="233"/>
      <c r="E477" s="405"/>
      <c r="F477" s="405"/>
      <c r="G477" s="405"/>
      <c r="H477" s="408">
        <f>ROUND(+E477+F477+G477,4)</f>
        <v>0</v>
      </c>
      <c r="I477" s="234"/>
      <c r="J477" s="411"/>
      <c r="K477" s="411"/>
      <c r="L477" s="414">
        <v>0.1</v>
      </c>
      <c r="M477" s="414">
        <f>ROUND(+L477*C477,4)</f>
        <v>0</v>
      </c>
      <c r="N477" s="414"/>
      <c r="O477" s="414"/>
      <c r="P477" s="414"/>
      <c r="Q477" s="419">
        <f>ROUND(+N477+O477+P477,4)</f>
        <v>0</v>
      </c>
      <c r="R477" s="419">
        <f>ROUND(IF(+Q477-H477&lt;=0,0,Q477-H477),4)</f>
        <v>0</v>
      </c>
      <c r="S477" s="423">
        <v>0.5</v>
      </c>
      <c r="T477" s="419">
        <f>ROUND(+(R477*C477)*S477,4)</f>
        <v>0</v>
      </c>
      <c r="U477" s="419">
        <f>ROUND(+J477+M477+T477,4)</f>
        <v>0</v>
      </c>
      <c r="V477" s="235"/>
    </row>
    <row r="478" spans="1:22" ht="15.75" x14ac:dyDescent="0.25">
      <c r="A478" s="231"/>
      <c r="B478" s="232"/>
      <c r="C478" s="400"/>
      <c r="D478" s="233"/>
      <c r="E478" s="405"/>
      <c r="F478" s="405"/>
      <c r="G478" s="405"/>
      <c r="H478" s="408">
        <f>ROUND(+E478+F478+G478,4)</f>
        <v>0</v>
      </c>
      <c r="I478" s="234"/>
      <c r="J478" s="411"/>
      <c r="K478" s="411"/>
      <c r="L478" s="414">
        <v>0.1</v>
      </c>
      <c r="M478" s="414">
        <f>ROUND(+L478*C478,4)</f>
        <v>0</v>
      </c>
      <c r="N478" s="414"/>
      <c r="O478" s="414"/>
      <c r="P478" s="414"/>
      <c r="Q478" s="419">
        <f>ROUND(+N478+O478+P478,4)</f>
        <v>0</v>
      </c>
      <c r="R478" s="419">
        <f>ROUND(IF(+Q478-H478&lt;=0,0,Q478-H478),4)</f>
        <v>0</v>
      </c>
      <c r="S478" s="423">
        <v>0.5</v>
      </c>
      <c r="T478" s="419">
        <f>ROUND(+(R478*C478)*S478,4)</f>
        <v>0</v>
      </c>
      <c r="U478" s="419">
        <f>ROUND(+J478+M478+T478,4)</f>
        <v>0</v>
      </c>
      <c r="V478" s="235"/>
    </row>
    <row r="479" spans="1:22" ht="15.75" x14ac:dyDescent="0.25">
      <c r="A479" s="231"/>
      <c r="B479" s="232"/>
      <c r="C479" s="400"/>
      <c r="D479" s="233"/>
      <c r="E479" s="405"/>
      <c r="F479" s="405"/>
      <c r="G479" s="405"/>
      <c r="H479" s="408">
        <f>ROUND(+E479+F479+G479,4)</f>
        <v>0</v>
      </c>
      <c r="I479" s="234"/>
      <c r="J479" s="411"/>
      <c r="K479" s="411"/>
      <c r="L479" s="414">
        <v>0.1</v>
      </c>
      <c r="M479" s="414">
        <f>ROUND(+L479*C479,4)</f>
        <v>0</v>
      </c>
      <c r="N479" s="414"/>
      <c r="O479" s="414"/>
      <c r="P479" s="414"/>
      <c r="Q479" s="419">
        <f>ROUND(+N479+O479+P479,4)</f>
        <v>0</v>
      </c>
      <c r="R479" s="419">
        <f>ROUND(IF(+Q479-H479&lt;=0,0,Q479-H479),4)</f>
        <v>0</v>
      </c>
      <c r="S479" s="423">
        <v>0.5</v>
      </c>
      <c r="T479" s="419">
        <f>ROUND(+(R479*C479)*S479,4)</f>
        <v>0</v>
      </c>
      <c r="U479" s="419">
        <f>ROUND(+J479+M479+T479,4)</f>
        <v>0</v>
      </c>
      <c r="V479" s="235"/>
    </row>
    <row r="480" spans="1:22" ht="15.75" x14ac:dyDescent="0.25">
      <c r="A480" s="231"/>
      <c r="B480" s="232"/>
      <c r="C480" s="400"/>
      <c r="D480" s="233"/>
      <c r="E480" s="405"/>
      <c r="F480" s="405"/>
      <c r="G480" s="405"/>
      <c r="H480" s="408">
        <f>ROUND(+E480+F480+G480,4)</f>
        <v>0</v>
      </c>
      <c r="I480" s="234"/>
      <c r="J480" s="411"/>
      <c r="K480" s="411"/>
      <c r="L480" s="414">
        <v>0.1</v>
      </c>
      <c r="M480" s="414">
        <f>ROUND(+L480*C480,4)</f>
        <v>0</v>
      </c>
      <c r="N480" s="414"/>
      <c r="O480" s="414"/>
      <c r="P480" s="414"/>
      <c r="Q480" s="419">
        <f>ROUND(+N480+O480+P480,4)</f>
        <v>0</v>
      </c>
      <c r="R480" s="419">
        <f>ROUND(IF(+Q480-H480&lt;=0,0,Q480-H480),4)</f>
        <v>0</v>
      </c>
      <c r="S480" s="423">
        <v>0.5</v>
      </c>
      <c r="T480" s="419">
        <f>ROUND(+(R480*C480)*S480,4)</f>
        <v>0</v>
      </c>
      <c r="U480" s="419">
        <f>ROUND(+J480+M480+T480,4)</f>
        <v>0</v>
      </c>
      <c r="V480" s="235"/>
    </row>
    <row r="481" spans="1:22" ht="15.75" x14ac:dyDescent="0.25">
      <c r="A481" s="231"/>
      <c r="B481" s="232"/>
      <c r="C481" s="400"/>
      <c r="D481" s="233"/>
      <c r="E481" s="405"/>
      <c r="F481" s="405"/>
      <c r="G481" s="405"/>
      <c r="H481" s="408">
        <f>ROUND(+E481+F481+G481,4)</f>
        <v>0</v>
      </c>
      <c r="I481" s="234"/>
      <c r="J481" s="411"/>
      <c r="K481" s="411"/>
      <c r="L481" s="414">
        <v>0.1</v>
      </c>
      <c r="M481" s="414">
        <f>ROUND(+L481*C481,4)</f>
        <v>0</v>
      </c>
      <c r="N481" s="414"/>
      <c r="O481" s="414"/>
      <c r="P481" s="414"/>
      <c r="Q481" s="419">
        <f>ROUND(+N481+O481+P481,4)</f>
        <v>0</v>
      </c>
      <c r="R481" s="419">
        <f>ROUND(IF(+Q481-H481&lt;=0,0,Q481-H481),4)</f>
        <v>0</v>
      </c>
      <c r="S481" s="423">
        <v>0.5</v>
      </c>
      <c r="T481" s="419">
        <f>ROUND(+(R481*C481)*S481,4)</f>
        <v>0</v>
      </c>
      <c r="U481" s="419">
        <f>ROUND(+J481+M481+T481,4)</f>
        <v>0</v>
      </c>
      <c r="V481" s="235"/>
    </row>
    <row r="482" spans="1:22" ht="15.75" x14ac:dyDescent="0.25">
      <c r="A482" s="231"/>
      <c r="B482" s="232"/>
      <c r="C482" s="400"/>
      <c r="D482" s="233"/>
      <c r="E482" s="405"/>
      <c r="F482" s="405"/>
      <c r="G482" s="405"/>
      <c r="H482" s="408">
        <f>ROUND(+E482+F482+G482,4)</f>
        <v>0</v>
      </c>
      <c r="I482" s="234"/>
      <c r="J482" s="411"/>
      <c r="K482" s="411"/>
      <c r="L482" s="414">
        <v>0.1</v>
      </c>
      <c r="M482" s="414">
        <f>ROUND(+L482*C482,4)</f>
        <v>0</v>
      </c>
      <c r="N482" s="414"/>
      <c r="O482" s="414"/>
      <c r="P482" s="414"/>
      <c r="Q482" s="419">
        <f>ROUND(+N482+O482+P482,4)</f>
        <v>0</v>
      </c>
      <c r="R482" s="419">
        <f>ROUND(IF(+Q482-H482&lt;=0,0,Q482-H482),4)</f>
        <v>0</v>
      </c>
      <c r="S482" s="423">
        <v>0.5</v>
      </c>
      <c r="T482" s="419">
        <f>ROUND(+(R482*C482)*S482,4)</f>
        <v>0</v>
      </c>
      <c r="U482" s="419">
        <f>ROUND(+J482+M482+T482,4)</f>
        <v>0</v>
      </c>
      <c r="V482" s="235"/>
    </row>
    <row r="483" spans="1:22" ht="15.75" x14ac:dyDescent="0.25">
      <c r="A483" s="231"/>
      <c r="B483" s="232"/>
      <c r="C483" s="400"/>
      <c r="D483" s="233"/>
      <c r="E483" s="405"/>
      <c r="F483" s="405"/>
      <c r="G483" s="405"/>
      <c r="H483" s="408">
        <f>ROUND(+E483+F483+G483,4)</f>
        <v>0</v>
      </c>
      <c r="I483" s="234"/>
      <c r="J483" s="411"/>
      <c r="K483" s="411"/>
      <c r="L483" s="414">
        <v>0.1</v>
      </c>
      <c r="M483" s="414">
        <f>ROUND(+L483*C483,4)</f>
        <v>0</v>
      </c>
      <c r="N483" s="414"/>
      <c r="O483" s="414"/>
      <c r="P483" s="414"/>
      <c r="Q483" s="419">
        <f>ROUND(+N483+O483+P483,4)</f>
        <v>0</v>
      </c>
      <c r="R483" s="419">
        <f>ROUND(IF(+Q483-H483&lt;=0,0,Q483-H483),4)</f>
        <v>0</v>
      </c>
      <c r="S483" s="423">
        <v>0.5</v>
      </c>
      <c r="T483" s="419">
        <f>ROUND(+(R483*C483)*S483,4)</f>
        <v>0</v>
      </c>
      <c r="U483" s="419">
        <f>ROUND(+J483+M483+T483,4)</f>
        <v>0</v>
      </c>
      <c r="V483" s="235"/>
    </row>
    <row r="484" spans="1:22" ht="15.75" x14ac:dyDescent="0.25">
      <c r="A484" s="231"/>
      <c r="B484" s="232"/>
      <c r="C484" s="400"/>
      <c r="D484" s="233"/>
      <c r="E484" s="405"/>
      <c r="F484" s="405"/>
      <c r="G484" s="405"/>
      <c r="H484" s="408">
        <f>ROUND(+E484+F484+G484,4)</f>
        <v>0</v>
      </c>
      <c r="I484" s="234"/>
      <c r="J484" s="411"/>
      <c r="K484" s="411"/>
      <c r="L484" s="414">
        <v>0.1</v>
      </c>
      <c r="M484" s="414">
        <f>ROUND(+L484*C484,4)</f>
        <v>0</v>
      </c>
      <c r="N484" s="414"/>
      <c r="O484" s="414"/>
      <c r="P484" s="414"/>
      <c r="Q484" s="419">
        <f>ROUND(+N484+O484+P484,4)</f>
        <v>0</v>
      </c>
      <c r="R484" s="419">
        <f>ROUND(IF(+Q484-H484&lt;=0,0,Q484-H484),4)</f>
        <v>0</v>
      </c>
      <c r="S484" s="423">
        <v>0.5</v>
      </c>
      <c r="T484" s="419">
        <f>ROUND(+(R484*C484)*S484,4)</f>
        <v>0</v>
      </c>
      <c r="U484" s="419">
        <f>ROUND(+J484+M484+T484,4)</f>
        <v>0</v>
      </c>
      <c r="V484" s="235"/>
    </row>
    <row r="485" spans="1:22" ht="15.75" x14ac:dyDescent="0.25">
      <c r="A485" s="231"/>
      <c r="B485" s="232"/>
      <c r="C485" s="400"/>
      <c r="D485" s="233"/>
      <c r="E485" s="405"/>
      <c r="F485" s="405"/>
      <c r="G485" s="405"/>
      <c r="H485" s="408">
        <f>ROUND(+E485+F485+G485,4)</f>
        <v>0</v>
      </c>
      <c r="I485" s="234"/>
      <c r="J485" s="411"/>
      <c r="K485" s="411"/>
      <c r="L485" s="414">
        <v>0.1</v>
      </c>
      <c r="M485" s="414">
        <f>ROUND(+L485*C485,4)</f>
        <v>0</v>
      </c>
      <c r="N485" s="414"/>
      <c r="O485" s="414"/>
      <c r="P485" s="414"/>
      <c r="Q485" s="419">
        <f>ROUND(+N485+O485+P485,4)</f>
        <v>0</v>
      </c>
      <c r="R485" s="419">
        <f>ROUND(IF(+Q485-H485&lt;=0,0,Q485-H485),4)</f>
        <v>0</v>
      </c>
      <c r="S485" s="423">
        <v>0.5</v>
      </c>
      <c r="T485" s="419">
        <f>ROUND(+(R485*C485)*S485,4)</f>
        <v>0</v>
      </c>
      <c r="U485" s="419">
        <f>ROUND(+J485+M485+T485,4)</f>
        <v>0</v>
      </c>
      <c r="V485" s="235"/>
    </row>
    <row r="486" spans="1:22" ht="15.75" x14ac:dyDescent="0.25">
      <c r="A486" s="231"/>
      <c r="B486" s="232"/>
      <c r="C486" s="400"/>
      <c r="D486" s="233"/>
      <c r="E486" s="405"/>
      <c r="F486" s="405"/>
      <c r="G486" s="405"/>
      <c r="H486" s="408">
        <f>ROUND(+E486+F486+G486,4)</f>
        <v>0</v>
      </c>
      <c r="I486" s="234"/>
      <c r="J486" s="411"/>
      <c r="K486" s="411"/>
      <c r="L486" s="414">
        <v>0.1</v>
      </c>
      <c r="M486" s="414">
        <f>ROUND(+L486*C486,4)</f>
        <v>0</v>
      </c>
      <c r="N486" s="414"/>
      <c r="O486" s="414"/>
      <c r="P486" s="414"/>
      <c r="Q486" s="419">
        <f>ROUND(+N486+O486+P486,4)</f>
        <v>0</v>
      </c>
      <c r="R486" s="419">
        <f>ROUND(IF(+Q486-H486&lt;=0,0,Q486-H486),4)</f>
        <v>0</v>
      </c>
      <c r="S486" s="423">
        <v>0.5</v>
      </c>
      <c r="T486" s="419">
        <f>ROUND(+(R486*C486)*S486,4)</f>
        <v>0</v>
      </c>
      <c r="U486" s="419">
        <f>ROUND(+J486+M486+T486,4)</f>
        <v>0</v>
      </c>
      <c r="V486" s="235"/>
    </row>
    <row r="487" spans="1:22" ht="15.75" x14ac:dyDescent="0.25">
      <c r="A487" s="231"/>
      <c r="B487" s="232"/>
      <c r="C487" s="400"/>
      <c r="D487" s="233"/>
      <c r="E487" s="405"/>
      <c r="F487" s="405"/>
      <c r="G487" s="405"/>
      <c r="H487" s="408">
        <f>ROUND(+E487+F487+G487,4)</f>
        <v>0</v>
      </c>
      <c r="I487" s="234"/>
      <c r="J487" s="411"/>
      <c r="K487" s="411"/>
      <c r="L487" s="414">
        <v>0.1</v>
      </c>
      <c r="M487" s="414">
        <f>ROUND(+L487*C487,4)</f>
        <v>0</v>
      </c>
      <c r="N487" s="414"/>
      <c r="O487" s="414"/>
      <c r="P487" s="414"/>
      <c r="Q487" s="419">
        <f>ROUND(+N487+O487+P487,4)</f>
        <v>0</v>
      </c>
      <c r="R487" s="419">
        <f>ROUND(IF(+Q487-H487&lt;=0,0,Q487-H487),4)</f>
        <v>0</v>
      </c>
      <c r="S487" s="423">
        <v>0.5</v>
      </c>
      <c r="T487" s="419">
        <f>ROUND(+(R487*C487)*S487,4)</f>
        <v>0</v>
      </c>
      <c r="U487" s="419">
        <f>ROUND(+J487+M487+T487,4)</f>
        <v>0</v>
      </c>
      <c r="V487" s="235"/>
    </row>
    <row r="488" spans="1:22" ht="15.75" x14ac:dyDescent="0.25">
      <c r="A488" s="231"/>
      <c r="B488" s="232"/>
      <c r="C488" s="400"/>
      <c r="D488" s="233"/>
      <c r="E488" s="405"/>
      <c r="F488" s="405"/>
      <c r="G488" s="405"/>
      <c r="H488" s="408">
        <f>ROUND(+E488+F488+G488,4)</f>
        <v>0</v>
      </c>
      <c r="I488" s="234"/>
      <c r="J488" s="411"/>
      <c r="K488" s="411"/>
      <c r="L488" s="414">
        <v>0.1</v>
      </c>
      <c r="M488" s="414">
        <f>ROUND(+L488*C488,4)</f>
        <v>0</v>
      </c>
      <c r="N488" s="414"/>
      <c r="O488" s="414"/>
      <c r="P488" s="414"/>
      <c r="Q488" s="419">
        <f>ROUND(+N488+O488+P488,4)</f>
        <v>0</v>
      </c>
      <c r="R488" s="419">
        <f>ROUND(IF(+Q488-H488&lt;=0,0,Q488-H488),4)</f>
        <v>0</v>
      </c>
      <c r="S488" s="423">
        <v>0.5</v>
      </c>
      <c r="T488" s="419">
        <f>ROUND(+(R488*C488)*S488,4)</f>
        <v>0</v>
      </c>
      <c r="U488" s="419">
        <f>ROUND(+J488+M488+T488,4)</f>
        <v>0</v>
      </c>
      <c r="V488" s="235"/>
    </row>
    <row r="489" spans="1:22" ht="15.75" x14ac:dyDescent="0.25">
      <c r="A489" s="231"/>
      <c r="B489" s="232"/>
      <c r="C489" s="400"/>
      <c r="D489" s="233"/>
      <c r="E489" s="405"/>
      <c r="F489" s="405"/>
      <c r="G489" s="405"/>
      <c r="H489" s="408">
        <f>ROUND(+E489+F489+G489,4)</f>
        <v>0</v>
      </c>
      <c r="I489" s="234"/>
      <c r="J489" s="411"/>
      <c r="K489" s="411"/>
      <c r="L489" s="414">
        <v>0.1</v>
      </c>
      <c r="M489" s="414">
        <f>ROUND(+L489*C489,4)</f>
        <v>0</v>
      </c>
      <c r="N489" s="414"/>
      <c r="O489" s="414"/>
      <c r="P489" s="414"/>
      <c r="Q489" s="419">
        <f>ROUND(+N489+O489+P489,4)</f>
        <v>0</v>
      </c>
      <c r="R489" s="419">
        <f>ROUND(IF(+Q489-H489&lt;=0,0,Q489-H489),4)</f>
        <v>0</v>
      </c>
      <c r="S489" s="423">
        <v>0.5</v>
      </c>
      <c r="T489" s="419">
        <f>ROUND(+(R489*C489)*S489,4)</f>
        <v>0</v>
      </c>
      <c r="U489" s="419">
        <f>ROUND(+J489+M489+T489,4)</f>
        <v>0</v>
      </c>
      <c r="V489" s="235"/>
    </row>
    <row r="490" spans="1:22" ht="15.75" x14ac:dyDescent="0.25">
      <c r="A490" s="231"/>
      <c r="B490" s="232"/>
      <c r="C490" s="400"/>
      <c r="D490" s="233"/>
      <c r="E490" s="405"/>
      <c r="F490" s="405"/>
      <c r="G490" s="405"/>
      <c r="H490" s="408">
        <f>ROUND(+E490+F490+G490,4)</f>
        <v>0</v>
      </c>
      <c r="I490" s="234"/>
      <c r="J490" s="411"/>
      <c r="K490" s="411"/>
      <c r="L490" s="414">
        <v>0.1</v>
      </c>
      <c r="M490" s="414">
        <f>ROUND(+L490*C490,4)</f>
        <v>0</v>
      </c>
      <c r="N490" s="414"/>
      <c r="O490" s="414"/>
      <c r="P490" s="414"/>
      <c r="Q490" s="419">
        <f>ROUND(+N490+O490+P490,4)</f>
        <v>0</v>
      </c>
      <c r="R490" s="419">
        <f>ROUND(IF(+Q490-H490&lt;=0,0,Q490-H490),4)</f>
        <v>0</v>
      </c>
      <c r="S490" s="423">
        <v>0.5</v>
      </c>
      <c r="T490" s="419">
        <f>ROUND(+(R490*C490)*S490,4)</f>
        <v>0</v>
      </c>
      <c r="U490" s="419">
        <f>ROUND(+J490+M490+T490,4)</f>
        <v>0</v>
      </c>
      <c r="V490" s="235"/>
    </row>
    <row r="491" spans="1:22" ht="15.75" x14ac:dyDescent="0.25">
      <c r="A491" s="231"/>
      <c r="B491" s="232"/>
      <c r="C491" s="400"/>
      <c r="D491" s="233"/>
      <c r="E491" s="405"/>
      <c r="F491" s="405"/>
      <c r="G491" s="405"/>
      <c r="H491" s="408">
        <f>ROUND(+E491+F491+G491,4)</f>
        <v>0</v>
      </c>
      <c r="I491" s="234"/>
      <c r="J491" s="411"/>
      <c r="K491" s="411"/>
      <c r="L491" s="414">
        <v>0.1</v>
      </c>
      <c r="M491" s="414">
        <f>ROUND(+L491*C491,4)</f>
        <v>0</v>
      </c>
      <c r="N491" s="414"/>
      <c r="O491" s="414"/>
      <c r="P491" s="414"/>
      <c r="Q491" s="419">
        <f>ROUND(+N491+O491+P491,4)</f>
        <v>0</v>
      </c>
      <c r="R491" s="419">
        <f>ROUND(IF(+Q491-H491&lt;=0,0,Q491-H491),4)</f>
        <v>0</v>
      </c>
      <c r="S491" s="423">
        <v>0.5</v>
      </c>
      <c r="T491" s="419">
        <f>ROUND(+(R491*C491)*S491,4)</f>
        <v>0</v>
      </c>
      <c r="U491" s="419">
        <f>ROUND(+J491+M491+T491,4)</f>
        <v>0</v>
      </c>
      <c r="V491" s="235"/>
    </row>
    <row r="492" spans="1:22" ht="15.75" x14ac:dyDescent="0.25">
      <c r="A492" s="231"/>
      <c r="B492" s="232"/>
      <c r="C492" s="400"/>
      <c r="D492" s="233"/>
      <c r="E492" s="405"/>
      <c r="F492" s="405"/>
      <c r="G492" s="405"/>
      <c r="H492" s="408">
        <f>ROUND(+E492+F492+G492,4)</f>
        <v>0</v>
      </c>
      <c r="I492" s="234"/>
      <c r="J492" s="411"/>
      <c r="K492" s="411"/>
      <c r="L492" s="414">
        <v>0.1</v>
      </c>
      <c r="M492" s="414">
        <f>ROUND(+L492*C492,4)</f>
        <v>0</v>
      </c>
      <c r="N492" s="414"/>
      <c r="O492" s="414"/>
      <c r="P492" s="414"/>
      <c r="Q492" s="419">
        <f>ROUND(+N492+O492+P492,4)</f>
        <v>0</v>
      </c>
      <c r="R492" s="419">
        <f>ROUND(IF(+Q492-H492&lt;=0,0,Q492-H492),4)</f>
        <v>0</v>
      </c>
      <c r="S492" s="423">
        <v>0.5</v>
      </c>
      <c r="T492" s="419">
        <f>ROUND(+(R492*C492)*S492,4)</f>
        <v>0</v>
      </c>
      <c r="U492" s="419">
        <f>ROUND(+J492+M492+T492,4)</f>
        <v>0</v>
      </c>
      <c r="V492" s="235"/>
    </row>
    <row r="493" spans="1:22" ht="15.75" x14ac:dyDescent="0.25">
      <c r="A493" s="231"/>
      <c r="B493" s="232"/>
      <c r="C493" s="400"/>
      <c r="D493" s="233"/>
      <c r="E493" s="405"/>
      <c r="F493" s="405"/>
      <c r="G493" s="405"/>
      <c r="H493" s="408">
        <f>ROUND(+E493+F493+G493,4)</f>
        <v>0</v>
      </c>
      <c r="I493" s="234"/>
      <c r="J493" s="411"/>
      <c r="K493" s="411"/>
      <c r="L493" s="414">
        <v>0.1</v>
      </c>
      <c r="M493" s="414">
        <f>ROUND(+L493*C493,4)</f>
        <v>0</v>
      </c>
      <c r="N493" s="414"/>
      <c r="O493" s="414"/>
      <c r="P493" s="414"/>
      <c r="Q493" s="419">
        <f>ROUND(+N493+O493+P493,4)</f>
        <v>0</v>
      </c>
      <c r="R493" s="419">
        <f>ROUND(IF(+Q493-H493&lt;=0,0,Q493-H493),4)</f>
        <v>0</v>
      </c>
      <c r="S493" s="423">
        <v>0.5</v>
      </c>
      <c r="T493" s="419">
        <f>ROUND(+(R493*C493)*S493,4)</f>
        <v>0</v>
      </c>
      <c r="U493" s="419">
        <f>ROUND(+J493+M493+T493,4)</f>
        <v>0</v>
      </c>
      <c r="V493" s="235"/>
    </row>
    <row r="494" spans="1:22" ht="15.75" x14ac:dyDescent="0.25">
      <c r="A494" s="231"/>
      <c r="B494" s="232"/>
      <c r="C494" s="400"/>
      <c r="D494" s="233"/>
      <c r="E494" s="405"/>
      <c r="F494" s="405"/>
      <c r="G494" s="405"/>
      <c r="H494" s="408">
        <f>ROUND(+E494+F494+G494,4)</f>
        <v>0</v>
      </c>
      <c r="I494" s="234"/>
      <c r="J494" s="411"/>
      <c r="K494" s="411"/>
      <c r="L494" s="414">
        <v>0.1</v>
      </c>
      <c r="M494" s="414">
        <f>ROUND(+L494*C494,4)</f>
        <v>0</v>
      </c>
      <c r="N494" s="414"/>
      <c r="O494" s="414"/>
      <c r="P494" s="414"/>
      <c r="Q494" s="419">
        <f>ROUND(+N494+O494+P494,4)</f>
        <v>0</v>
      </c>
      <c r="R494" s="419">
        <f>ROUND(IF(+Q494-H494&lt;=0,0,Q494-H494),4)</f>
        <v>0</v>
      </c>
      <c r="S494" s="423">
        <v>0.5</v>
      </c>
      <c r="T494" s="419">
        <f>ROUND(+(R494*C494)*S494,4)</f>
        <v>0</v>
      </c>
      <c r="U494" s="419">
        <f>ROUND(+J494+M494+T494,4)</f>
        <v>0</v>
      </c>
      <c r="V494" s="235"/>
    </row>
    <row r="495" spans="1:22" ht="15.75" x14ac:dyDescent="0.25">
      <c r="A495" s="231"/>
      <c r="B495" s="232"/>
      <c r="C495" s="400"/>
      <c r="D495" s="233"/>
      <c r="E495" s="405"/>
      <c r="F495" s="405"/>
      <c r="G495" s="405"/>
      <c r="H495" s="408">
        <f>ROUND(+E495+F495+G495,4)</f>
        <v>0</v>
      </c>
      <c r="I495" s="234"/>
      <c r="J495" s="411"/>
      <c r="K495" s="411"/>
      <c r="L495" s="414">
        <v>0.1</v>
      </c>
      <c r="M495" s="414">
        <f>ROUND(+L495*C495,4)</f>
        <v>0</v>
      </c>
      <c r="N495" s="414"/>
      <c r="O495" s="414"/>
      <c r="P495" s="414"/>
      <c r="Q495" s="419">
        <f>ROUND(+N495+O495+P495,4)</f>
        <v>0</v>
      </c>
      <c r="R495" s="419">
        <f>ROUND(IF(+Q495-H495&lt;=0,0,Q495-H495),4)</f>
        <v>0</v>
      </c>
      <c r="S495" s="423">
        <v>0.5</v>
      </c>
      <c r="T495" s="419">
        <f>ROUND(+(R495*C495)*S495,4)</f>
        <v>0</v>
      </c>
      <c r="U495" s="419">
        <f>ROUND(+J495+M495+T495,4)</f>
        <v>0</v>
      </c>
      <c r="V495" s="235"/>
    </row>
    <row r="496" spans="1:22" ht="15.75" x14ac:dyDescent="0.25">
      <c r="A496" s="231"/>
      <c r="B496" s="232"/>
      <c r="C496" s="400"/>
      <c r="D496" s="233"/>
      <c r="E496" s="405"/>
      <c r="F496" s="405"/>
      <c r="G496" s="405"/>
      <c r="H496" s="408">
        <f>ROUND(+E496+F496+G496,4)</f>
        <v>0</v>
      </c>
      <c r="I496" s="234"/>
      <c r="J496" s="411"/>
      <c r="K496" s="411"/>
      <c r="L496" s="414">
        <v>0.1</v>
      </c>
      <c r="M496" s="414">
        <f>ROUND(+L496*C496,4)</f>
        <v>0</v>
      </c>
      <c r="N496" s="414"/>
      <c r="O496" s="414"/>
      <c r="P496" s="414"/>
      <c r="Q496" s="419">
        <f>ROUND(+N496+O496+P496,4)</f>
        <v>0</v>
      </c>
      <c r="R496" s="419">
        <f>ROUND(IF(+Q496-H496&lt;=0,0,Q496-H496),4)</f>
        <v>0</v>
      </c>
      <c r="S496" s="423">
        <v>0.5</v>
      </c>
      <c r="T496" s="419">
        <f>ROUND(+(R496*C496)*S496,4)</f>
        <v>0</v>
      </c>
      <c r="U496" s="419">
        <f>ROUND(+J496+M496+T496,4)</f>
        <v>0</v>
      </c>
      <c r="V496" s="235"/>
    </row>
    <row r="497" spans="1:22" ht="15.75" x14ac:dyDescent="0.25">
      <c r="A497" s="231"/>
      <c r="B497" s="232"/>
      <c r="C497" s="400"/>
      <c r="D497" s="233"/>
      <c r="E497" s="405"/>
      <c r="F497" s="405"/>
      <c r="G497" s="405"/>
      <c r="H497" s="408">
        <f>ROUND(+E497+F497+G497,4)</f>
        <v>0</v>
      </c>
      <c r="I497" s="234"/>
      <c r="J497" s="411"/>
      <c r="K497" s="411"/>
      <c r="L497" s="414">
        <v>0.1</v>
      </c>
      <c r="M497" s="414">
        <f>ROUND(+L497*C497,4)</f>
        <v>0</v>
      </c>
      <c r="N497" s="414"/>
      <c r="O497" s="414"/>
      <c r="P497" s="414"/>
      <c r="Q497" s="419">
        <f>ROUND(+N497+O497+P497,4)</f>
        <v>0</v>
      </c>
      <c r="R497" s="419">
        <f>ROUND(IF(+Q497-H497&lt;=0,0,Q497-H497),4)</f>
        <v>0</v>
      </c>
      <c r="S497" s="423">
        <v>0.5</v>
      </c>
      <c r="T497" s="419">
        <f>ROUND(+(R497*C497)*S497,4)</f>
        <v>0</v>
      </c>
      <c r="U497" s="419">
        <f>ROUND(+J497+M497+T497,4)</f>
        <v>0</v>
      </c>
      <c r="V497" s="235"/>
    </row>
    <row r="498" spans="1:22" ht="15.75" x14ac:dyDescent="0.25">
      <c r="A498" s="231"/>
      <c r="B498" s="232"/>
      <c r="C498" s="400"/>
      <c r="D498" s="233"/>
      <c r="E498" s="405"/>
      <c r="F498" s="405"/>
      <c r="G498" s="405"/>
      <c r="H498" s="408">
        <f>ROUND(+E498+F498+G498,4)</f>
        <v>0</v>
      </c>
      <c r="I498" s="234"/>
      <c r="J498" s="411"/>
      <c r="K498" s="411"/>
      <c r="L498" s="414">
        <v>0.1</v>
      </c>
      <c r="M498" s="414">
        <f>ROUND(+L498*C498,4)</f>
        <v>0</v>
      </c>
      <c r="N498" s="414"/>
      <c r="O498" s="414"/>
      <c r="P498" s="414"/>
      <c r="Q498" s="419">
        <f>ROUND(+N498+O498+P498,4)</f>
        <v>0</v>
      </c>
      <c r="R498" s="419">
        <f>ROUND(IF(+Q498-H498&lt;=0,0,Q498-H498),4)</f>
        <v>0</v>
      </c>
      <c r="S498" s="423">
        <v>0.5</v>
      </c>
      <c r="T498" s="419">
        <f>ROUND(+(R498*C498)*S498,4)</f>
        <v>0</v>
      </c>
      <c r="U498" s="419">
        <f>ROUND(+J498+M498+T498,4)</f>
        <v>0</v>
      </c>
      <c r="V498" s="235"/>
    </row>
    <row r="499" spans="1:22" ht="15.75" x14ac:dyDescent="0.25">
      <c r="A499" s="231"/>
      <c r="B499" s="232"/>
      <c r="C499" s="400"/>
      <c r="D499" s="233"/>
      <c r="E499" s="405"/>
      <c r="F499" s="405"/>
      <c r="G499" s="405"/>
      <c r="H499" s="408">
        <f>ROUND(+E499+F499+G499,4)</f>
        <v>0</v>
      </c>
      <c r="I499" s="234"/>
      <c r="J499" s="411"/>
      <c r="K499" s="411"/>
      <c r="L499" s="414">
        <v>0.1</v>
      </c>
      <c r="M499" s="414">
        <f>ROUND(+L499*C499,4)</f>
        <v>0</v>
      </c>
      <c r="N499" s="414"/>
      <c r="O499" s="414"/>
      <c r="P499" s="414"/>
      <c r="Q499" s="419">
        <f>ROUND(+N499+O499+P499,4)</f>
        <v>0</v>
      </c>
      <c r="R499" s="419">
        <f>ROUND(IF(+Q499-H499&lt;=0,0,Q499-H499),4)</f>
        <v>0</v>
      </c>
      <c r="S499" s="423">
        <v>0.5</v>
      </c>
      <c r="T499" s="419">
        <f>ROUND(+(R499*C499)*S499,4)</f>
        <v>0</v>
      </c>
      <c r="U499" s="419">
        <f>ROUND(+J499+M499+T499,4)</f>
        <v>0</v>
      </c>
      <c r="V499" s="235"/>
    </row>
    <row r="500" spans="1:22" ht="15.75" x14ac:dyDescent="0.25">
      <c r="A500" s="231"/>
      <c r="B500" s="232"/>
      <c r="C500" s="400"/>
      <c r="D500" s="233"/>
      <c r="E500" s="405"/>
      <c r="F500" s="405"/>
      <c r="G500" s="405"/>
      <c r="H500" s="408">
        <f>ROUND(+E500+F500+G500,4)</f>
        <v>0</v>
      </c>
      <c r="I500" s="234"/>
      <c r="J500" s="411"/>
      <c r="K500" s="411"/>
      <c r="L500" s="414">
        <v>0.1</v>
      </c>
      <c r="M500" s="414">
        <f>ROUND(+L500*C500,4)</f>
        <v>0</v>
      </c>
      <c r="N500" s="414"/>
      <c r="O500" s="414"/>
      <c r="P500" s="414"/>
      <c r="Q500" s="419">
        <f>ROUND(+N500+O500+P500,4)</f>
        <v>0</v>
      </c>
      <c r="R500" s="419">
        <f>ROUND(IF(+Q500-H500&lt;=0,0,Q500-H500),4)</f>
        <v>0</v>
      </c>
      <c r="S500" s="423">
        <v>0.5</v>
      </c>
      <c r="T500" s="419">
        <f>ROUND(+(R500*C500)*S500,4)</f>
        <v>0</v>
      </c>
      <c r="U500" s="419">
        <f>ROUND(+J500+M500+T500,4)</f>
        <v>0</v>
      </c>
      <c r="V500" s="235"/>
    </row>
    <row r="501" spans="1:22" ht="15.75" x14ac:dyDescent="0.25">
      <c r="A501" s="231"/>
      <c r="B501" s="232"/>
      <c r="C501" s="400"/>
      <c r="D501" s="233"/>
      <c r="E501" s="405"/>
      <c r="F501" s="405"/>
      <c r="G501" s="405"/>
      <c r="H501" s="408">
        <f>ROUND(+E501+F501+G501,4)</f>
        <v>0</v>
      </c>
      <c r="I501" s="234"/>
      <c r="J501" s="411"/>
      <c r="K501" s="411"/>
      <c r="L501" s="414">
        <v>0.1</v>
      </c>
      <c r="M501" s="414">
        <f>ROUND(+L501*C501,4)</f>
        <v>0</v>
      </c>
      <c r="N501" s="414"/>
      <c r="O501" s="414"/>
      <c r="P501" s="414"/>
      <c r="Q501" s="419">
        <f>ROUND(+N501+O501+P501,4)</f>
        <v>0</v>
      </c>
      <c r="R501" s="419">
        <f>ROUND(IF(+Q501-H501&lt;=0,0,Q501-H501),4)</f>
        <v>0</v>
      </c>
      <c r="S501" s="423">
        <v>0.5</v>
      </c>
      <c r="T501" s="419">
        <f>ROUND(+(R501*C501)*S501,4)</f>
        <v>0</v>
      </c>
      <c r="U501" s="419">
        <f>ROUND(+J501+M501+T501,4)</f>
        <v>0</v>
      </c>
      <c r="V501" s="235"/>
    </row>
    <row r="502" spans="1:22" ht="15.75" x14ac:dyDescent="0.25">
      <c r="A502" s="231"/>
      <c r="B502" s="232"/>
      <c r="C502" s="400"/>
      <c r="D502" s="233"/>
      <c r="E502" s="405"/>
      <c r="F502" s="405"/>
      <c r="G502" s="405"/>
      <c r="H502" s="408">
        <f>ROUND(+E502+F502+G502,4)</f>
        <v>0</v>
      </c>
      <c r="I502" s="234"/>
      <c r="J502" s="411"/>
      <c r="K502" s="411"/>
      <c r="L502" s="414">
        <v>0.1</v>
      </c>
      <c r="M502" s="414">
        <f>ROUND(+L502*C502,4)</f>
        <v>0</v>
      </c>
      <c r="N502" s="414"/>
      <c r="O502" s="414"/>
      <c r="P502" s="414"/>
      <c r="Q502" s="419">
        <f>ROUND(+N502+O502+P502,4)</f>
        <v>0</v>
      </c>
      <c r="R502" s="419">
        <f>ROUND(IF(+Q502-H502&lt;=0,0,Q502-H502),4)</f>
        <v>0</v>
      </c>
      <c r="S502" s="423">
        <v>0.5</v>
      </c>
      <c r="T502" s="419">
        <f>ROUND(+(R502*C502)*S502,4)</f>
        <v>0</v>
      </c>
      <c r="U502" s="419">
        <f>ROUND(+J502+M502+T502,4)</f>
        <v>0</v>
      </c>
      <c r="V502" s="235"/>
    </row>
    <row r="503" spans="1:22" ht="15.75" x14ac:dyDescent="0.25">
      <c r="A503" s="231"/>
      <c r="B503" s="232"/>
      <c r="C503" s="400"/>
      <c r="D503" s="233"/>
      <c r="E503" s="405"/>
      <c r="F503" s="405"/>
      <c r="G503" s="405"/>
      <c r="H503" s="408">
        <f>ROUND(+E503+F503+G503,4)</f>
        <v>0</v>
      </c>
      <c r="I503" s="234"/>
      <c r="J503" s="411"/>
      <c r="K503" s="411"/>
      <c r="L503" s="414">
        <v>0.1</v>
      </c>
      <c r="M503" s="414">
        <f>ROUND(+L503*C503,4)</f>
        <v>0</v>
      </c>
      <c r="N503" s="414"/>
      <c r="O503" s="414"/>
      <c r="P503" s="414"/>
      <c r="Q503" s="419">
        <f>ROUND(+N503+O503+P503,4)</f>
        <v>0</v>
      </c>
      <c r="R503" s="419">
        <f>ROUND(IF(+Q503-H503&lt;=0,0,Q503-H503),4)</f>
        <v>0</v>
      </c>
      <c r="S503" s="423">
        <v>0.5</v>
      </c>
      <c r="T503" s="419">
        <f>ROUND(+(R503*C503)*S503,4)</f>
        <v>0</v>
      </c>
      <c r="U503" s="419">
        <f>ROUND(+J503+M503+T503,4)</f>
        <v>0</v>
      </c>
      <c r="V503" s="235"/>
    </row>
    <row r="504" spans="1:22" ht="15.75" x14ac:dyDescent="0.25">
      <c r="A504" s="231"/>
      <c r="B504" s="232"/>
      <c r="C504" s="400"/>
      <c r="D504" s="233"/>
      <c r="E504" s="405"/>
      <c r="F504" s="405"/>
      <c r="G504" s="405"/>
      <c r="H504" s="408">
        <f>ROUND(+E504+F504+G504,4)</f>
        <v>0</v>
      </c>
      <c r="I504" s="234"/>
      <c r="J504" s="411"/>
      <c r="K504" s="411"/>
      <c r="L504" s="414">
        <v>0.1</v>
      </c>
      <c r="M504" s="414">
        <f>ROUND(+L504*C504,4)</f>
        <v>0</v>
      </c>
      <c r="N504" s="414"/>
      <c r="O504" s="414"/>
      <c r="P504" s="414"/>
      <c r="Q504" s="419">
        <f>ROUND(+N504+O504+P504,4)</f>
        <v>0</v>
      </c>
      <c r="R504" s="419">
        <f>ROUND(IF(+Q504-H504&lt;=0,0,Q504-H504),4)</f>
        <v>0</v>
      </c>
      <c r="S504" s="423">
        <v>0.5</v>
      </c>
      <c r="T504" s="419">
        <f>ROUND(+(R504*C504)*S504,4)</f>
        <v>0</v>
      </c>
      <c r="U504" s="419">
        <f>ROUND(+J504+M504+T504,4)</f>
        <v>0</v>
      </c>
      <c r="V504" s="235"/>
    </row>
    <row r="505" spans="1:22" ht="15.75" x14ac:dyDescent="0.25">
      <c r="A505" s="231"/>
      <c r="B505" s="232"/>
      <c r="C505" s="400"/>
      <c r="D505" s="233"/>
      <c r="E505" s="405"/>
      <c r="F505" s="405"/>
      <c r="G505" s="405"/>
      <c r="H505" s="408">
        <f>ROUND(+E505+F505+G505,4)</f>
        <v>0</v>
      </c>
      <c r="I505" s="234"/>
      <c r="J505" s="411"/>
      <c r="K505" s="411"/>
      <c r="L505" s="414">
        <v>0.1</v>
      </c>
      <c r="M505" s="414">
        <f>ROUND(+L505*C505,4)</f>
        <v>0</v>
      </c>
      <c r="N505" s="414"/>
      <c r="O505" s="414"/>
      <c r="P505" s="414"/>
      <c r="Q505" s="419">
        <f>ROUND(+N505+O505+P505,4)</f>
        <v>0</v>
      </c>
      <c r="R505" s="419">
        <f>ROUND(IF(+Q505-H505&lt;=0,0,Q505-H505),4)</f>
        <v>0</v>
      </c>
      <c r="S505" s="423">
        <v>0.5</v>
      </c>
      <c r="T505" s="419">
        <f>ROUND(+(R505*C505)*S505,4)</f>
        <v>0</v>
      </c>
      <c r="U505" s="419">
        <f>ROUND(+J505+M505+T505,4)</f>
        <v>0</v>
      </c>
      <c r="V505" s="235"/>
    </row>
    <row r="506" spans="1:22" ht="15.75" x14ac:dyDescent="0.25">
      <c r="A506" s="231"/>
      <c r="B506" s="232"/>
      <c r="C506" s="400"/>
      <c r="D506" s="233"/>
      <c r="E506" s="405"/>
      <c r="F506" s="405"/>
      <c r="G506" s="405"/>
      <c r="H506" s="408">
        <f>ROUND(+E506+F506+G506,4)</f>
        <v>0</v>
      </c>
      <c r="I506" s="234"/>
      <c r="J506" s="411"/>
      <c r="K506" s="411"/>
      <c r="L506" s="414">
        <v>0.1</v>
      </c>
      <c r="M506" s="414">
        <f>ROUND(+L506*C506,4)</f>
        <v>0</v>
      </c>
      <c r="N506" s="414"/>
      <c r="O506" s="414"/>
      <c r="P506" s="414"/>
      <c r="Q506" s="419">
        <f>ROUND(+N506+O506+P506,4)</f>
        <v>0</v>
      </c>
      <c r="R506" s="419">
        <f>ROUND(IF(+Q506-H506&lt;=0,0,Q506-H506),4)</f>
        <v>0</v>
      </c>
      <c r="S506" s="423">
        <v>0.5</v>
      </c>
      <c r="T506" s="419">
        <f>ROUND(+(R506*C506)*S506,4)</f>
        <v>0</v>
      </c>
      <c r="U506" s="419">
        <f>ROUND(+J506+M506+T506,4)</f>
        <v>0</v>
      </c>
      <c r="V506" s="235"/>
    </row>
    <row r="507" spans="1:22" ht="15.75" x14ac:dyDescent="0.25">
      <c r="A507" s="231"/>
      <c r="B507" s="232"/>
      <c r="C507" s="400"/>
      <c r="D507" s="233"/>
      <c r="E507" s="405"/>
      <c r="F507" s="405"/>
      <c r="G507" s="405"/>
      <c r="H507" s="408">
        <f>ROUND(+E507+F507+G507,4)</f>
        <v>0</v>
      </c>
      <c r="I507" s="234"/>
      <c r="J507" s="411"/>
      <c r="K507" s="411"/>
      <c r="L507" s="414">
        <v>0.1</v>
      </c>
      <c r="M507" s="414">
        <f>ROUND(+L507*C507,4)</f>
        <v>0</v>
      </c>
      <c r="N507" s="414"/>
      <c r="O507" s="414"/>
      <c r="P507" s="414"/>
      <c r="Q507" s="419">
        <f>ROUND(+N507+O507+P507,4)</f>
        <v>0</v>
      </c>
      <c r="R507" s="419">
        <f>ROUND(IF(+Q507-H507&lt;=0,0,Q507-H507),4)</f>
        <v>0</v>
      </c>
      <c r="S507" s="423">
        <v>0.5</v>
      </c>
      <c r="T507" s="419">
        <f>ROUND(+(R507*C507)*S507,4)</f>
        <v>0</v>
      </c>
      <c r="U507" s="419">
        <f>ROUND(+J507+M507+T507,4)</f>
        <v>0</v>
      </c>
      <c r="V507" s="235"/>
    </row>
    <row r="508" spans="1:22" ht="15.75" x14ac:dyDescent="0.25">
      <c r="A508" s="231"/>
      <c r="B508" s="232"/>
      <c r="C508" s="400"/>
      <c r="D508" s="233"/>
      <c r="E508" s="405"/>
      <c r="F508" s="405"/>
      <c r="G508" s="405"/>
      <c r="H508" s="408">
        <f>ROUND(+E508+F508+G508,4)</f>
        <v>0</v>
      </c>
      <c r="I508" s="234"/>
      <c r="J508" s="411"/>
      <c r="K508" s="411"/>
      <c r="L508" s="414">
        <v>0.1</v>
      </c>
      <c r="M508" s="414">
        <f>ROUND(+L508*C508,4)</f>
        <v>0</v>
      </c>
      <c r="N508" s="414"/>
      <c r="O508" s="414"/>
      <c r="P508" s="414"/>
      <c r="Q508" s="419">
        <f>ROUND(+N508+O508+P508,4)</f>
        <v>0</v>
      </c>
      <c r="R508" s="419">
        <f>ROUND(IF(+Q508-H508&lt;=0,0,Q508-H508),4)</f>
        <v>0</v>
      </c>
      <c r="S508" s="423">
        <v>0.5</v>
      </c>
      <c r="T508" s="419">
        <f>ROUND(+(R508*C508)*S508,4)</f>
        <v>0</v>
      </c>
      <c r="U508" s="419">
        <f>ROUND(+J508+M508+T508,4)</f>
        <v>0</v>
      </c>
      <c r="V508" s="235"/>
    </row>
    <row r="509" spans="1:22" ht="15.75" x14ac:dyDescent="0.25">
      <c r="A509" s="231"/>
      <c r="B509" s="232"/>
      <c r="C509" s="400"/>
      <c r="D509" s="233"/>
      <c r="E509" s="405"/>
      <c r="F509" s="405"/>
      <c r="G509" s="405"/>
      <c r="H509" s="408">
        <f>ROUND(+E509+F509+G509,4)</f>
        <v>0</v>
      </c>
      <c r="I509" s="234"/>
      <c r="J509" s="411"/>
      <c r="K509" s="411"/>
      <c r="L509" s="414">
        <v>0.1</v>
      </c>
      <c r="M509" s="414">
        <f>ROUND(+L509*C509,4)</f>
        <v>0</v>
      </c>
      <c r="N509" s="414"/>
      <c r="O509" s="414"/>
      <c r="P509" s="414"/>
      <c r="Q509" s="419">
        <f>ROUND(+N509+O509+P509,4)</f>
        <v>0</v>
      </c>
      <c r="R509" s="419">
        <f>ROUND(IF(+Q509-H509&lt;=0,0,Q509-H509),4)</f>
        <v>0</v>
      </c>
      <c r="S509" s="423">
        <v>0.5</v>
      </c>
      <c r="T509" s="419">
        <f>ROUND(+(R509*C509)*S509,4)</f>
        <v>0</v>
      </c>
      <c r="U509" s="419">
        <f>ROUND(+J509+M509+T509,4)</f>
        <v>0</v>
      </c>
      <c r="V509" s="235"/>
    </row>
    <row r="510" spans="1:22" ht="15.75" x14ac:dyDescent="0.25">
      <c r="A510" s="231"/>
      <c r="B510" s="232"/>
      <c r="C510" s="400"/>
      <c r="D510" s="233"/>
      <c r="E510" s="405"/>
      <c r="F510" s="405"/>
      <c r="G510" s="405"/>
      <c r="H510" s="408">
        <f>ROUND(+E510+F510+G510,4)</f>
        <v>0</v>
      </c>
      <c r="I510" s="234"/>
      <c r="J510" s="411"/>
      <c r="K510" s="411"/>
      <c r="L510" s="414">
        <v>0.1</v>
      </c>
      <c r="M510" s="414">
        <f>ROUND(+L510*C510,4)</f>
        <v>0</v>
      </c>
      <c r="N510" s="414"/>
      <c r="O510" s="414"/>
      <c r="P510" s="414"/>
      <c r="Q510" s="419">
        <f>ROUND(+N510+O510+P510,4)</f>
        <v>0</v>
      </c>
      <c r="R510" s="419">
        <f>ROUND(IF(+Q510-H510&lt;=0,0,Q510-H510),4)</f>
        <v>0</v>
      </c>
      <c r="S510" s="423">
        <v>0.5</v>
      </c>
      <c r="T510" s="419">
        <f>ROUND(+(R510*C510)*S510,4)</f>
        <v>0</v>
      </c>
      <c r="U510" s="419">
        <f>ROUND(+J510+M510+T510,4)</f>
        <v>0</v>
      </c>
      <c r="V510" s="235"/>
    </row>
    <row r="511" spans="1:22" ht="15.75" x14ac:dyDescent="0.25">
      <c r="A511" s="231"/>
      <c r="B511" s="232"/>
      <c r="C511" s="400"/>
      <c r="D511" s="233"/>
      <c r="E511" s="405"/>
      <c r="F511" s="405"/>
      <c r="G511" s="405"/>
      <c r="H511" s="408">
        <f>ROUND(+E511+F511+G511,4)</f>
        <v>0</v>
      </c>
      <c r="I511" s="234"/>
      <c r="J511" s="411"/>
      <c r="K511" s="411"/>
      <c r="L511" s="414">
        <v>0.1</v>
      </c>
      <c r="M511" s="414">
        <f>ROUND(+L511*C511,4)</f>
        <v>0</v>
      </c>
      <c r="N511" s="414"/>
      <c r="O511" s="414"/>
      <c r="P511" s="414"/>
      <c r="Q511" s="419">
        <f>ROUND(+N511+O511+P511,4)</f>
        <v>0</v>
      </c>
      <c r="R511" s="419">
        <f>ROUND(IF(+Q511-H511&lt;=0,0,Q511-H511),4)</f>
        <v>0</v>
      </c>
      <c r="S511" s="423">
        <v>0.5</v>
      </c>
      <c r="T511" s="419">
        <f>ROUND(+(R511*C511)*S511,4)</f>
        <v>0</v>
      </c>
      <c r="U511" s="419">
        <f>ROUND(+J511+M511+T511,4)</f>
        <v>0</v>
      </c>
      <c r="V511" s="235"/>
    </row>
    <row r="512" spans="1:22" ht="15.75" x14ac:dyDescent="0.25">
      <c r="A512" s="231"/>
      <c r="B512" s="232"/>
      <c r="C512" s="400"/>
      <c r="D512" s="233"/>
      <c r="E512" s="405"/>
      <c r="F512" s="405"/>
      <c r="G512" s="405"/>
      <c r="H512" s="408">
        <f>ROUND(+E512+F512+G512,4)</f>
        <v>0</v>
      </c>
      <c r="I512" s="234"/>
      <c r="J512" s="411"/>
      <c r="K512" s="411"/>
      <c r="L512" s="414">
        <v>0.1</v>
      </c>
      <c r="M512" s="414">
        <f>ROUND(+L512*C512,4)</f>
        <v>0</v>
      </c>
      <c r="N512" s="414"/>
      <c r="O512" s="414"/>
      <c r="P512" s="414"/>
      <c r="Q512" s="419">
        <f>ROUND(+N512+O512+P512,4)</f>
        <v>0</v>
      </c>
      <c r="R512" s="419">
        <f>ROUND(IF(+Q512-H512&lt;=0,0,Q512-H512),4)</f>
        <v>0</v>
      </c>
      <c r="S512" s="423">
        <v>0.5</v>
      </c>
      <c r="T512" s="419">
        <f>ROUND(+(R512*C512)*S512,4)</f>
        <v>0</v>
      </c>
      <c r="U512" s="419">
        <f>ROUND(+J512+M512+T512,4)</f>
        <v>0</v>
      </c>
      <c r="V512" s="235"/>
    </row>
    <row r="513" spans="1:22" ht="15.75" x14ac:dyDescent="0.25">
      <c r="A513" s="231"/>
      <c r="B513" s="232"/>
      <c r="C513" s="400"/>
      <c r="D513" s="233"/>
      <c r="E513" s="405"/>
      <c r="F513" s="405"/>
      <c r="G513" s="405"/>
      <c r="H513" s="408">
        <f>ROUND(+E513+F513+G513,4)</f>
        <v>0</v>
      </c>
      <c r="I513" s="234"/>
      <c r="J513" s="411"/>
      <c r="K513" s="411"/>
      <c r="L513" s="414">
        <v>0.1</v>
      </c>
      <c r="M513" s="414">
        <f>ROUND(+L513*C513,4)</f>
        <v>0</v>
      </c>
      <c r="N513" s="414"/>
      <c r="O513" s="414"/>
      <c r="P513" s="414"/>
      <c r="Q513" s="419">
        <f>ROUND(+N513+O513+P513,4)</f>
        <v>0</v>
      </c>
      <c r="R513" s="419">
        <f>ROUND(IF(+Q513-H513&lt;=0,0,Q513-H513),4)</f>
        <v>0</v>
      </c>
      <c r="S513" s="423">
        <v>0.5</v>
      </c>
      <c r="T513" s="419">
        <f>ROUND(+(R513*C513)*S513,4)</f>
        <v>0</v>
      </c>
      <c r="U513" s="419">
        <f>ROUND(+J513+M513+T513,4)</f>
        <v>0</v>
      </c>
      <c r="V513" s="235"/>
    </row>
    <row r="514" spans="1:22" ht="15.75" x14ac:dyDescent="0.25">
      <c r="A514" s="231"/>
      <c r="B514" s="232"/>
      <c r="C514" s="400"/>
      <c r="D514" s="233"/>
      <c r="E514" s="405"/>
      <c r="F514" s="405"/>
      <c r="G514" s="405"/>
      <c r="H514" s="408">
        <f>ROUND(+E514+F514+G514,4)</f>
        <v>0</v>
      </c>
      <c r="I514" s="234"/>
      <c r="J514" s="411"/>
      <c r="K514" s="411"/>
      <c r="L514" s="414">
        <v>0.1</v>
      </c>
      <c r="M514" s="414">
        <f>ROUND(+L514*C514,4)</f>
        <v>0</v>
      </c>
      <c r="N514" s="414"/>
      <c r="O514" s="414"/>
      <c r="P514" s="414"/>
      <c r="Q514" s="419">
        <f>ROUND(+N514+O514+P514,4)</f>
        <v>0</v>
      </c>
      <c r="R514" s="419">
        <f>ROUND(IF(+Q514-H514&lt;=0,0,Q514-H514),4)</f>
        <v>0</v>
      </c>
      <c r="S514" s="423">
        <v>0.5</v>
      </c>
      <c r="T514" s="419">
        <f>ROUND(+(R514*C514)*S514,4)</f>
        <v>0</v>
      </c>
      <c r="U514" s="419">
        <f>ROUND(+J514+M514+T514,4)</f>
        <v>0</v>
      </c>
      <c r="V514" s="235"/>
    </row>
    <row r="515" spans="1:22" ht="15.75" x14ac:dyDescent="0.25">
      <c r="A515" s="231"/>
      <c r="B515" s="232"/>
      <c r="C515" s="400"/>
      <c r="D515" s="233"/>
      <c r="E515" s="405"/>
      <c r="F515" s="405"/>
      <c r="G515" s="405"/>
      <c r="H515" s="408">
        <f>ROUND(+E515+F515+G515,4)</f>
        <v>0</v>
      </c>
      <c r="I515" s="234"/>
      <c r="J515" s="411"/>
      <c r="K515" s="411"/>
      <c r="L515" s="414">
        <v>0.1</v>
      </c>
      <c r="M515" s="414">
        <f>ROUND(+L515*C515,4)</f>
        <v>0</v>
      </c>
      <c r="N515" s="414"/>
      <c r="O515" s="414"/>
      <c r="P515" s="414"/>
      <c r="Q515" s="419">
        <f>ROUND(+N515+O515+P515,4)</f>
        <v>0</v>
      </c>
      <c r="R515" s="419">
        <f>ROUND(IF(+Q515-H515&lt;=0,0,Q515-H515),4)</f>
        <v>0</v>
      </c>
      <c r="S515" s="423">
        <v>0.5</v>
      </c>
      <c r="T515" s="419">
        <f>ROUND(+(R515*C515)*S515,4)</f>
        <v>0</v>
      </c>
      <c r="U515" s="419">
        <f>ROUND(+J515+M515+T515,4)</f>
        <v>0</v>
      </c>
      <c r="V515" s="235"/>
    </row>
    <row r="516" spans="1:22" ht="15.75" x14ac:dyDescent="0.25">
      <c r="A516" s="231"/>
      <c r="B516" s="232"/>
      <c r="C516" s="400"/>
      <c r="D516" s="233"/>
      <c r="E516" s="405"/>
      <c r="F516" s="405"/>
      <c r="G516" s="405"/>
      <c r="H516" s="408">
        <f>ROUND(+E516+F516+G516,4)</f>
        <v>0</v>
      </c>
      <c r="I516" s="234"/>
      <c r="J516" s="411"/>
      <c r="K516" s="411"/>
      <c r="L516" s="414">
        <v>0.1</v>
      </c>
      <c r="M516" s="414">
        <f>ROUND(+L516*C516,4)</f>
        <v>0</v>
      </c>
      <c r="N516" s="414"/>
      <c r="O516" s="414"/>
      <c r="P516" s="414"/>
      <c r="Q516" s="419">
        <f>ROUND(+N516+O516+P516,4)</f>
        <v>0</v>
      </c>
      <c r="R516" s="419">
        <f>ROUND(IF(+Q516-H516&lt;=0,0,Q516-H516),4)</f>
        <v>0</v>
      </c>
      <c r="S516" s="423">
        <v>0.5</v>
      </c>
      <c r="T516" s="419">
        <f>ROUND(+(R516*C516)*S516,4)</f>
        <v>0</v>
      </c>
      <c r="U516" s="419">
        <f>ROUND(+J516+M516+T516,4)</f>
        <v>0</v>
      </c>
      <c r="V516" s="235"/>
    </row>
    <row r="517" spans="1:22" ht="15.75" x14ac:dyDescent="0.25">
      <c r="A517" s="231"/>
      <c r="B517" s="232"/>
      <c r="C517" s="400"/>
      <c r="D517" s="233"/>
      <c r="E517" s="405"/>
      <c r="F517" s="405"/>
      <c r="G517" s="405"/>
      <c r="H517" s="408">
        <f>ROUND(+E517+F517+G517,4)</f>
        <v>0</v>
      </c>
      <c r="I517" s="234"/>
      <c r="J517" s="411"/>
      <c r="K517" s="411"/>
      <c r="L517" s="414">
        <v>0.1</v>
      </c>
      <c r="M517" s="414">
        <f>ROUND(+L517*C517,4)</f>
        <v>0</v>
      </c>
      <c r="N517" s="414"/>
      <c r="O517" s="414"/>
      <c r="P517" s="414"/>
      <c r="Q517" s="419">
        <f>ROUND(+N517+O517+P517,4)</f>
        <v>0</v>
      </c>
      <c r="R517" s="419">
        <f>ROUND(IF(+Q517-H517&lt;=0,0,Q517-H517),4)</f>
        <v>0</v>
      </c>
      <c r="S517" s="423">
        <v>0.5</v>
      </c>
      <c r="T517" s="419">
        <f>ROUND(+(R517*C517)*S517,4)</f>
        <v>0</v>
      </c>
      <c r="U517" s="419">
        <f>ROUND(+J517+M517+T517,4)</f>
        <v>0</v>
      </c>
      <c r="V517" s="235"/>
    </row>
    <row r="518" spans="1:22" ht="15.75" x14ac:dyDescent="0.25">
      <c r="A518" s="231"/>
      <c r="B518" s="232"/>
      <c r="C518" s="400"/>
      <c r="D518" s="233"/>
      <c r="E518" s="405"/>
      <c r="F518" s="405"/>
      <c r="G518" s="405"/>
      <c r="H518" s="408">
        <f>ROUND(+E518+F518+G518,4)</f>
        <v>0</v>
      </c>
      <c r="I518" s="234"/>
      <c r="J518" s="411"/>
      <c r="K518" s="411"/>
      <c r="L518" s="414">
        <v>0.1</v>
      </c>
      <c r="M518" s="414">
        <f>ROUND(+L518*C518,4)</f>
        <v>0</v>
      </c>
      <c r="N518" s="414"/>
      <c r="O518" s="414"/>
      <c r="P518" s="414"/>
      <c r="Q518" s="419">
        <f>ROUND(+N518+O518+P518,4)</f>
        <v>0</v>
      </c>
      <c r="R518" s="419">
        <f>ROUND(IF(+Q518-H518&lt;=0,0,Q518-H518),4)</f>
        <v>0</v>
      </c>
      <c r="S518" s="423">
        <v>0.5</v>
      </c>
      <c r="T518" s="419">
        <f>ROUND(+(R518*C518)*S518,4)</f>
        <v>0</v>
      </c>
      <c r="U518" s="419">
        <f>ROUND(+J518+M518+T518,4)</f>
        <v>0</v>
      </c>
      <c r="V518" s="235"/>
    </row>
    <row r="519" spans="1:22" ht="15.75" x14ac:dyDescent="0.25">
      <c r="A519" s="231"/>
      <c r="B519" s="232"/>
      <c r="C519" s="400"/>
      <c r="D519" s="233"/>
      <c r="E519" s="405"/>
      <c r="F519" s="405"/>
      <c r="G519" s="405"/>
      <c r="H519" s="408">
        <f>ROUND(+E519+F519+G519,4)</f>
        <v>0</v>
      </c>
      <c r="I519" s="234"/>
      <c r="J519" s="411"/>
      <c r="K519" s="411"/>
      <c r="L519" s="414">
        <v>0.1</v>
      </c>
      <c r="M519" s="414">
        <f>ROUND(+L519*C519,4)</f>
        <v>0</v>
      </c>
      <c r="N519" s="414"/>
      <c r="O519" s="414"/>
      <c r="P519" s="414"/>
      <c r="Q519" s="419">
        <f>ROUND(+N519+O519+P519,4)</f>
        <v>0</v>
      </c>
      <c r="R519" s="419">
        <f>ROUND(IF(+Q519-H519&lt;=0,0,Q519-H519),4)</f>
        <v>0</v>
      </c>
      <c r="S519" s="423">
        <v>0.5</v>
      </c>
      <c r="T519" s="419">
        <f>ROUND(+(R519*C519)*S519,4)</f>
        <v>0</v>
      </c>
      <c r="U519" s="419">
        <f>ROUND(+J519+M519+T519,4)</f>
        <v>0</v>
      </c>
      <c r="V519" s="235"/>
    </row>
    <row r="520" spans="1:22" ht="15.75" x14ac:dyDescent="0.25">
      <c r="A520" s="231"/>
      <c r="B520" s="232"/>
      <c r="C520" s="400"/>
      <c r="D520" s="233"/>
      <c r="E520" s="405"/>
      <c r="F520" s="405"/>
      <c r="G520" s="405"/>
      <c r="H520" s="408">
        <f>ROUND(+E520+F520+G520,4)</f>
        <v>0</v>
      </c>
      <c r="I520" s="234"/>
      <c r="J520" s="411"/>
      <c r="K520" s="411"/>
      <c r="L520" s="414">
        <v>0.1</v>
      </c>
      <c r="M520" s="414">
        <f>ROUND(+L520*C520,4)</f>
        <v>0</v>
      </c>
      <c r="N520" s="414"/>
      <c r="O520" s="414"/>
      <c r="P520" s="414"/>
      <c r="Q520" s="419">
        <f>ROUND(+N520+O520+P520,4)</f>
        <v>0</v>
      </c>
      <c r="R520" s="419">
        <f>ROUND(IF(+Q520-H520&lt;=0,0,Q520-H520),4)</f>
        <v>0</v>
      </c>
      <c r="S520" s="423">
        <v>0.5</v>
      </c>
      <c r="T520" s="419">
        <f>ROUND(+(R520*C520)*S520,4)</f>
        <v>0</v>
      </c>
      <c r="U520" s="419">
        <f>ROUND(+J520+M520+T520,4)</f>
        <v>0</v>
      </c>
      <c r="V520" s="235"/>
    </row>
    <row r="521" spans="1:22" ht="15.75" x14ac:dyDescent="0.25">
      <c r="A521" s="231"/>
      <c r="B521" s="232"/>
      <c r="C521" s="400"/>
      <c r="D521" s="233"/>
      <c r="E521" s="405"/>
      <c r="F521" s="405"/>
      <c r="G521" s="405"/>
      <c r="H521" s="408">
        <f>ROUND(+E521+F521+G521,4)</f>
        <v>0</v>
      </c>
      <c r="I521" s="234"/>
      <c r="J521" s="411"/>
      <c r="K521" s="411"/>
      <c r="L521" s="414">
        <v>0.1</v>
      </c>
      <c r="M521" s="414">
        <f>ROUND(+L521*C521,4)</f>
        <v>0</v>
      </c>
      <c r="N521" s="414"/>
      <c r="O521" s="414"/>
      <c r="P521" s="414"/>
      <c r="Q521" s="419">
        <f>ROUND(+N521+O521+P521,4)</f>
        <v>0</v>
      </c>
      <c r="R521" s="419">
        <f>ROUND(IF(+Q521-H521&lt;=0,0,Q521-H521),4)</f>
        <v>0</v>
      </c>
      <c r="S521" s="423">
        <v>0.5</v>
      </c>
      <c r="T521" s="419">
        <f>ROUND(+(R521*C521)*S521,4)</f>
        <v>0</v>
      </c>
      <c r="U521" s="419">
        <f>ROUND(+J521+M521+T521,4)</f>
        <v>0</v>
      </c>
      <c r="V521" s="235"/>
    </row>
    <row r="522" spans="1:22" ht="15.75" x14ac:dyDescent="0.25">
      <c r="A522" s="231"/>
      <c r="B522" s="232"/>
      <c r="C522" s="400"/>
      <c r="D522" s="233"/>
      <c r="E522" s="405"/>
      <c r="F522" s="405"/>
      <c r="G522" s="405"/>
      <c r="H522" s="408">
        <f>ROUND(+E522+F522+G522,4)</f>
        <v>0</v>
      </c>
      <c r="I522" s="234"/>
      <c r="J522" s="411"/>
      <c r="K522" s="411"/>
      <c r="L522" s="414">
        <v>0.1</v>
      </c>
      <c r="M522" s="414">
        <f>ROUND(+L522*C522,4)</f>
        <v>0</v>
      </c>
      <c r="N522" s="414"/>
      <c r="O522" s="414"/>
      <c r="P522" s="414"/>
      <c r="Q522" s="419">
        <f>ROUND(+N522+O522+P522,4)</f>
        <v>0</v>
      </c>
      <c r="R522" s="419">
        <f>ROUND(IF(+Q522-H522&lt;=0,0,Q522-H522),4)</f>
        <v>0</v>
      </c>
      <c r="S522" s="423">
        <v>0.5</v>
      </c>
      <c r="T522" s="419">
        <f>ROUND(+(R522*C522)*S522,4)</f>
        <v>0</v>
      </c>
      <c r="U522" s="419">
        <f>ROUND(+J522+M522+T522,4)</f>
        <v>0</v>
      </c>
      <c r="V522" s="235"/>
    </row>
    <row r="523" spans="1:22" ht="15.75" x14ac:dyDescent="0.25">
      <c r="A523" s="231"/>
      <c r="B523" s="232"/>
      <c r="C523" s="400"/>
      <c r="D523" s="233"/>
      <c r="E523" s="405"/>
      <c r="F523" s="405"/>
      <c r="G523" s="405"/>
      <c r="H523" s="408">
        <f>ROUND(+E523+F523+G523,4)</f>
        <v>0</v>
      </c>
      <c r="I523" s="234"/>
      <c r="J523" s="411"/>
      <c r="K523" s="411"/>
      <c r="L523" s="414">
        <v>0.1</v>
      </c>
      <c r="M523" s="414">
        <f>ROUND(+L523*C523,4)</f>
        <v>0</v>
      </c>
      <c r="N523" s="414"/>
      <c r="O523" s="414"/>
      <c r="P523" s="414"/>
      <c r="Q523" s="419">
        <f>ROUND(+N523+O523+P523,4)</f>
        <v>0</v>
      </c>
      <c r="R523" s="419">
        <f>ROUND(IF(+Q523-H523&lt;=0,0,Q523-H523),4)</f>
        <v>0</v>
      </c>
      <c r="S523" s="423">
        <v>0.5</v>
      </c>
      <c r="T523" s="419">
        <f>ROUND(+(R523*C523)*S523,4)</f>
        <v>0</v>
      </c>
      <c r="U523" s="419">
        <f>ROUND(+J523+M523+T523,4)</f>
        <v>0</v>
      </c>
      <c r="V523" s="235"/>
    </row>
    <row r="524" spans="1:22" ht="15.75" x14ac:dyDescent="0.25">
      <c r="A524" s="231"/>
      <c r="B524" s="232"/>
      <c r="C524" s="400"/>
      <c r="D524" s="233"/>
      <c r="E524" s="405"/>
      <c r="F524" s="405"/>
      <c r="G524" s="405"/>
      <c r="H524" s="408">
        <f>ROUND(+E524+F524+G524,4)</f>
        <v>0</v>
      </c>
      <c r="I524" s="234"/>
      <c r="J524" s="411"/>
      <c r="K524" s="411"/>
      <c r="L524" s="414">
        <v>0.1</v>
      </c>
      <c r="M524" s="414">
        <f>ROUND(+L524*C524,4)</f>
        <v>0</v>
      </c>
      <c r="N524" s="414"/>
      <c r="O524" s="414"/>
      <c r="P524" s="414"/>
      <c r="Q524" s="419">
        <f>ROUND(+N524+O524+P524,4)</f>
        <v>0</v>
      </c>
      <c r="R524" s="419">
        <f>ROUND(IF(+Q524-H524&lt;=0,0,Q524-H524),4)</f>
        <v>0</v>
      </c>
      <c r="S524" s="423">
        <v>0.5</v>
      </c>
      <c r="T524" s="419">
        <f>ROUND(+(R524*C524)*S524,4)</f>
        <v>0</v>
      </c>
      <c r="U524" s="419">
        <f>ROUND(+J524+M524+T524,4)</f>
        <v>0</v>
      </c>
      <c r="V524" s="235"/>
    </row>
    <row r="525" spans="1:22" ht="15.75" x14ac:dyDescent="0.25">
      <c r="A525" s="231"/>
      <c r="B525" s="232"/>
      <c r="C525" s="400"/>
      <c r="D525" s="233"/>
      <c r="E525" s="405"/>
      <c r="F525" s="405"/>
      <c r="G525" s="405"/>
      <c r="H525" s="408">
        <f>ROUND(+E525+F525+G525,4)</f>
        <v>0</v>
      </c>
      <c r="I525" s="234"/>
      <c r="J525" s="411"/>
      <c r="K525" s="411"/>
      <c r="L525" s="414">
        <v>0.1</v>
      </c>
      <c r="M525" s="414">
        <f>ROUND(+L525*C525,4)</f>
        <v>0</v>
      </c>
      <c r="N525" s="414"/>
      <c r="O525" s="414"/>
      <c r="P525" s="414"/>
      <c r="Q525" s="419">
        <f>ROUND(+N525+O525+P525,4)</f>
        <v>0</v>
      </c>
      <c r="R525" s="419">
        <f>ROUND(IF(+Q525-H525&lt;=0,0,Q525-H525),4)</f>
        <v>0</v>
      </c>
      <c r="S525" s="423">
        <v>0.5</v>
      </c>
      <c r="T525" s="419">
        <f>ROUND(+(R525*C525)*S525,4)</f>
        <v>0</v>
      </c>
      <c r="U525" s="419">
        <f>ROUND(+J525+M525+T525,4)</f>
        <v>0</v>
      </c>
      <c r="V525" s="235"/>
    </row>
    <row r="526" spans="1:22" ht="15.75" x14ac:dyDescent="0.25">
      <c r="A526" s="231"/>
      <c r="B526" s="232"/>
      <c r="C526" s="400"/>
      <c r="D526" s="233"/>
      <c r="E526" s="405"/>
      <c r="F526" s="405"/>
      <c r="G526" s="405"/>
      <c r="H526" s="408">
        <f>ROUND(+E526+F526+G526,4)</f>
        <v>0</v>
      </c>
      <c r="I526" s="234"/>
      <c r="J526" s="411"/>
      <c r="K526" s="411"/>
      <c r="L526" s="414">
        <v>0.1</v>
      </c>
      <c r="M526" s="414">
        <f>ROUND(+L526*C526,4)</f>
        <v>0</v>
      </c>
      <c r="N526" s="414"/>
      <c r="O526" s="414"/>
      <c r="P526" s="414"/>
      <c r="Q526" s="419">
        <f>ROUND(+N526+O526+P526,4)</f>
        <v>0</v>
      </c>
      <c r="R526" s="419">
        <f>ROUND(IF(+Q526-H526&lt;=0,0,Q526-H526),4)</f>
        <v>0</v>
      </c>
      <c r="S526" s="423">
        <v>0.5</v>
      </c>
      <c r="T526" s="419">
        <f>ROUND(+(R526*C526)*S526,4)</f>
        <v>0</v>
      </c>
      <c r="U526" s="419">
        <f>ROUND(+J526+M526+T526,4)</f>
        <v>0</v>
      </c>
      <c r="V526" s="235"/>
    </row>
    <row r="527" spans="1:22" ht="15.75" x14ac:dyDescent="0.25">
      <c r="A527" s="231"/>
      <c r="B527" s="232"/>
      <c r="C527" s="400"/>
      <c r="D527" s="233"/>
      <c r="E527" s="405"/>
      <c r="F527" s="405"/>
      <c r="G527" s="405"/>
      <c r="H527" s="408">
        <f>ROUND(+E527+F527+G527,4)</f>
        <v>0</v>
      </c>
      <c r="I527" s="234"/>
      <c r="J527" s="411"/>
      <c r="K527" s="411"/>
      <c r="L527" s="414">
        <v>0.1</v>
      </c>
      <c r="M527" s="414">
        <f>ROUND(+L527*C527,4)</f>
        <v>0</v>
      </c>
      <c r="N527" s="414"/>
      <c r="O527" s="414"/>
      <c r="P527" s="414"/>
      <c r="Q527" s="419">
        <f>ROUND(+N527+O527+P527,4)</f>
        <v>0</v>
      </c>
      <c r="R527" s="419">
        <f>ROUND(IF(+Q527-H527&lt;=0,0,Q527-H527),4)</f>
        <v>0</v>
      </c>
      <c r="S527" s="423">
        <v>0.5</v>
      </c>
      <c r="T527" s="419">
        <f>ROUND(+(R527*C527)*S527,4)</f>
        <v>0</v>
      </c>
      <c r="U527" s="419">
        <f>ROUND(+J527+M527+T527,4)</f>
        <v>0</v>
      </c>
      <c r="V527" s="235"/>
    </row>
    <row r="528" spans="1:22" ht="15.75" x14ac:dyDescent="0.25">
      <c r="A528" s="231"/>
      <c r="B528" s="232"/>
      <c r="C528" s="400"/>
      <c r="D528" s="233"/>
      <c r="E528" s="405"/>
      <c r="F528" s="405"/>
      <c r="G528" s="405"/>
      <c r="H528" s="408">
        <f>ROUND(+E528+F528+G528,4)</f>
        <v>0</v>
      </c>
      <c r="I528" s="234"/>
      <c r="J528" s="411"/>
      <c r="K528" s="411"/>
      <c r="L528" s="414">
        <v>0.1</v>
      </c>
      <c r="M528" s="414">
        <f>ROUND(+L528*C528,4)</f>
        <v>0</v>
      </c>
      <c r="N528" s="414"/>
      <c r="O528" s="414"/>
      <c r="P528" s="414"/>
      <c r="Q528" s="419">
        <f>ROUND(+N528+O528+P528,4)</f>
        <v>0</v>
      </c>
      <c r="R528" s="419">
        <f>ROUND(IF(+Q528-H528&lt;=0,0,Q528-H528),4)</f>
        <v>0</v>
      </c>
      <c r="S528" s="423">
        <v>0.5</v>
      </c>
      <c r="T528" s="419">
        <f>ROUND(+(R528*C528)*S528,4)</f>
        <v>0</v>
      </c>
      <c r="U528" s="419">
        <f>ROUND(+J528+M528+T528,4)</f>
        <v>0</v>
      </c>
      <c r="V528" s="235"/>
    </row>
    <row r="529" spans="1:22" ht="15.75" x14ac:dyDescent="0.25">
      <c r="A529" s="231"/>
      <c r="B529" s="232"/>
      <c r="C529" s="400"/>
      <c r="D529" s="233"/>
      <c r="E529" s="405"/>
      <c r="F529" s="405"/>
      <c r="G529" s="405"/>
      <c r="H529" s="408">
        <f>ROUND(+E529+F529+G529,4)</f>
        <v>0</v>
      </c>
      <c r="I529" s="234"/>
      <c r="J529" s="411"/>
      <c r="K529" s="411"/>
      <c r="L529" s="414">
        <v>0.1</v>
      </c>
      <c r="M529" s="414">
        <f>ROUND(+L529*C529,4)</f>
        <v>0</v>
      </c>
      <c r="N529" s="414"/>
      <c r="O529" s="414"/>
      <c r="P529" s="414"/>
      <c r="Q529" s="419">
        <f>ROUND(+N529+O529+P529,4)</f>
        <v>0</v>
      </c>
      <c r="R529" s="419">
        <f>ROUND(IF(+Q529-H529&lt;=0,0,Q529-H529),4)</f>
        <v>0</v>
      </c>
      <c r="S529" s="423">
        <v>0.5</v>
      </c>
      <c r="T529" s="419">
        <f>ROUND(+(R529*C529)*S529,4)</f>
        <v>0</v>
      </c>
      <c r="U529" s="419">
        <f>ROUND(+J529+M529+T529,4)</f>
        <v>0</v>
      </c>
      <c r="V529" s="235"/>
    </row>
    <row r="530" spans="1:22" ht="15.75" x14ac:dyDescent="0.25">
      <c r="A530" s="231"/>
      <c r="B530" s="232"/>
      <c r="C530" s="400"/>
      <c r="D530" s="233"/>
      <c r="E530" s="405"/>
      <c r="F530" s="405"/>
      <c r="G530" s="405"/>
      <c r="H530" s="408">
        <f>ROUND(+E530+F530+G530,4)</f>
        <v>0</v>
      </c>
      <c r="I530" s="234"/>
      <c r="J530" s="411"/>
      <c r="K530" s="411"/>
      <c r="L530" s="414">
        <v>0.1</v>
      </c>
      <c r="M530" s="414">
        <f>ROUND(+L530*C530,4)</f>
        <v>0</v>
      </c>
      <c r="N530" s="414"/>
      <c r="O530" s="414"/>
      <c r="P530" s="414"/>
      <c r="Q530" s="419">
        <f>ROUND(+N530+O530+P530,4)</f>
        <v>0</v>
      </c>
      <c r="R530" s="419">
        <f>ROUND(IF(+Q530-H530&lt;=0,0,Q530-H530),4)</f>
        <v>0</v>
      </c>
      <c r="S530" s="423">
        <v>0.5</v>
      </c>
      <c r="T530" s="419">
        <f>ROUND(+(R530*C530)*S530,4)</f>
        <v>0</v>
      </c>
      <c r="U530" s="419">
        <f>ROUND(+J530+M530+T530,4)</f>
        <v>0</v>
      </c>
      <c r="V530" s="235"/>
    </row>
    <row r="531" spans="1:22" ht="15.75" x14ac:dyDescent="0.25">
      <c r="A531" s="231"/>
      <c r="B531" s="232"/>
      <c r="C531" s="400"/>
      <c r="D531" s="233"/>
      <c r="E531" s="405"/>
      <c r="F531" s="405"/>
      <c r="G531" s="405"/>
      <c r="H531" s="408">
        <f>ROUND(+E531+F531+G531,4)</f>
        <v>0</v>
      </c>
      <c r="I531" s="234"/>
      <c r="J531" s="411"/>
      <c r="K531" s="411"/>
      <c r="L531" s="414">
        <v>0.1</v>
      </c>
      <c r="M531" s="414">
        <f>ROUND(+L531*C531,4)</f>
        <v>0</v>
      </c>
      <c r="N531" s="414"/>
      <c r="O531" s="414"/>
      <c r="P531" s="414"/>
      <c r="Q531" s="419">
        <f>ROUND(+N531+O531+P531,4)</f>
        <v>0</v>
      </c>
      <c r="R531" s="419">
        <f>ROUND(IF(+Q531-H531&lt;=0,0,Q531-H531),4)</f>
        <v>0</v>
      </c>
      <c r="S531" s="423">
        <v>0.5</v>
      </c>
      <c r="T531" s="419">
        <f>ROUND(+(R531*C531)*S531,4)</f>
        <v>0</v>
      </c>
      <c r="U531" s="419">
        <f>ROUND(+J531+M531+T531,4)</f>
        <v>0</v>
      </c>
      <c r="V531" s="235"/>
    </row>
    <row r="532" spans="1:22" ht="15.75" x14ac:dyDescent="0.25">
      <c r="A532" s="231"/>
      <c r="B532" s="232"/>
      <c r="C532" s="400"/>
      <c r="D532" s="233"/>
      <c r="E532" s="405"/>
      <c r="F532" s="405"/>
      <c r="G532" s="405"/>
      <c r="H532" s="408">
        <f>ROUND(+E532+F532+G532,4)</f>
        <v>0</v>
      </c>
      <c r="I532" s="234"/>
      <c r="J532" s="411"/>
      <c r="K532" s="411"/>
      <c r="L532" s="414">
        <v>0.1</v>
      </c>
      <c r="M532" s="414">
        <f>ROUND(+L532*C532,4)</f>
        <v>0</v>
      </c>
      <c r="N532" s="414"/>
      <c r="O532" s="414"/>
      <c r="P532" s="414"/>
      <c r="Q532" s="419">
        <f>ROUND(+N532+O532+P532,4)</f>
        <v>0</v>
      </c>
      <c r="R532" s="419">
        <f>ROUND(IF(+Q532-H532&lt;=0,0,Q532-H532),4)</f>
        <v>0</v>
      </c>
      <c r="S532" s="423">
        <v>0.5</v>
      </c>
      <c r="T532" s="419">
        <f>ROUND(+(R532*C532)*S532,4)</f>
        <v>0</v>
      </c>
      <c r="U532" s="419">
        <f>ROUND(+J532+M532+T532,4)</f>
        <v>0</v>
      </c>
      <c r="V532" s="235"/>
    </row>
    <row r="533" spans="1:22" ht="15.75" x14ac:dyDescent="0.25">
      <c r="A533" s="231"/>
      <c r="B533" s="232"/>
      <c r="C533" s="400"/>
      <c r="D533" s="233"/>
      <c r="E533" s="405"/>
      <c r="F533" s="405"/>
      <c r="G533" s="405"/>
      <c r="H533" s="408">
        <f>ROUND(+E533+F533+G533,4)</f>
        <v>0</v>
      </c>
      <c r="I533" s="234"/>
      <c r="J533" s="411"/>
      <c r="K533" s="411"/>
      <c r="L533" s="414">
        <v>0.1</v>
      </c>
      <c r="M533" s="414">
        <f>ROUND(+L533*C533,4)</f>
        <v>0</v>
      </c>
      <c r="N533" s="414"/>
      <c r="O533" s="414"/>
      <c r="P533" s="414"/>
      <c r="Q533" s="419">
        <f>ROUND(+N533+O533+P533,4)</f>
        <v>0</v>
      </c>
      <c r="R533" s="419">
        <f>ROUND(IF(+Q533-H533&lt;=0,0,Q533-H533),4)</f>
        <v>0</v>
      </c>
      <c r="S533" s="423">
        <v>0.5</v>
      </c>
      <c r="T533" s="419">
        <f>ROUND(+(R533*C533)*S533,4)</f>
        <v>0</v>
      </c>
      <c r="U533" s="419">
        <f>ROUND(+J533+M533+T533,4)</f>
        <v>0</v>
      </c>
      <c r="V533" s="235"/>
    </row>
    <row r="534" spans="1:22" ht="15.75" x14ac:dyDescent="0.25">
      <c r="A534" s="231"/>
      <c r="B534" s="232"/>
      <c r="C534" s="400"/>
      <c r="D534" s="233"/>
      <c r="E534" s="405"/>
      <c r="F534" s="405"/>
      <c r="G534" s="405"/>
      <c r="H534" s="408">
        <f>ROUND(+E534+F534+G534,4)</f>
        <v>0</v>
      </c>
      <c r="I534" s="234"/>
      <c r="J534" s="411"/>
      <c r="K534" s="411"/>
      <c r="L534" s="414">
        <v>0.1</v>
      </c>
      <c r="M534" s="414">
        <f>ROUND(+L534*C534,4)</f>
        <v>0</v>
      </c>
      <c r="N534" s="414"/>
      <c r="O534" s="414"/>
      <c r="P534" s="414"/>
      <c r="Q534" s="419">
        <f>ROUND(+N534+O534+P534,4)</f>
        <v>0</v>
      </c>
      <c r="R534" s="419">
        <f>ROUND(IF(+Q534-H534&lt;=0,0,Q534-H534),4)</f>
        <v>0</v>
      </c>
      <c r="S534" s="423">
        <v>0.5</v>
      </c>
      <c r="T534" s="419">
        <f>ROUND(+(R534*C534)*S534,4)</f>
        <v>0</v>
      </c>
      <c r="U534" s="419">
        <f>ROUND(+J534+M534+T534,4)</f>
        <v>0</v>
      </c>
      <c r="V534" s="235"/>
    </row>
    <row r="535" spans="1:22" ht="15.75" x14ac:dyDescent="0.25">
      <c r="A535" s="231"/>
      <c r="B535" s="232"/>
      <c r="C535" s="400"/>
      <c r="D535" s="233"/>
      <c r="E535" s="405"/>
      <c r="F535" s="405"/>
      <c r="G535" s="405"/>
      <c r="H535" s="408">
        <f>ROUND(+E535+F535+G535,4)</f>
        <v>0</v>
      </c>
      <c r="I535" s="234"/>
      <c r="J535" s="411"/>
      <c r="K535" s="411"/>
      <c r="L535" s="414">
        <v>0.1</v>
      </c>
      <c r="M535" s="414">
        <f>ROUND(+L535*C535,4)</f>
        <v>0</v>
      </c>
      <c r="N535" s="414"/>
      <c r="O535" s="414"/>
      <c r="P535" s="414"/>
      <c r="Q535" s="419">
        <f>ROUND(+N535+O535+P535,4)</f>
        <v>0</v>
      </c>
      <c r="R535" s="419">
        <f>ROUND(IF(+Q535-H535&lt;=0,0,Q535-H535),4)</f>
        <v>0</v>
      </c>
      <c r="S535" s="423">
        <v>0.5</v>
      </c>
      <c r="T535" s="419">
        <f>ROUND(+(R535*C535)*S535,4)</f>
        <v>0</v>
      </c>
      <c r="U535" s="419">
        <f>ROUND(+J535+M535+T535,4)</f>
        <v>0</v>
      </c>
      <c r="V535" s="235"/>
    </row>
    <row r="536" spans="1:22" ht="15.75" x14ac:dyDescent="0.25">
      <c r="A536" s="231"/>
      <c r="B536" s="232"/>
      <c r="C536" s="400"/>
      <c r="D536" s="233"/>
      <c r="E536" s="405"/>
      <c r="F536" s="405"/>
      <c r="G536" s="405"/>
      <c r="H536" s="408">
        <f>ROUND(+E536+F536+G536,4)</f>
        <v>0</v>
      </c>
      <c r="I536" s="234"/>
      <c r="J536" s="411"/>
      <c r="K536" s="411"/>
      <c r="L536" s="414">
        <v>0.1</v>
      </c>
      <c r="M536" s="414">
        <f>ROUND(+L536*C536,4)</f>
        <v>0</v>
      </c>
      <c r="N536" s="414"/>
      <c r="O536" s="414"/>
      <c r="P536" s="414"/>
      <c r="Q536" s="419">
        <f>ROUND(+N536+O536+P536,4)</f>
        <v>0</v>
      </c>
      <c r="R536" s="419">
        <f>ROUND(IF(+Q536-H536&lt;=0,0,Q536-H536),4)</f>
        <v>0</v>
      </c>
      <c r="S536" s="423">
        <v>0.5</v>
      </c>
      <c r="T536" s="419">
        <f>ROUND(+(R536*C536)*S536,4)</f>
        <v>0</v>
      </c>
      <c r="U536" s="419">
        <f>ROUND(+J536+M536+T536,4)</f>
        <v>0</v>
      </c>
      <c r="V536" s="235"/>
    </row>
    <row r="537" spans="1:22" ht="15.75" x14ac:dyDescent="0.25">
      <c r="A537" s="231"/>
      <c r="B537" s="232"/>
      <c r="C537" s="400"/>
      <c r="D537" s="233"/>
      <c r="E537" s="405"/>
      <c r="F537" s="405"/>
      <c r="G537" s="405"/>
      <c r="H537" s="408">
        <f>ROUND(+E537+F537+G537,4)</f>
        <v>0</v>
      </c>
      <c r="I537" s="234"/>
      <c r="J537" s="411"/>
      <c r="K537" s="411"/>
      <c r="L537" s="414">
        <v>0.1</v>
      </c>
      <c r="M537" s="414">
        <f>ROUND(+L537*C537,4)</f>
        <v>0</v>
      </c>
      <c r="N537" s="414"/>
      <c r="O537" s="414"/>
      <c r="P537" s="414"/>
      <c r="Q537" s="419">
        <f>ROUND(+N537+O537+P537,4)</f>
        <v>0</v>
      </c>
      <c r="R537" s="419">
        <f>ROUND(IF(+Q537-H537&lt;=0,0,Q537-H537),4)</f>
        <v>0</v>
      </c>
      <c r="S537" s="423">
        <v>0.5</v>
      </c>
      <c r="T537" s="419">
        <f>ROUND(+(R537*C537)*S537,4)</f>
        <v>0</v>
      </c>
      <c r="U537" s="419">
        <f>ROUND(+J537+M537+T537,4)</f>
        <v>0</v>
      </c>
      <c r="V537" s="235"/>
    </row>
    <row r="538" spans="1:22" ht="15.75" x14ac:dyDescent="0.25">
      <c r="A538" s="231"/>
      <c r="B538" s="232"/>
      <c r="C538" s="400"/>
      <c r="D538" s="233"/>
      <c r="E538" s="405"/>
      <c r="F538" s="405"/>
      <c r="G538" s="405"/>
      <c r="H538" s="408">
        <f>ROUND(+E538+F538+G538,4)</f>
        <v>0</v>
      </c>
      <c r="I538" s="234"/>
      <c r="J538" s="411"/>
      <c r="K538" s="411"/>
      <c r="L538" s="414">
        <v>0.1</v>
      </c>
      <c r="M538" s="414">
        <f>ROUND(+L538*C538,4)</f>
        <v>0</v>
      </c>
      <c r="N538" s="414"/>
      <c r="O538" s="414"/>
      <c r="P538" s="414"/>
      <c r="Q538" s="419">
        <f>ROUND(+N538+O538+P538,4)</f>
        <v>0</v>
      </c>
      <c r="R538" s="419">
        <f>ROUND(IF(+Q538-H538&lt;=0,0,Q538-H538),4)</f>
        <v>0</v>
      </c>
      <c r="S538" s="423">
        <v>0.5</v>
      </c>
      <c r="T538" s="419">
        <f>ROUND(+(R538*C538)*S538,4)</f>
        <v>0</v>
      </c>
      <c r="U538" s="419">
        <f>ROUND(+J538+M538+T538,4)</f>
        <v>0</v>
      </c>
      <c r="V538" s="235"/>
    </row>
    <row r="539" spans="1:22" ht="15.75" x14ac:dyDescent="0.25">
      <c r="A539" s="231"/>
      <c r="B539" s="232"/>
      <c r="C539" s="400"/>
      <c r="D539" s="233"/>
      <c r="E539" s="405"/>
      <c r="F539" s="405"/>
      <c r="G539" s="405"/>
      <c r="H539" s="408">
        <f>ROUND(+E539+F539+G539,4)</f>
        <v>0</v>
      </c>
      <c r="I539" s="234"/>
      <c r="J539" s="411"/>
      <c r="K539" s="411"/>
      <c r="L539" s="414">
        <v>0.1</v>
      </c>
      <c r="M539" s="414">
        <f>ROUND(+L539*C539,4)</f>
        <v>0</v>
      </c>
      <c r="N539" s="414"/>
      <c r="O539" s="414"/>
      <c r="P539" s="414"/>
      <c r="Q539" s="419">
        <f>ROUND(+N539+O539+P539,4)</f>
        <v>0</v>
      </c>
      <c r="R539" s="419">
        <f>ROUND(IF(+Q539-H539&lt;=0,0,Q539-H539),4)</f>
        <v>0</v>
      </c>
      <c r="S539" s="423">
        <v>0.5</v>
      </c>
      <c r="T539" s="419">
        <f>ROUND(+(R539*C539)*S539,4)</f>
        <v>0</v>
      </c>
      <c r="U539" s="419">
        <f>ROUND(+J539+M539+T539,4)</f>
        <v>0</v>
      </c>
      <c r="V539" s="235"/>
    </row>
    <row r="540" spans="1:22" ht="15.75" x14ac:dyDescent="0.25">
      <c r="A540" s="231"/>
      <c r="B540" s="232"/>
      <c r="C540" s="400"/>
      <c r="D540" s="233"/>
      <c r="E540" s="405"/>
      <c r="F540" s="405"/>
      <c r="G540" s="405"/>
      <c r="H540" s="408">
        <f>ROUND(+E540+F540+G540,4)</f>
        <v>0</v>
      </c>
      <c r="I540" s="234"/>
      <c r="J540" s="411"/>
      <c r="K540" s="411"/>
      <c r="L540" s="414">
        <v>0.1</v>
      </c>
      <c r="M540" s="414">
        <f>ROUND(+L540*C540,4)</f>
        <v>0</v>
      </c>
      <c r="N540" s="414"/>
      <c r="O540" s="414"/>
      <c r="P540" s="414"/>
      <c r="Q540" s="419">
        <f>ROUND(+N540+O540+P540,4)</f>
        <v>0</v>
      </c>
      <c r="R540" s="419">
        <f>ROUND(IF(+Q540-H540&lt;=0,0,Q540-H540),4)</f>
        <v>0</v>
      </c>
      <c r="S540" s="423">
        <v>0.5</v>
      </c>
      <c r="T540" s="419">
        <f>ROUND(+(R540*C540)*S540,4)</f>
        <v>0</v>
      </c>
      <c r="U540" s="419">
        <f>ROUND(+J540+M540+T540,4)</f>
        <v>0</v>
      </c>
      <c r="V540" s="235"/>
    </row>
    <row r="541" spans="1:22" ht="15.75" x14ac:dyDescent="0.25">
      <c r="A541" s="231"/>
      <c r="B541" s="232"/>
      <c r="C541" s="400"/>
      <c r="D541" s="233"/>
      <c r="E541" s="405"/>
      <c r="F541" s="405"/>
      <c r="G541" s="405"/>
      <c r="H541" s="408">
        <f>ROUND(+E541+F541+G541,4)</f>
        <v>0</v>
      </c>
      <c r="I541" s="234"/>
      <c r="J541" s="411"/>
      <c r="K541" s="411"/>
      <c r="L541" s="414">
        <v>0.1</v>
      </c>
      <c r="M541" s="414">
        <f>ROUND(+L541*C541,4)</f>
        <v>0</v>
      </c>
      <c r="N541" s="414"/>
      <c r="O541" s="414"/>
      <c r="P541" s="414"/>
      <c r="Q541" s="419">
        <f>ROUND(+N541+O541+P541,4)</f>
        <v>0</v>
      </c>
      <c r="R541" s="419">
        <f>ROUND(IF(+Q541-H541&lt;=0,0,Q541-H541),4)</f>
        <v>0</v>
      </c>
      <c r="S541" s="423">
        <v>0.5</v>
      </c>
      <c r="T541" s="419">
        <f>ROUND(+(R541*C541)*S541,4)</f>
        <v>0</v>
      </c>
      <c r="U541" s="419">
        <f>ROUND(+J541+M541+T541,4)</f>
        <v>0</v>
      </c>
      <c r="V541" s="235"/>
    </row>
    <row r="542" spans="1:22" ht="15.75" x14ac:dyDescent="0.25">
      <c r="A542" s="231"/>
      <c r="B542" s="232"/>
      <c r="C542" s="400"/>
      <c r="D542" s="233"/>
      <c r="E542" s="405"/>
      <c r="F542" s="405"/>
      <c r="G542" s="405"/>
      <c r="H542" s="408">
        <f>ROUND(+E542+F542+G542,4)</f>
        <v>0</v>
      </c>
      <c r="I542" s="234"/>
      <c r="J542" s="411"/>
      <c r="K542" s="411"/>
      <c r="L542" s="414">
        <v>0.1</v>
      </c>
      <c r="M542" s="414">
        <f>ROUND(+L542*C542,4)</f>
        <v>0</v>
      </c>
      <c r="N542" s="414"/>
      <c r="O542" s="414"/>
      <c r="P542" s="414"/>
      <c r="Q542" s="419">
        <f>ROUND(+N542+O542+P542,4)</f>
        <v>0</v>
      </c>
      <c r="R542" s="419">
        <f>ROUND(IF(+Q542-H542&lt;=0,0,Q542-H542),4)</f>
        <v>0</v>
      </c>
      <c r="S542" s="423">
        <v>0.5</v>
      </c>
      <c r="T542" s="419">
        <f>ROUND(+(R542*C542)*S542,4)</f>
        <v>0</v>
      </c>
      <c r="U542" s="419">
        <f>ROUND(+J542+M542+T542,4)</f>
        <v>0</v>
      </c>
      <c r="V542" s="235"/>
    </row>
    <row r="543" spans="1:22" ht="15.75" x14ac:dyDescent="0.25">
      <c r="A543" s="231"/>
      <c r="B543" s="232"/>
      <c r="C543" s="400"/>
      <c r="D543" s="233"/>
      <c r="E543" s="405"/>
      <c r="F543" s="405"/>
      <c r="G543" s="405"/>
      <c r="H543" s="408">
        <f>ROUND(+E543+F543+G543,4)</f>
        <v>0</v>
      </c>
      <c r="I543" s="234"/>
      <c r="J543" s="411"/>
      <c r="K543" s="411"/>
      <c r="L543" s="414">
        <v>0.1</v>
      </c>
      <c r="M543" s="414">
        <f>ROUND(+L543*C543,4)</f>
        <v>0</v>
      </c>
      <c r="N543" s="414"/>
      <c r="O543" s="414"/>
      <c r="P543" s="414"/>
      <c r="Q543" s="419">
        <f>ROUND(+N543+O543+P543,4)</f>
        <v>0</v>
      </c>
      <c r="R543" s="419">
        <f>ROUND(IF(+Q543-H543&lt;=0,0,Q543-H543),4)</f>
        <v>0</v>
      </c>
      <c r="S543" s="423">
        <v>0.5</v>
      </c>
      <c r="T543" s="419">
        <f>ROUND(+(R543*C543)*S543,4)</f>
        <v>0</v>
      </c>
      <c r="U543" s="419">
        <f>ROUND(+J543+M543+T543,4)</f>
        <v>0</v>
      </c>
      <c r="V543" s="235"/>
    </row>
    <row r="544" spans="1:22" ht="15.75" x14ac:dyDescent="0.25">
      <c r="A544" s="231"/>
      <c r="B544" s="232"/>
      <c r="C544" s="400"/>
      <c r="D544" s="233"/>
      <c r="E544" s="405"/>
      <c r="F544" s="405"/>
      <c r="G544" s="405"/>
      <c r="H544" s="408">
        <f>ROUND(+E544+F544+G544,4)</f>
        <v>0</v>
      </c>
      <c r="I544" s="234"/>
      <c r="J544" s="411"/>
      <c r="K544" s="411"/>
      <c r="L544" s="414">
        <v>0.1</v>
      </c>
      <c r="M544" s="414">
        <f>ROUND(+L544*C544,4)</f>
        <v>0</v>
      </c>
      <c r="N544" s="414"/>
      <c r="O544" s="414"/>
      <c r="P544" s="414"/>
      <c r="Q544" s="419">
        <f>ROUND(+N544+O544+P544,4)</f>
        <v>0</v>
      </c>
      <c r="R544" s="419">
        <f>ROUND(IF(+Q544-H544&lt;=0,0,Q544-H544),4)</f>
        <v>0</v>
      </c>
      <c r="S544" s="423">
        <v>0.5</v>
      </c>
      <c r="T544" s="419">
        <f>ROUND(+(R544*C544)*S544,4)</f>
        <v>0</v>
      </c>
      <c r="U544" s="419">
        <f>ROUND(+J544+M544+T544,4)</f>
        <v>0</v>
      </c>
      <c r="V544" s="235"/>
    </row>
    <row r="545" spans="1:22" ht="15.75" x14ac:dyDescent="0.25">
      <c r="A545" s="231"/>
      <c r="B545" s="232"/>
      <c r="C545" s="400"/>
      <c r="D545" s="233"/>
      <c r="E545" s="405"/>
      <c r="F545" s="405"/>
      <c r="G545" s="405"/>
      <c r="H545" s="408">
        <f>ROUND(+E545+F545+G545,4)</f>
        <v>0</v>
      </c>
      <c r="I545" s="234"/>
      <c r="J545" s="411"/>
      <c r="K545" s="411"/>
      <c r="L545" s="414">
        <v>0.1</v>
      </c>
      <c r="M545" s="414">
        <f>ROUND(+L545*C545,4)</f>
        <v>0</v>
      </c>
      <c r="N545" s="414"/>
      <c r="O545" s="414"/>
      <c r="P545" s="414"/>
      <c r="Q545" s="419">
        <f>ROUND(+N545+O545+P545,4)</f>
        <v>0</v>
      </c>
      <c r="R545" s="419">
        <f>ROUND(IF(+Q545-H545&lt;=0,0,Q545-H545),4)</f>
        <v>0</v>
      </c>
      <c r="S545" s="423">
        <v>0.5</v>
      </c>
      <c r="T545" s="419">
        <f>ROUND(+(R545*C545)*S545,4)</f>
        <v>0</v>
      </c>
      <c r="U545" s="419">
        <f>ROUND(+J545+M545+T545,4)</f>
        <v>0</v>
      </c>
      <c r="V545" s="235"/>
    </row>
    <row r="546" spans="1:22" ht="15.75" x14ac:dyDescent="0.25">
      <c r="A546" s="231"/>
      <c r="B546" s="232"/>
      <c r="C546" s="400"/>
      <c r="D546" s="233"/>
      <c r="E546" s="405"/>
      <c r="F546" s="405"/>
      <c r="G546" s="405"/>
      <c r="H546" s="408">
        <f>ROUND(+E546+F546+G546,4)</f>
        <v>0</v>
      </c>
      <c r="I546" s="234"/>
      <c r="J546" s="411"/>
      <c r="K546" s="411"/>
      <c r="L546" s="414">
        <v>0.1</v>
      </c>
      <c r="M546" s="414">
        <f>ROUND(+L546*C546,4)</f>
        <v>0</v>
      </c>
      <c r="N546" s="414"/>
      <c r="O546" s="414"/>
      <c r="P546" s="414"/>
      <c r="Q546" s="419">
        <f>ROUND(+N546+O546+P546,4)</f>
        <v>0</v>
      </c>
      <c r="R546" s="419">
        <f>ROUND(IF(+Q546-H546&lt;=0,0,Q546-H546),4)</f>
        <v>0</v>
      </c>
      <c r="S546" s="423">
        <v>0.5</v>
      </c>
      <c r="T546" s="419">
        <f>ROUND(+(R546*C546)*S546,4)</f>
        <v>0</v>
      </c>
      <c r="U546" s="419">
        <f>ROUND(+J546+M546+T546,4)</f>
        <v>0</v>
      </c>
      <c r="V546" s="235"/>
    </row>
    <row r="547" spans="1:22" ht="15.75" x14ac:dyDescent="0.25">
      <c r="A547" s="231"/>
      <c r="B547" s="232"/>
      <c r="C547" s="400"/>
      <c r="D547" s="233"/>
      <c r="E547" s="405"/>
      <c r="F547" s="405"/>
      <c r="G547" s="405"/>
      <c r="H547" s="408">
        <f>ROUND(+E547+F547+G547,4)</f>
        <v>0</v>
      </c>
      <c r="I547" s="234"/>
      <c r="J547" s="411"/>
      <c r="K547" s="411"/>
      <c r="L547" s="414">
        <v>0.1</v>
      </c>
      <c r="M547" s="414">
        <f>ROUND(+L547*C547,4)</f>
        <v>0</v>
      </c>
      <c r="N547" s="414"/>
      <c r="O547" s="414"/>
      <c r="P547" s="414"/>
      <c r="Q547" s="419">
        <f>ROUND(+N547+O547+P547,4)</f>
        <v>0</v>
      </c>
      <c r="R547" s="419">
        <f>ROUND(IF(+Q547-H547&lt;=0,0,Q547-H547),4)</f>
        <v>0</v>
      </c>
      <c r="S547" s="423">
        <v>0.5</v>
      </c>
      <c r="T547" s="419">
        <f>ROUND(+(R547*C547)*S547,4)</f>
        <v>0</v>
      </c>
      <c r="U547" s="419">
        <f>ROUND(+J547+M547+T547,4)</f>
        <v>0</v>
      </c>
      <c r="V547" s="235"/>
    </row>
    <row r="548" spans="1:22" ht="15.75" x14ac:dyDescent="0.25">
      <c r="A548" s="231"/>
      <c r="B548" s="232"/>
      <c r="C548" s="400"/>
      <c r="D548" s="233"/>
      <c r="E548" s="405"/>
      <c r="F548" s="405"/>
      <c r="G548" s="405"/>
      <c r="H548" s="408">
        <f>ROUND(+E548+F548+G548,4)</f>
        <v>0</v>
      </c>
      <c r="I548" s="234"/>
      <c r="J548" s="411"/>
      <c r="K548" s="411"/>
      <c r="L548" s="414">
        <v>0.1</v>
      </c>
      <c r="M548" s="414">
        <f>ROUND(+L548*C548,4)</f>
        <v>0</v>
      </c>
      <c r="N548" s="414"/>
      <c r="O548" s="414"/>
      <c r="P548" s="414"/>
      <c r="Q548" s="419">
        <f>ROUND(+N548+O548+P548,4)</f>
        <v>0</v>
      </c>
      <c r="R548" s="419">
        <f>ROUND(IF(+Q548-H548&lt;=0,0,Q548-H548),4)</f>
        <v>0</v>
      </c>
      <c r="S548" s="423">
        <v>0.5</v>
      </c>
      <c r="T548" s="419">
        <f>ROUND(+(R548*C548)*S548,4)</f>
        <v>0</v>
      </c>
      <c r="U548" s="419">
        <f>ROUND(+J548+M548+T548,4)</f>
        <v>0</v>
      </c>
      <c r="V548" s="235"/>
    </row>
    <row r="549" spans="1:22" ht="15.75" x14ac:dyDescent="0.25">
      <c r="A549" s="231"/>
      <c r="B549" s="232"/>
      <c r="C549" s="400"/>
      <c r="D549" s="233"/>
      <c r="E549" s="405"/>
      <c r="F549" s="405"/>
      <c r="G549" s="405"/>
      <c r="H549" s="408">
        <f>ROUND(+E549+F549+G549,4)</f>
        <v>0</v>
      </c>
      <c r="I549" s="234"/>
      <c r="J549" s="411"/>
      <c r="K549" s="411"/>
      <c r="L549" s="414">
        <v>0.1</v>
      </c>
      <c r="M549" s="414">
        <f>ROUND(+L549*C549,4)</f>
        <v>0</v>
      </c>
      <c r="N549" s="414"/>
      <c r="O549" s="414"/>
      <c r="P549" s="414"/>
      <c r="Q549" s="419">
        <f>ROUND(+N549+O549+P549,4)</f>
        <v>0</v>
      </c>
      <c r="R549" s="419">
        <f>ROUND(IF(+Q549-H549&lt;=0,0,Q549-H549),4)</f>
        <v>0</v>
      </c>
      <c r="S549" s="423">
        <v>0.5</v>
      </c>
      <c r="T549" s="419">
        <f>ROUND(+(R549*C549)*S549,4)</f>
        <v>0</v>
      </c>
      <c r="U549" s="419">
        <f>ROUND(+J549+M549+T549,4)</f>
        <v>0</v>
      </c>
      <c r="V549" s="235"/>
    </row>
    <row r="550" spans="1:22" ht="15.75" x14ac:dyDescent="0.25">
      <c r="A550" s="231"/>
      <c r="B550" s="232"/>
      <c r="C550" s="400"/>
      <c r="D550" s="233"/>
      <c r="E550" s="405"/>
      <c r="F550" s="405"/>
      <c r="G550" s="405"/>
      <c r="H550" s="408">
        <f>ROUND(+E550+F550+G550,4)</f>
        <v>0</v>
      </c>
      <c r="I550" s="234"/>
      <c r="J550" s="411"/>
      <c r="K550" s="411"/>
      <c r="L550" s="414">
        <v>0.1</v>
      </c>
      <c r="M550" s="414">
        <f>ROUND(+L550*C550,4)</f>
        <v>0</v>
      </c>
      <c r="N550" s="414"/>
      <c r="O550" s="414"/>
      <c r="P550" s="414"/>
      <c r="Q550" s="419">
        <f>ROUND(+N550+O550+P550,4)</f>
        <v>0</v>
      </c>
      <c r="R550" s="419">
        <f>ROUND(IF(+Q550-H550&lt;=0,0,Q550-H550),4)</f>
        <v>0</v>
      </c>
      <c r="S550" s="423">
        <v>0.5</v>
      </c>
      <c r="T550" s="419">
        <f>ROUND(+(R550*C550)*S550,4)</f>
        <v>0</v>
      </c>
      <c r="U550" s="419">
        <f>ROUND(+J550+M550+T550,4)</f>
        <v>0</v>
      </c>
      <c r="V550" s="235"/>
    </row>
    <row r="551" spans="1:22" ht="15.75" x14ac:dyDescent="0.25">
      <c r="A551" s="231"/>
      <c r="B551" s="232"/>
      <c r="C551" s="400"/>
      <c r="D551" s="233"/>
      <c r="E551" s="405"/>
      <c r="F551" s="405"/>
      <c r="G551" s="405"/>
      <c r="H551" s="408">
        <f>ROUND(+E551+F551+G551,4)</f>
        <v>0</v>
      </c>
      <c r="I551" s="234"/>
      <c r="J551" s="411"/>
      <c r="K551" s="411"/>
      <c r="L551" s="414">
        <v>0.1</v>
      </c>
      <c r="M551" s="414">
        <f>ROUND(+L551*C551,4)</f>
        <v>0</v>
      </c>
      <c r="N551" s="414"/>
      <c r="O551" s="414"/>
      <c r="P551" s="414"/>
      <c r="Q551" s="419">
        <f>ROUND(+N551+O551+P551,4)</f>
        <v>0</v>
      </c>
      <c r="R551" s="419">
        <f>ROUND(IF(+Q551-H551&lt;=0,0,Q551-H551),4)</f>
        <v>0</v>
      </c>
      <c r="S551" s="423">
        <v>0.5</v>
      </c>
      <c r="T551" s="419">
        <f>ROUND(+(R551*C551)*S551,4)</f>
        <v>0</v>
      </c>
      <c r="U551" s="419">
        <f>ROUND(+J551+M551+T551,4)</f>
        <v>0</v>
      </c>
      <c r="V551" s="235"/>
    </row>
    <row r="552" spans="1:22" ht="15.75" x14ac:dyDescent="0.25">
      <c r="A552" s="231"/>
      <c r="B552" s="232"/>
      <c r="C552" s="400"/>
      <c r="D552" s="233"/>
      <c r="E552" s="405"/>
      <c r="F552" s="405"/>
      <c r="G552" s="405"/>
      <c r="H552" s="408">
        <f>ROUND(+E552+F552+G552,4)</f>
        <v>0</v>
      </c>
      <c r="I552" s="234"/>
      <c r="J552" s="411"/>
      <c r="K552" s="411"/>
      <c r="L552" s="414">
        <v>0.1</v>
      </c>
      <c r="M552" s="414">
        <f>ROUND(+L552*C552,4)</f>
        <v>0</v>
      </c>
      <c r="N552" s="414"/>
      <c r="O552" s="414"/>
      <c r="P552" s="414"/>
      <c r="Q552" s="419">
        <f>ROUND(+N552+O552+P552,4)</f>
        <v>0</v>
      </c>
      <c r="R552" s="419">
        <f>ROUND(IF(+Q552-H552&lt;=0,0,Q552-H552),4)</f>
        <v>0</v>
      </c>
      <c r="S552" s="423">
        <v>0.5</v>
      </c>
      <c r="T552" s="419">
        <f>ROUND(+(R552*C552)*S552,4)</f>
        <v>0</v>
      </c>
      <c r="U552" s="419">
        <f>ROUND(+J552+M552+T552,4)</f>
        <v>0</v>
      </c>
      <c r="V552" s="235"/>
    </row>
    <row r="553" spans="1:22" ht="15.75" x14ac:dyDescent="0.25">
      <c r="A553" s="231"/>
      <c r="B553" s="232"/>
      <c r="C553" s="400"/>
      <c r="D553" s="233"/>
      <c r="E553" s="405"/>
      <c r="F553" s="405"/>
      <c r="G553" s="405"/>
      <c r="H553" s="408">
        <f>ROUND(+E553+F553+G553,4)</f>
        <v>0</v>
      </c>
      <c r="I553" s="234"/>
      <c r="J553" s="411"/>
      <c r="K553" s="411"/>
      <c r="L553" s="414">
        <v>0.1</v>
      </c>
      <c r="M553" s="414">
        <f>ROUND(+L553*C553,4)</f>
        <v>0</v>
      </c>
      <c r="N553" s="414"/>
      <c r="O553" s="414"/>
      <c r="P553" s="414"/>
      <c r="Q553" s="419">
        <f>ROUND(+N553+O553+P553,4)</f>
        <v>0</v>
      </c>
      <c r="R553" s="419">
        <f>ROUND(IF(+Q553-H553&lt;=0,0,Q553-H553),4)</f>
        <v>0</v>
      </c>
      <c r="S553" s="423">
        <v>0.5</v>
      </c>
      <c r="T553" s="419">
        <f>ROUND(+(R553*C553)*S553,4)</f>
        <v>0</v>
      </c>
      <c r="U553" s="419">
        <f>ROUND(+J553+M553+T553,4)</f>
        <v>0</v>
      </c>
      <c r="V553" s="235"/>
    </row>
    <row r="554" spans="1:22" ht="15.75" x14ac:dyDescent="0.25">
      <c r="A554" s="231"/>
      <c r="B554" s="232"/>
      <c r="C554" s="400"/>
      <c r="D554" s="233"/>
      <c r="E554" s="405"/>
      <c r="F554" s="405"/>
      <c r="G554" s="405"/>
      <c r="H554" s="408">
        <f>ROUND(+E554+F554+G554,4)</f>
        <v>0</v>
      </c>
      <c r="I554" s="234"/>
      <c r="J554" s="411"/>
      <c r="K554" s="411"/>
      <c r="L554" s="414">
        <v>0.1</v>
      </c>
      <c r="M554" s="414">
        <f>ROUND(+L554*C554,4)</f>
        <v>0</v>
      </c>
      <c r="N554" s="414"/>
      <c r="O554" s="414"/>
      <c r="P554" s="414"/>
      <c r="Q554" s="419">
        <f>ROUND(+N554+O554+P554,4)</f>
        <v>0</v>
      </c>
      <c r="R554" s="419">
        <f>ROUND(IF(+Q554-H554&lt;=0,0,Q554-H554),4)</f>
        <v>0</v>
      </c>
      <c r="S554" s="423">
        <v>0.5</v>
      </c>
      <c r="T554" s="419">
        <f>ROUND(+(R554*C554)*S554,4)</f>
        <v>0</v>
      </c>
      <c r="U554" s="419">
        <f>ROUND(+J554+M554+T554,4)</f>
        <v>0</v>
      </c>
      <c r="V554" s="235"/>
    </row>
    <row r="555" spans="1:22" ht="15.75" x14ac:dyDescent="0.25">
      <c r="A555" s="231"/>
      <c r="B555" s="232"/>
      <c r="C555" s="400"/>
      <c r="D555" s="233"/>
      <c r="E555" s="405"/>
      <c r="F555" s="405"/>
      <c r="G555" s="405"/>
      <c r="H555" s="408">
        <f>ROUND(+E555+F555+G555,4)</f>
        <v>0</v>
      </c>
      <c r="I555" s="234"/>
      <c r="J555" s="411"/>
      <c r="K555" s="411"/>
      <c r="L555" s="414">
        <v>0.1</v>
      </c>
      <c r="M555" s="414">
        <f>ROUND(+L555*C555,4)</f>
        <v>0</v>
      </c>
      <c r="N555" s="414"/>
      <c r="O555" s="414"/>
      <c r="P555" s="414"/>
      <c r="Q555" s="419">
        <f>ROUND(+N555+O555+P555,4)</f>
        <v>0</v>
      </c>
      <c r="R555" s="419">
        <f>ROUND(IF(+Q555-H555&lt;=0,0,Q555-H555),4)</f>
        <v>0</v>
      </c>
      <c r="S555" s="423">
        <v>0.5</v>
      </c>
      <c r="T555" s="419">
        <f>ROUND(+(R555*C555)*S555,4)</f>
        <v>0</v>
      </c>
      <c r="U555" s="419">
        <f>ROUND(+J555+M555+T555,4)</f>
        <v>0</v>
      </c>
      <c r="V555" s="235"/>
    </row>
    <row r="556" spans="1:22" ht="15.75" x14ac:dyDescent="0.25">
      <c r="A556" s="231"/>
      <c r="B556" s="232"/>
      <c r="C556" s="400"/>
      <c r="D556" s="233"/>
      <c r="E556" s="405"/>
      <c r="F556" s="405"/>
      <c r="G556" s="405"/>
      <c r="H556" s="408">
        <f>ROUND(+E556+F556+G556,4)</f>
        <v>0</v>
      </c>
      <c r="I556" s="234"/>
      <c r="J556" s="411"/>
      <c r="K556" s="411"/>
      <c r="L556" s="414">
        <v>0.1</v>
      </c>
      <c r="M556" s="414">
        <f>ROUND(+L556*C556,4)</f>
        <v>0</v>
      </c>
      <c r="N556" s="414"/>
      <c r="O556" s="414"/>
      <c r="P556" s="414"/>
      <c r="Q556" s="419">
        <f>ROUND(+N556+O556+P556,4)</f>
        <v>0</v>
      </c>
      <c r="R556" s="419">
        <f>ROUND(IF(+Q556-H556&lt;=0,0,Q556-H556),4)</f>
        <v>0</v>
      </c>
      <c r="S556" s="423">
        <v>0.5</v>
      </c>
      <c r="T556" s="419">
        <f>ROUND(+(R556*C556)*S556,4)</f>
        <v>0</v>
      </c>
      <c r="U556" s="419">
        <f>ROUND(+J556+M556+T556,4)</f>
        <v>0</v>
      </c>
      <c r="V556" s="235"/>
    </row>
    <row r="557" spans="1:22" ht="15.75" x14ac:dyDescent="0.25">
      <c r="A557" s="231"/>
      <c r="B557" s="232"/>
      <c r="C557" s="400"/>
      <c r="D557" s="233"/>
      <c r="E557" s="405"/>
      <c r="F557" s="405"/>
      <c r="G557" s="405"/>
      <c r="H557" s="408">
        <f>ROUND(+E557+F557+G557,4)</f>
        <v>0</v>
      </c>
      <c r="I557" s="234"/>
      <c r="J557" s="411"/>
      <c r="K557" s="411"/>
      <c r="L557" s="414">
        <v>0.1</v>
      </c>
      <c r="M557" s="414">
        <f>ROUND(+L557*C557,4)</f>
        <v>0</v>
      </c>
      <c r="N557" s="414"/>
      <c r="O557" s="414"/>
      <c r="P557" s="414"/>
      <c r="Q557" s="419">
        <f>ROUND(+N557+O557+P557,4)</f>
        <v>0</v>
      </c>
      <c r="R557" s="419">
        <f>ROUND(IF(+Q557-H557&lt;=0,0,Q557-H557),4)</f>
        <v>0</v>
      </c>
      <c r="S557" s="423">
        <v>0.5</v>
      </c>
      <c r="T557" s="419">
        <f>ROUND(+(R557*C557)*S557,4)</f>
        <v>0</v>
      </c>
      <c r="U557" s="419">
        <f>ROUND(+J557+M557+T557,4)</f>
        <v>0</v>
      </c>
      <c r="V557" s="235"/>
    </row>
    <row r="558" spans="1:22" ht="15.75" x14ac:dyDescent="0.25">
      <c r="A558" s="231"/>
      <c r="B558" s="232"/>
      <c r="C558" s="400"/>
      <c r="D558" s="233"/>
      <c r="E558" s="405"/>
      <c r="F558" s="405"/>
      <c r="G558" s="405"/>
      <c r="H558" s="408">
        <f>ROUND(+E558+F558+G558,4)</f>
        <v>0</v>
      </c>
      <c r="I558" s="234"/>
      <c r="J558" s="411"/>
      <c r="K558" s="411"/>
      <c r="L558" s="414">
        <v>0.1</v>
      </c>
      <c r="M558" s="414">
        <f>ROUND(+L558*C558,4)</f>
        <v>0</v>
      </c>
      <c r="N558" s="414"/>
      <c r="O558" s="414"/>
      <c r="P558" s="414"/>
      <c r="Q558" s="419">
        <f>ROUND(+N558+O558+P558,4)</f>
        <v>0</v>
      </c>
      <c r="R558" s="419">
        <f>ROUND(IF(+Q558-H558&lt;=0,0,Q558-H558),4)</f>
        <v>0</v>
      </c>
      <c r="S558" s="423">
        <v>0.5</v>
      </c>
      <c r="T558" s="419">
        <f>ROUND(+(R558*C558)*S558,4)</f>
        <v>0</v>
      </c>
      <c r="U558" s="419">
        <f>ROUND(+J558+M558+T558,4)</f>
        <v>0</v>
      </c>
      <c r="V558" s="235"/>
    </row>
    <row r="559" spans="1:22" ht="15.75" x14ac:dyDescent="0.25">
      <c r="A559" s="231"/>
      <c r="B559" s="232"/>
      <c r="C559" s="400"/>
      <c r="D559" s="233"/>
      <c r="E559" s="405"/>
      <c r="F559" s="405"/>
      <c r="G559" s="405"/>
      <c r="H559" s="408">
        <f>ROUND(+E559+F559+G559,4)</f>
        <v>0</v>
      </c>
      <c r="I559" s="234"/>
      <c r="J559" s="411"/>
      <c r="K559" s="411"/>
      <c r="L559" s="414">
        <v>0.1</v>
      </c>
      <c r="M559" s="414">
        <f>ROUND(+L559*C559,4)</f>
        <v>0</v>
      </c>
      <c r="N559" s="414"/>
      <c r="O559" s="414"/>
      <c r="P559" s="414"/>
      <c r="Q559" s="419">
        <f>ROUND(+N559+O559+P559,4)</f>
        <v>0</v>
      </c>
      <c r="R559" s="419">
        <f>ROUND(IF(+Q559-H559&lt;=0,0,Q559-H559),4)</f>
        <v>0</v>
      </c>
      <c r="S559" s="423">
        <v>0.5</v>
      </c>
      <c r="T559" s="419">
        <f>ROUND(+(R559*C559)*S559,4)</f>
        <v>0</v>
      </c>
      <c r="U559" s="419">
        <f>ROUND(+J559+M559+T559,4)</f>
        <v>0</v>
      </c>
      <c r="V559" s="235"/>
    </row>
    <row r="560" spans="1:22" ht="15.75" x14ac:dyDescent="0.25">
      <c r="A560" s="231"/>
      <c r="B560" s="232"/>
      <c r="C560" s="400"/>
      <c r="D560" s="233"/>
      <c r="E560" s="405"/>
      <c r="F560" s="405"/>
      <c r="G560" s="405"/>
      <c r="H560" s="408">
        <f>ROUND(+E560+F560+G560,4)</f>
        <v>0</v>
      </c>
      <c r="I560" s="234"/>
      <c r="J560" s="411"/>
      <c r="K560" s="411"/>
      <c r="L560" s="414">
        <v>0.1</v>
      </c>
      <c r="M560" s="414">
        <f>ROUND(+L560*C560,4)</f>
        <v>0</v>
      </c>
      <c r="N560" s="414"/>
      <c r="O560" s="414"/>
      <c r="P560" s="414"/>
      <c r="Q560" s="419">
        <f>ROUND(+N560+O560+P560,4)</f>
        <v>0</v>
      </c>
      <c r="R560" s="419">
        <f>ROUND(IF(+Q560-H560&lt;=0,0,Q560-H560),4)</f>
        <v>0</v>
      </c>
      <c r="S560" s="423">
        <v>0.5</v>
      </c>
      <c r="T560" s="419">
        <f>ROUND(+(R560*C560)*S560,4)</f>
        <v>0</v>
      </c>
      <c r="U560" s="419">
        <f>ROUND(+J560+M560+T560,4)</f>
        <v>0</v>
      </c>
      <c r="V560" s="235"/>
    </row>
    <row r="561" spans="1:22" ht="15.75" x14ac:dyDescent="0.25">
      <c r="A561" s="231"/>
      <c r="B561" s="232"/>
      <c r="C561" s="400"/>
      <c r="D561" s="233"/>
      <c r="E561" s="405"/>
      <c r="F561" s="405"/>
      <c r="G561" s="405"/>
      <c r="H561" s="408">
        <f>ROUND(+E561+F561+G561,4)</f>
        <v>0</v>
      </c>
      <c r="I561" s="234"/>
      <c r="J561" s="411"/>
      <c r="K561" s="411"/>
      <c r="L561" s="414">
        <v>0.1</v>
      </c>
      <c r="M561" s="414">
        <f>ROUND(+L561*C561,4)</f>
        <v>0</v>
      </c>
      <c r="N561" s="414"/>
      <c r="O561" s="414"/>
      <c r="P561" s="414"/>
      <c r="Q561" s="419">
        <f>ROUND(+N561+O561+P561,4)</f>
        <v>0</v>
      </c>
      <c r="R561" s="419">
        <f>ROUND(IF(+Q561-H561&lt;=0,0,Q561-H561),4)</f>
        <v>0</v>
      </c>
      <c r="S561" s="423">
        <v>0.5</v>
      </c>
      <c r="T561" s="419">
        <f>ROUND(+(R561*C561)*S561,4)</f>
        <v>0</v>
      </c>
      <c r="U561" s="419">
        <f>ROUND(+J561+M561+T561,4)</f>
        <v>0</v>
      </c>
      <c r="V561" s="235"/>
    </row>
    <row r="562" spans="1:22" ht="15.75" x14ac:dyDescent="0.25">
      <c r="A562" s="231"/>
      <c r="B562" s="232"/>
      <c r="C562" s="400"/>
      <c r="D562" s="233"/>
      <c r="E562" s="405"/>
      <c r="F562" s="405"/>
      <c r="G562" s="405"/>
      <c r="H562" s="408">
        <f>ROUND(+E562+F562+G562,4)</f>
        <v>0</v>
      </c>
      <c r="I562" s="234"/>
      <c r="J562" s="411"/>
      <c r="K562" s="411"/>
      <c r="L562" s="414">
        <v>0.1</v>
      </c>
      <c r="M562" s="414">
        <f>ROUND(+L562*C562,4)</f>
        <v>0</v>
      </c>
      <c r="N562" s="414"/>
      <c r="O562" s="414"/>
      <c r="P562" s="414"/>
      <c r="Q562" s="419">
        <f>ROUND(+N562+O562+P562,4)</f>
        <v>0</v>
      </c>
      <c r="R562" s="419">
        <f>ROUND(IF(+Q562-H562&lt;=0,0,Q562-H562),4)</f>
        <v>0</v>
      </c>
      <c r="S562" s="423">
        <v>0.5</v>
      </c>
      <c r="T562" s="419">
        <f>ROUND(+(R562*C562)*S562,4)</f>
        <v>0</v>
      </c>
      <c r="U562" s="419">
        <f>ROUND(+J562+M562+T562,4)</f>
        <v>0</v>
      </c>
      <c r="V562" s="235"/>
    </row>
    <row r="563" spans="1:22" ht="15.75" x14ac:dyDescent="0.25">
      <c r="A563" s="231"/>
      <c r="B563" s="232"/>
      <c r="C563" s="400"/>
      <c r="D563" s="233"/>
      <c r="E563" s="405"/>
      <c r="F563" s="405"/>
      <c r="G563" s="405"/>
      <c r="H563" s="408">
        <f>ROUND(+E563+F563+G563,4)</f>
        <v>0</v>
      </c>
      <c r="I563" s="234"/>
      <c r="J563" s="411"/>
      <c r="K563" s="411"/>
      <c r="L563" s="414">
        <v>0.1</v>
      </c>
      <c r="M563" s="414">
        <f>ROUND(+L563*C563,4)</f>
        <v>0</v>
      </c>
      <c r="N563" s="414"/>
      <c r="O563" s="414"/>
      <c r="P563" s="414"/>
      <c r="Q563" s="419">
        <f>ROUND(+N563+O563+P563,4)</f>
        <v>0</v>
      </c>
      <c r="R563" s="419">
        <f>ROUND(IF(+Q563-H563&lt;=0,0,Q563-H563),4)</f>
        <v>0</v>
      </c>
      <c r="S563" s="423">
        <v>0.5</v>
      </c>
      <c r="T563" s="419">
        <f>ROUND(+(R563*C563)*S563,4)</f>
        <v>0</v>
      </c>
      <c r="U563" s="419">
        <f>ROUND(+J563+M563+T563,4)</f>
        <v>0</v>
      </c>
      <c r="V563" s="235"/>
    </row>
    <row r="564" spans="1:22" ht="15.75" x14ac:dyDescent="0.25">
      <c r="A564" s="231"/>
      <c r="B564" s="232"/>
      <c r="C564" s="400"/>
      <c r="D564" s="233"/>
      <c r="E564" s="405"/>
      <c r="F564" s="405"/>
      <c r="G564" s="405"/>
      <c r="H564" s="408">
        <f>ROUND(+E564+F564+G564,4)</f>
        <v>0</v>
      </c>
      <c r="I564" s="234"/>
      <c r="J564" s="411"/>
      <c r="K564" s="411"/>
      <c r="L564" s="414">
        <v>0.1</v>
      </c>
      <c r="M564" s="414">
        <f>ROUND(+L564*C564,4)</f>
        <v>0</v>
      </c>
      <c r="N564" s="414"/>
      <c r="O564" s="414"/>
      <c r="P564" s="414"/>
      <c r="Q564" s="419">
        <f>ROUND(+N564+O564+P564,4)</f>
        <v>0</v>
      </c>
      <c r="R564" s="419">
        <f>ROUND(IF(+Q564-H564&lt;=0,0,Q564-H564),4)</f>
        <v>0</v>
      </c>
      <c r="S564" s="423">
        <v>0.5</v>
      </c>
      <c r="T564" s="419">
        <f>ROUND(+(R564*C564)*S564,4)</f>
        <v>0</v>
      </c>
      <c r="U564" s="419">
        <f>ROUND(+J564+M564+T564,4)</f>
        <v>0</v>
      </c>
      <c r="V564" s="235"/>
    </row>
    <row r="565" spans="1:22" ht="15.75" x14ac:dyDescent="0.25">
      <c r="A565" s="231"/>
      <c r="B565" s="232"/>
      <c r="C565" s="400"/>
      <c r="D565" s="233"/>
      <c r="E565" s="405"/>
      <c r="F565" s="405"/>
      <c r="G565" s="405"/>
      <c r="H565" s="408">
        <f>ROUND(+E565+F565+G565,4)</f>
        <v>0</v>
      </c>
      <c r="I565" s="234"/>
      <c r="J565" s="411"/>
      <c r="K565" s="411"/>
      <c r="L565" s="414">
        <v>0.1</v>
      </c>
      <c r="M565" s="414">
        <f>ROUND(+L565*C565,4)</f>
        <v>0</v>
      </c>
      <c r="N565" s="414"/>
      <c r="O565" s="414"/>
      <c r="P565" s="414"/>
      <c r="Q565" s="419">
        <f>ROUND(+N565+O565+P565,4)</f>
        <v>0</v>
      </c>
      <c r="R565" s="419">
        <f>ROUND(IF(+Q565-H565&lt;=0,0,Q565-H565),4)</f>
        <v>0</v>
      </c>
      <c r="S565" s="423">
        <v>0.5</v>
      </c>
      <c r="T565" s="419">
        <f>ROUND(+(R565*C565)*S565,4)</f>
        <v>0</v>
      </c>
      <c r="U565" s="419">
        <f>ROUND(+J565+M565+T565,4)</f>
        <v>0</v>
      </c>
      <c r="V565" s="235"/>
    </row>
    <row r="566" spans="1:22" ht="15.75" x14ac:dyDescent="0.25">
      <c r="A566" s="231"/>
      <c r="B566" s="232"/>
      <c r="C566" s="400"/>
      <c r="D566" s="233"/>
      <c r="E566" s="405"/>
      <c r="F566" s="405"/>
      <c r="G566" s="405"/>
      <c r="H566" s="408">
        <f>ROUND(+E566+F566+G566,4)</f>
        <v>0</v>
      </c>
      <c r="I566" s="234"/>
      <c r="J566" s="411"/>
      <c r="K566" s="411"/>
      <c r="L566" s="414">
        <v>0.1</v>
      </c>
      <c r="M566" s="414">
        <f>ROUND(+L566*C566,4)</f>
        <v>0</v>
      </c>
      <c r="N566" s="414"/>
      <c r="O566" s="414"/>
      <c r="P566" s="414"/>
      <c r="Q566" s="419">
        <f>ROUND(+N566+O566+P566,4)</f>
        <v>0</v>
      </c>
      <c r="R566" s="419">
        <f>ROUND(IF(+Q566-H566&lt;=0,0,Q566-H566),4)</f>
        <v>0</v>
      </c>
      <c r="S566" s="423">
        <v>0.5</v>
      </c>
      <c r="T566" s="419">
        <f>ROUND(+(R566*C566)*S566,4)</f>
        <v>0</v>
      </c>
      <c r="U566" s="419">
        <f>ROUND(+J566+M566+T566,4)</f>
        <v>0</v>
      </c>
      <c r="V566" s="235"/>
    </row>
    <row r="567" spans="1:22" ht="15.75" x14ac:dyDescent="0.25">
      <c r="A567" s="231"/>
      <c r="B567" s="232"/>
      <c r="C567" s="400"/>
      <c r="D567" s="233"/>
      <c r="E567" s="405"/>
      <c r="F567" s="405"/>
      <c r="G567" s="405"/>
      <c r="H567" s="408">
        <f>ROUND(+E567+F567+G567,4)</f>
        <v>0</v>
      </c>
      <c r="I567" s="234"/>
      <c r="J567" s="411"/>
      <c r="K567" s="411"/>
      <c r="L567" s="414">
        <v>0.1</v>
      </c>
      <c r="M567" s="414">
        <f>ROUND(+L567*C567,4)</f>
        <v>0</v>
      </c>
      <c r="N567" s="414"/>
      <c r="O567" s="414"/>
      <c r="P567" s="414"/>
      <c r="Q567" s="419">
        <f>ROUND(+N567+O567+P567,4)</f>
        <v>0</v>
      </c>
      <c r="R567" s="419">
        <f>ROUND(IF(+Q567-H567&lt;=0,0,Q567-H567),4)</f>
        <v>0</v>
      </c>
      <c r="S567" s="423">
        <v>0.5</v>
      </c>
      <c r="T567" s="419">
        <f>ROUND(+(R567*C567)*S567,4)</f>
        <v>0</v>
      </c>
      <c r="U567" s="419">
        <f>ROUND(+J567+M567+T567,4)</f>
        <v>0</v>
      </c>
      <c r="V567" s="235"/>
    </row>
    <row r="568" spans="1:22" ht="15.75" x14ac:dyDescent="0.25">
      <c r="A568" s="231"/>
      <c r="B568" s="232"/>
      <c r="C568" s="400"/>
      <c r="D568" s="233"/>
      <c r="E568" s="405"/>
      <c r="F568" s="405"/>
      <c r="G568" s="405"/>
      <c r="H568" s="408">
        <f>ROUND(+E568+F568+G568,4)</f>
        <v>0</v>
      </c>
      <c r="I568" s="234"/>
      <c r="J568" s="411"/>
      <c r="K568" s="411"/>
      <c r="L568" s="414">
        <v>0.1</v>
      </c>
      <c r="M568" s="414">
        <f>ROUND(+L568*C568,4)</f>
        <v>0</v>
      </c>
      <c r="N568" s="414"/>
      <c r="O568" s="414"/>
      <c r="P568" s="414"/>
      <c r="Q568" s="419">
        <f>ROUND(+N568+O568+P568,4)</f>
        <v>0</v>
      </c>
      <c r="R568" s="419">
        <f>ROUND(IF(+Q568-H568&lt;=0,0,Q568-H568),4)</f>
        <v>0</v>
      </c>
      <c r="S568" s="423">
        <v>0.5</v>
      </c>
      <c r="T568" s="419">
        <f>ROUND(+(R568*C568)*S568,4)</f>
        <v>0</v>
      </c>
      <c r="U568" s="419">
        <f>ROUND(+J568+M568+T568,4)</f>
        <v>0</v>
      </c>
      <c r="V568" s="235"/>
    </row>
    <row r="569" spans="1:22" ht="15.75" x14ac:dyDescent="0.25">
      <c r="A569" s="231"/>
      <c r="B569" s="232"/>
      <c r="C569" s="400"/>
      <c r="D569" s="233"/>
      <c r="E569" s="405"/>
      <c r="F569" s="405"/>
      <c r="G569" s="405"/>
      <c r="H569" s="408">
        <f>ROUND(+E569+F569+G569,4)</f>
        <v>0</v>
      </c>
      <c r="I569" s="234"/>
      <c r="J569" s="411"/>
      <c r="K569" s="411"/>
      <c r="L569" s="414">
        <v>0.1</v>
      </c>
      <c r="M569" s="414">
        <f>ROUND(+L569*C569,4)</f>
        <v>0</v>
      </c>
      <c r="N569" s="414"/>
      <c r="O569" s="414"/>
      <c r="P569" s="414"/>
      <c r="Q569" s="419">
        <f>ROUND(+N569+O569+P569,4)</f>
        <v>0</v>
      </c>
      <c r="R569" s="419">
        <f>ROUND(IF(+Q569-H569&lt;=0,0,Q569-H569),4)</f>
        <v>0</v>
      </c>
      <c r="S569" s="423">
        <v>0.5</v>
      </c>
      <c r="T569" s="419">
        <f>ROUND(+(R569*C569)*S569,4)</f>
        <v>0</v>
      </c>
      <c r="U569" s="419">
        <f>ROUND(+J569+M569+T569,4)</f>
        <v>0</v>
      </c>
      <c r="V569" s="235"/>
    </row>
    <row r="570" spans="1:22" ht="15.75" x14ac:dyDescent="0.25">
      <c r="A570" s="231"/>
      <c r="B570" s="232"/>
      <c r="C570" s="400"/>
      <c r="D570" s="233"/>
      <c r="E570" s="405"/>
      <c r="F570" s="405"/>
      <c r="G570" s="405"/>
      <c r="H570" s="408">
        <f>ROUND(+E570+F570+G570,4)</f>
        <v>0</v>
      </c>
      <c r="I570" s="234"/>
      <c r="J570" s="411"/>
      <c r="K570" s="411"/>
      <c r="L570" s="414">
        <v>0.1</v>
      </c>
      <c r="M570" s="414">
        <f>ROUND(+L570*C570,4)</f>
        <v>0</v>
      </c>
      <c r="N570" s="414"/>
      <c r="O570" s="414"/>
      <c r="P570" s="414"/>
      <c r="Q570" s="419">
        <f>ROUND(+N570+O570+P570,4)</f>
        <v>0</v>
      </c>
      <c r="R570" s="419">
        <f>ROUND(IF(+Q570-H570&lt;=0,0,Q570-H570),4)</f>
        <v>0</v>
      </c>
      <c r="S570" s="423">
        <v>0.5</v>
      </c>
      <c r="T570" s="419">
        <f>ROUND(+(R570*C570)*S570,4)</f>
        <v>0</v>
      </c>
      <c r="U570" s="419">
        <f>ROUND(+J570+M570+T570,4)</f>
        <v>0</v>
      </c>
      <c r="V570" s="235"/>
    </row>
    <row r="571" spans="1:22" ht="15.75" x14ac:dyDescent="0.25">
      <c r="A571" s="231"/>
      <c r="B571" s="232"/>
      <c r="C571" s="400"/>
      <c r="D571" s="233"/>
      <c r="E571" s="405"/>
      <c r="F571" s="405"/>
      <c r="G571" s="405"/>
      <c r="H571" s="408">
        <f>ROUND(+E571+F571+G571,4)</f>
        <v>0</v>
      </c>
      <c r="I571" s="234"/>
      <c r="J571" s="411"/>
      <c r="K571" s="411"/>
      <c r="L571" s="414">
        <v>0.1</v>
      </c>
      <c r="M571" s="414">
        <f>ROUND(+L571*C571,4)</f>
        <v>0</v>
      </c>
      <c r="N571" s="414"/>
      <c r="O571" s="414"/>
      <c r="P571" s="414"/>
      <c r="Q571" s="419">
        <f>ROUND(+N571+O571+P571,4)</f>
        <v>0</v>
      </c>
      <c r="R571" s="419">
        <f>ROUND(IF(+Q571-H571&lt;=0,0,Q571-H571),4)</f>
        <v>0</v>
      </c>
      <c r="S571" s="423">
        <v>0.5</v>
      </c>
      <c r="T571" s="419">
        <f>ROUND(+(R571*C571)*S571,4)</f>
        <v>0</v>
      </c>
      <c r="U571" s="419">
        <f>ROUND(+J571+M571+T571,4)</f>
        <v>0</v>
      </c>
      <c r="V571" s="235"/>
    </row>
    <row r="572" spans="1:22" ht="15.75" x14ac:dyDescent="0.25">
      <c r="A572" s="231"/>
      <c r="B572" s="232"/>
      <c r="C572" s="400"/>
      <c r="D572" s="233"/>
      <c r="E572" s="405"/>
      <c r="F572" s="405"/>
      <c r="G572" s="405"/>
      <c r="H572" s="408">
        <f>ROUND(+E572+F572+G572,4)</f>
        <v>0</v>
      </c>
      <c r="I572" s="234"/>
      <c r="J572" s="411"/>
      <c r="K572" s="411"/>
      <c r="L572" s="414">
        <v>0.1</v>
      </c>
      <c r="M572" s="414">
        <f>ROUND(+L572*C572,4)</f>
        <v>0</v>
      </c>
      <c r="N572" s="414"/>
      <c r="O572" s="414"/>
      <c r="P572" s="414"/>
      <c r="Q572" s="419">
        <f>ROUND(+N572+O572+P572,4)</f>
        <v>0</v>
      </c>
      <c r="R572" s="419">
        <f>ROUND(IF(+Q572-H572&lt;=0,0,Q572-H572),4)</f>
        <v>0</v>
      </c>
      <c r="S572" s="423">
        <v>0.5</v>
      </c>
      <c r="T572" s="419">
        <f>ROUND(+(R572*C572)*S572,4)</f>
        <v>0</v>
      </c>
      <c r="U572" s="419">
        <f>ROUND(+J572+M572+T572,4)</f>
        <v>0</v>
      </c>
      <c r="V572" s="235"/>
    </row>
    <row r="573" spans="1:22" ht="15.75" x14ac:dyDescent="0.25">
      <c r="A573" s="231"/>
      <c r="B573" s="232"/>
      <c r="C573" s="400"/>
      <c r="D573" s="233"/>
      <c r="E573" s="405"/>
      <c r="F573" s="405"/>
      <c r="G573" s="405"/>
      <c r="H573" s="408">
        <f>ROUND(+E573+F573+G573,4)</f>
        <v>0</v>
      </c>
      <c r="I573" s="234"/>
      <c r="J573" s="411"/>
      <c r="K573" s="411"/>
      <c r="L573" s="414">
        <v>0.1</v>
      </c>
      <c r="M573" s="414">
        <f>ROUND(+L573*C573,4)</f>
        <v>0</v>
      </c>
      <c r="N573" s="414"/>
      <c r="O573" s="414"/>
      <c r="P573" s="414"/>
      <c r="Q573" s="419">
        <f>ROUND(+N573+O573+P573,4)</f>
        <v>0</v>
      </c>
      <c r="R573" s="419">
        <f>ROUND(IF(+Q573-H573&lt;=0,0,Q573-H573),4)</f>
        <v>0</v>
      </c>
      <c r="S573" s="423">
        <v>0.5</v>
      </c>
      <c r="T573" s="419">
        <f>ROUND(+(R573*C573)*S573,4)</f>
        <v>0</v>
      </c>
      <c r="U573" s="419">
        <f>ROUND(+J573+M573+T573,4)</f>
        <v>0</v>
      </c>
      <c r="V573" s="235"/>
    </row>
    <row r="574" spans="1:22" ht="15.75" x14ac:dyDescent="0.25">
      <c r="A574" s="231"/>
      <c r="B574" s="232"/>
      <c r="C574" s="400"/>
      <c r="D574" s="233"/>
      <c r="E574" s="405"/>
      <c r="F574" s="405"/>
      <c r="G574" s="405"/>
      <c r="H574" s="408">
        <f>ROUND(+E574+F574+G574,4)</f>
        <v>0</v>
      </c>
      <c r="I574" s="234"/>
      <c r="J574" s="411"/>
      <c r="K574" s="411"/>
      <c r="L574" s="414">
        <v>0.1</v>
      </c>
      <c r="M574" s="414">
        <f>ROUND(+L574*C574,4)</f>
        <v>0</v>
      </c>
      <c r="N574" s="414"/>
      <c r="O574" s="414"/>
      <c r="P574" s="414"/>
      <c r="Q574" s="419">
        <f>ROUND(+N574+O574+P574,4)</f>
        <v>0</v>
      </c>
      <c r="R574" s="419">
        <f>ROUND(IF(+Q574-H574&lt;=0,0,Q574-H574),4)</f>
        <v>0</v>
      </c>
      <c r="S574" s="423">
        <v>0.5</v>
      </c>
      <c r="T574" s="419">
        <f>ROUND(+(R574*C574)*S574,4)</f>
        <v>0</v>
      </c>
      <c r="U574" s="419">
        <f>ROUND(+J574+M574+T574,4)</f>
        <v>0</v>
      </c>
      <c r="V574" s="235"/>
    </row>
    <row r="575" spans="1:22" ht="15.75" x14ac:dyDescent="0.25">
      <c r="A575" s="231"/>
      <c r="B575" s="232"/>
      <c r="C575" s="400"/>
      <c r="D575" s="233"/>
      <c r="E575" s="405"/>
      <c r="F575" s="405"/>
      <c r="G575" s="405"/>
      <c r="H575" s="408">
        <f>ROUND(+E575+F575+G575,4)</f>
        <v>0</v>
      </c>
      <c r="I575" s="234"/>
      <c r="J575" s="411"/>
      <c r="K575" s="411"/>
      <c r="L575" s="414">
        <v>0.1</v>
      </c>
      <c r="M575" s="414">
        <f>ROUND(+L575*C575,4)</f>
        <v>0</v>
      </c>
      <c r="N575" s="414"/>
      <c r="O575" s="414"/>
      <c r="P575" s="414"/>
      <c r="Q575" s="419">
        <f>ROUND(+N575+O575+P575,4)</f>
        <v>0</v>
      </c>
      <c r="R575" s="419">
        <f>ROUND(IF(+Q575-H575&lt;=0,0,Q575-H575),4)</f>
        <v>0</v>
      </c>
      <c r="S575" s="423">
        <v>0.5</v>
      </c>
      <c r="T575" s="419">
        <f>ROUND(+(R575*C575)*S575,4)</f>
        <v>0</v>
      </c>
      <c r="U575" s="419">
        <f>ROUND(+J575+M575+T575,4)</f>
        <v>0</v>
      </c>
      <c r="V575" s="235"/>
    </row>
    <row r="576" spans="1:22" ht="15.75" x14ac:dyDescent="0.25">
      <c r="A576" s="231"/>
      <c r="B576" s="232"/>
      <c r="C576" s="400"/>
      <c r="D576" s="233"/>
      <c r="E576" s="405"/>
      <c r="F576" s="405"/>
      <c r="G576" s="405"/>
      <c r="H576" s="408">
        <f>ROUND(+E576+F576+G576,4)</f>
        <v>0</v>
      </c>
      <c r="I576" s="234"/>
      <c r="J576" s="411"/>
      <c r="K576" s="411"/>
      <c r="L576" s="414">
        <v>0.1</v>
      </c>
      <c r="M576" s="414">
        <f>ROUND(+L576*C576,4)</f>
        <v>0</v>
      </c>
      <c r="N576" s="414"/>
      <c r="O576" s="414"/>
      <c r="P576" s="414"/>
      <c r="Q576" s="419">
        <f>ROUND(+N576+O576+P576,4)</f>
        <v>0</v>
      </c>
      <c r="R576" s="419">
        <f>ROUND(IF(+Q576-H576&lt;=0,0,Q576-H576),4)</f>
        <v>0</v>
      </c>
      <c r="S576" s="423">
        <v>0.5</v>
      </c>
      <c r="T576" s="419">
        <f>ROUND(+(R576*C576)*S576,4)</f>
        <v>0</v>
      </c>
      <c r="U576" s="419">
        <f>ROUND(+J576+M576+T576,4)</f>
        <v>0</v>
      </c>
      <c r="V576" s="235"/>
    </row>
    <row r="577" spans="1:22" ht="15.75" x14ac:dyDescent="0.25">
      <c r="A577" s="231"/>
      <c r="B577" s="232"/>
      <c r="C577" s="400"/>
      <c r="D577" s="233"/>
      <c r="E577" s="405"/>
      <c r="F577" s="405"/>
      <c r="G577" s="405"/>
      <c r="H577" s="408">
        <f>ROUND(+E577+F577+G577,4)</f>
        <v>0</v>
      </c>
      <c r="I577" s="234"/>
      <c r="J577" s="411"/>
      <c r="K577" s="411"/>
      <c r="L577" s="414">
        <v>0.1</v>
      </c>
      <c r="M577" s="414">
        <f>ROUND(+L577*C577,4)</f>
        <v>0</v>
      </c>
      <c r="N577" s="414"/>
      <c r="O577" s="414"/>
      <c r="P577" s="414"/>
      <c r="Q577" s="419">
        <f>ROUND(+N577+O577+P577,4)</f>
        <v>0</v>
      </c>
      <c r="R577" s="419">
        <f>ROUND(IF(+Q577-H577&lt;=0,0,Q577-H577),4)</f>
        <v>0</v>
      </c>
      <c r="S577" s="423">
        <v>0.5</v>
      </c>
      <c r="T577" s="419">
        <f>ROUND(+(R577*C577)*S577,4)</f>
        <v>0</v>
      </c>
      <c r="U577" s="419">
        <f>ROUND(+J577+M577+T577,4)</f>
        <v>0</v>
      </c>
      <c r="V577" s="235"/>
    </row>
    <row r="578" spans="1:22" ht="15.75" x14ac:dyDescent="0.25">
      <c r="A578" s="231"/>
      <c r="B578" s="232"/>
      <c r="C578" s="400"/>
      <c r="D578" s="233"/>
      <c r="E578" s="405"/>
      <c r="F578" s="405"/>
      <c r="G578" s="405"/>
      <c r="H578" s="408">
        <f>ROUND(+E578+F578+G578,4)</f>
        <v>0</v>
      </c>
      <c r="I578" s="234"/>
      <c r="J578" s="411"/>
      <c r="K578" s="411"/>
      <c r="L578" s="414">
        <v>0.1</v>
      </c>
      <c r="M578" s="414">
        <f>ROUND(+L578*C578,4)</f>
        <v>0</v>
      </c>
      <c r="N578" s="414"/>
      <c r="O578" s="414"/>
      <c r="P578" s="414"/>
      <c r="Q578" s="419">
        <f>ROUND(+N578+O578+P578,4)</f>
        <v>0</v>
      </c>
      <c r="R578" s="419">
        <f>ROUND(IF(+Q578-H578&lt;=0,0,Q578-H578),4)</f>
        <v>0</v>
      </c>
      <c r="S578" s="423">
        <v>0.5</v>
      </c>
      <c r="T578" s="419">
        <f>ROUND(+(R578*C578)*S578,4)</f>
        <v>0</v>
      </c>
      <c r="U578" s="419">
        <f>ROUND(+J578+M578+T578,4)</f>
        <v>0</v>
      </c>
      <c r="V578" s="235"/>
    </row>
    <row r="579" spans="1:22" ht="15.75" x14ac:dyDescent="0.25">
      <c r="A579" s="231"/>
      <c r="B579" s="232"/>
      <c r="C579" s="400"/>
      <c r="D579" s="233"/>
      <c r="E579" s="405"/>
      <c r="F579" s="405"/>
      <c r="G579" s="405"/>
      <c r="H579" s="408">
        <f>ROUND(+E579+F579+G579,4)</f>
        <v>0</v>
      </c>
      <c r="I579" s="234"/>
      <c r="J579" s="411"/>
      <c r="K579" s="411"/>
      <c r="L579" s="414">
        <v>0.1</v>
      </c>
      <c r="M579" s="414">
        <f>ROUND(+L579*C579,4)</f>
        <v>0</v>
      </c>
      <c r="N579" s="414"/>
      <c r="O579" s="414"/>
      <c r="P579" s="414"/>
      <c r="Q579" s="419">
        <f>ROUND(+N579+O579+P579,4)</f>
        <v>0</v>
      </c>
      <c r="R579" s="419">
        <f>ROUND(IF(+Q579-H579&lt;=0,0,Q579-H579),4)</f>
        <v>0</v>
      </c>
      <c r="S579" s="423">
        <v>0.5</v>
      </c>
      <c r="T579" s="419">
        <f>ROUND(+(R579*C579)*S579,4)</f>
        <v>0</v>
      </c>
      <c r="U579" s="419">
        <f>ROUND(+J579+M579+T579,4)</f>
        <v>0</v>
      </c>
      <c r="V579" s="235"/>
    </row>
    <row r="580" spans="1:22" ht="15.75" x14ac:dyDescent="0.25">
      <c r="A580" s="231"/>
      <c r="B580" s="232"/>
      <c r="C580" s="400"/>
      <c r="D580" s="233"/>
      <c r="E580" s="405"/>
      <c r="F580" s="405"/>
      <c r="G580" s="405"/>
      <c r="H580" s="408">
        <f>ROUND(+E580+F580+G580,4)</f>
        <v>0</v>
      </c>
      <c r="I580" s="234"/>
      <c r="J580" s="411"/>
      <c r="K580" s="411"/>
      <c r="L580" s="414">
        <v>0.1</v>
      </c>
      <c r="M580" s="414">
        <f>ROUND(+L580*C580,4)</f>
        <v>0</v>
      </c>
      <c r="N580" s="414"/>
      <c r="O580" s="414"/>
      <c r="P580" s="414"/>
      <c r="Q580" s="419">
        <f>ROUND(+N580+O580+P580,4)</f>
        <v>0</v>
      </c>
      <c r="R580" s="419">
        <f>ROUND(IF(+Q580-H580&lt;=0,0,Q580-H580),4)</f>
        <v>0</v>
      </c>
      <c r="S580" s="423">
        <v>0.5</v>
      </c>
      <c r="T580" s="419">
        <f>ROUND(+(R580*C580)*S580,4)</f>
        <v>0</v>
      </c>
      <c r="U580" s="419">
        <f>ROUND(+J580+M580+T580,4)</f>
        <v>0</v>
      </c>
      <c r="V580" s="235"/>
    </row>
    <row r="581" spans="1:22" ht="15.75" x14ac:dyDescent="0.25">
      <c r="A581" s="231"/>
      <c r="B581" s="232"/>
      <c r="C581" s="400"/>
      <c r="D581" s="233"/>
      <c r="E581" s="405"/>
      <c r="F581" s="405"/>
      <c r="G581" s="405"/>
      <c r="H581" s="408">
        <f>ROUND(+E581+F581+G581,4)</f>
        <v>0</v>
      </c>
      <c r="I581" s="234"/>
      <c r="J581" s="411"/>
      <c r="K581" s="411"/>
      <c r="L581" s="414">
        <v>0.1</v>
      </c>
      <c r="M581" s="414">
        <f>ROUND(+L581*C581,4)</f>
        <v>0</v>
      </c>
      <c r="N581" s="414"/>
      <c r="O581" s="414"/>
      <c r="P581" s="414"/>
      <c r="Q581" s="419">
        <f>ROUND(+N581+O581+P581,4)</f>
        <v>0</v>
      </c>
      <c r="R581" s="419">
        <f>ROUND(IF(+Q581-H581&lt;=0,0,Q581-H581),4)</f>
        <v>0</v>
      </c>
      <c r="S581" s="423">
        <v>0.5</v>
      </c>
      <c r="T581" s="419">
        <f>ROUND(+(R581*C581)*S581,4)</f>
        <v>0</v>
      </c>
      <c r="U581" s="419">
        <f>ROUND(+J581+M581+T581,4)</f>
        <v>0</v>
      </c>
      <c r="V581" s="235"/>
    </row>
    <row r="582" spans="1:22" ht="15.75" x14ac:dyDescent="0.25">
      <c r="A582" s="231"/>
      <c r="B582" s="232"/>
      <c r="C582" s="400"/>
      <c r="D582" s="233"/>
      <c r="E582" s="405"/>
      <c r="F582" s="405"/>
      <c r="G582" s="405"/>
      <c r="H582" s="408">
        <f>ROUND(+E582+F582+G582,4)</f>
        <v>0</v>
      </c>
      <c r="I582" s="234"/>
      <c r="J582" s="411"/>
      <c r="K582" s="411"/>
      <c r="L582" s="414">
        <v>0.1</v>
      </c>
      <c r="M582" s="414">
        <f>ROUND(+L582*C582,4)</f>
        <v>0</v>
      </c>
      <c r="N582" s="414"/>
      <c r="O582" s="414"/>
      <c r="P582" s="414"/>
      <c r="Q582" s="419">
        <f>ROUND(+N582+O582+P582,4)</f>
        <v>0</v>
      </c>
      <c r="R582" s="419">
        <f>ROUND(IF(+Q582-H582&lt;=0,0,Q582-H582),4)</f>
        <v>0</v>
      </c>
      <c r="S582" s="423">
        <v>0.5</v>
      </c>
      <c r="T582" s="419">
        <f>ROUND(+(R582*C582)*S582,4)</f>
        <v>0</v>
      </c>
      <c r="U582" s="419">
        <f>ROUND(+J582+M582+T582,4)</f>
        <v>0</v>
      </c>
      <c r="V582" s="235"/>
    </row>
    <row r="583" spans="1:22" ht="15.75" x14ac:dyDescent="0.25">
      <c r="A583" s="231"/>
      <c r="B583" s="232"/>
      <c r="C583" s="400"/>
      <c r="D583" s="233"/>
      <c r="E583" s="405"/>
      <c r="F583" s="405"/>
      <c r="G583" s="405"/>
      <c r="H583" s="408">
        <f>ROUND(+E583+F583+G583,4)</f>
        <v>0</v>
      </c>
      <c r="I583" s="234"/>
      <c r="J583" s="411"/>
      <c r="K583" s="411"/>
      <c r="L583" s="414">
        <v>0.1</v>
      </c>
      <c r="M583" s="414">
        <f>ROUND(+L583*C583,4)</f>
        <v>0</v>
      </c>
      <c r="N583" s="414"/>
      <c r="O583" s="414"/>
      <c r="P583" s="414"/>
      <c r="Q583" s="419">
        <f>ROUND(+N583+O583+P583,4)</f>
        <v>0</v>
      </c>
      <c r="R583" s="419">
        <f>ROUND(IF(+Q583-H583&lt;=0,0,Q583-H583),4)</f>
        <v>0</v>
      </c>
      <c r="S583" s="423">
        <v>0.5</v>
      </c>
      <c r="T583" s="419">
        <f>ROUND(+(R583*C583)*S583,4)</f>
        <v>0</v>
      </c>
      <c r="U583" s="419">
        <f>ROUND(+J583+M583+T583,4)</f>
        <v>0</v>
      </c>
      <c r="V583" s="235"/>
    </row>
    <row r="584" spans="1:22" ht="15.75" x14ac:dyDescent="0.25">
      <c r="A584" s="231"/>
      <c r="B584" s="232"/>
      <c r="C584" s="400"/>
      <c r="D584" s="233"/>
      <c r="E584" s="405"/>
      <c r="F584" s="405"/>
      <c r="G584" s="405"/>
      <c r="H584" s="408">
        <f>ROUND(+E584+F584+G584,4)</f>
        <v>0</v>
      </c>
      <c r="I584" s="234"/>
      <c r="J584" s="411"/>
      <c r="K584" s="411"/>
      <c r="L584" s="414">
        <v>0.1</v>
      </c>
      <c r="M584" s="414">
        <f>ROUND(+L584*C584,4)</f>
        <v>0</v>
      </c>
      <c r="N584" s="414"/>
      <c r="O584" s="414"/>
      <c r="P584" s="414"/>
      <c r="Q584" s="419">
        <f>ROUND(+N584+O584+P584,4)</f>
        <v>0</v>
      </c>
      <c r="R584" s="419">
        <f>ROUND(IF(+Q584-H584&lt;=0,0,Q584-H584),4)</f>
        <v>0</v>
      </c>
      <c r="S584" s="423">
        <v>0.5</v>
      </c>
      <c r="T584" s="419">
        <f>ROUND(+(R584*C584)*S584,4)</f>
        <v>0</v>
      </c>
      <c r="U584" s="419">
        <f>ROUND(+J584+M584+T584,4)</f>
        <v>0</v>
      </c>
      <c r="V584" s="235"/>
    </row>
    <row r="585" spans="1:22" ht="15.75" x14ac:dyDescent="0.25">
      <c r="A585" s="231"/>
      <c r="B585" s="232"/>
      <c r="C585" s="400"/>
      <c r="D585" s="233"/>
      <c r="E585" s="405"/>
      <c r="F585" s="405"/>
      <c r="G585" s="405"/>
      <c r="H585" s="408">
        <f>ROUND(+E585+F585+G585,4)</f>
        <v>0</v>
      </c>
      <c r="I585" s="234"/>
      <c r="J585" s="411"/>
      <c r="K585" s="411"/>
      <c r="L585" s="414">
        <v>0.1</v>
      </c>
      <c r="M585" s="414">
        <f>ROUND(+L585*C585,4)</f>
        <v>0</v>
      </c>
      <c r="N585" s="414"/>
      <c r="O585" s="414"/>
      <c r="P585" s="414"/>
      <c r="Q585" s="419">
        <f>ROUND(+N585+O585+P585,4)</f>
        <v>0</v>
      </c>
      <c r="R585" s="419">
        <f>ROUND(IF(+Q585-H585&lt;=0,0,Q585-H585),4)</f>
        <v>0</v>
      </c>
      <c r="S585" s="423">
        <v>0.5</v>
      </c>
      <c r="T585" s="419">
        <f>ROUND(+(R585*C585)*S585,4)</f>
        <v>0</v>
      </c>
      <c r="U585" s="419">
        <f>ROUND(+J585+M585+T585,4)</f>
        <v>0</v>
      </c>
      <c r="V585" s="235"/>
    </row>
    <row r="586" spans="1:22" ht="15.75" x14ac:dyDescent="0.25">
      <c r="A586" s="231"/>
      <c r="B586" s="232"/>
      <c r="C586" s="400"/>
      <c r="D586" s="233"/>
      <c r="E586" s="405"/>
      <c r="F586" s="405"/>
      <c r="G586" s="405"/>
      <c r="H586" s="408">
        <f>ROUND(+E586+F586+G586,4)</f>
        <v>0</v>
      </c>
      <c r="I586" s="234"/>
      <c r="J586" s="411"/>
      <c r="K586" s="411"/>
      <c r="L586" s="414">
        <v>0.1</v>
      </c>
      <c r="M586" s="414">
        <f>ROUND(+L586*C586,4)</f>
        <v>0</v>
      </c>
      <c r="N586" s="414"/>
      <c r="O586" s="414"/>
      <c r="P586" s="414"/>
      <c r="Q586" s="419">
        <f>ROUND(+N586+O586+P586,4)</f>
        <v>0</v>
      </c>
      <c r="R586" s="419">
        <f>ROUND(IF(+Q586-H586&lt;=0,0,Q586-H586),4)</f>
        <v>0</v>
      </c>
      <c r="S586" s="423">
        <v>0.5</v>
      </c>
      <c r="T586" s="419">
        <f>ROUND(+(R586*C586)*S586,4)</f>
        <v>0</v>
      </c>
      <c r="U586" s="419">
        <f>ROUND(+J586+M586+T586,4)</f>
        <v>0</v>
      </c>
      <c r="V586" s="235"/>
    </row>
    <row r="587" spans="1:22" ht="15.75" x14ac:dyDescent="0.25">
      <c r="A587" s="231"/>
      <c r="B587" s="232"/>
      <c r="C587" s="400"/>
      <c r="D587" s="233"/>
      <c r="E587" s="405"/>
      <c r="F587" s="405"/>
      <c r="G587" s="405"/>
      <c r="H587" s="408">
        <f>ROUND(+E587+F587+G587,4)</f>
        <v>0</v>
      </c>
      <c r="I587" s="234"/>
      <c r="J587" s="411"/>
      <c r="K587" s="411"/>
      <c r="L587" s="414">
        <v>0.1</v>
      </c>
      <c r="M587" s="414">
        <f>ROUND(+L587*C587,4)</f>
        <v>0</v>
      </c>
      <c r="N587" s="414"/>
      <c r="O587" s="414"/>
      <c r="P587" s="414"/>
      <c r="Q587" s="419">
        <f>ROUND(+N587+O587+P587,4)</f>
        <v>0</v>
      </c>
      <c r="R587" s="419">
        <f>ROUND(IF(+Q587-H587&lt;=0,0,Q587-H587),4)</f>
        <v>0</v>
      </c>
      <c r="S587" s="423">
        <v>0.5</v>
      </c>
      <c r="T587" s="419">
        <f>ROUND(+(R587*C587)*S587,4)</f>
        <v>0</v>
      </c>
      <c r="U587" s="419">
        <f>ROUND(+J587+M587+T587,4)</f>
        <v>0</v>
      </c>
      <c r="V587" s="235"/>
    </row>
    <row r="588" spans="1:22" ht="15.75" x14ac:dyDescent="0.25">
      <c r="A588" s="231"/>
      <c r="B588" s="232"/>
      <c r="C588" s="400"/>
      <c r="D588" s="233"/>
      <c r="E588" s="405"/>
      <c r="F588" s="405"/>
      <c r="G588" s="405"/>
      <c r="H588" s="408">
        <f>ROUND(+E588+F588+G588,4)</f>
        <v>0</v>
      </c>
      <c r="I588" s="234"/>
      <c r="J588" s="411"/>
      <c r="K588" s="411"/>
      <c r="L588" s="414">
        <v>0.1</v>
      </c>
      <c r="M588" s="414">
        <f>ROUND(+L588*C588,4)</f>
        <v>0</v>
      </c>
      <c r="N588" s="414"/>
      <c r="O588" s="414"/>
      <c r="P588" s="414"/>
      <c r="Q588" s="419">
        <f>ROUND(+N588+O588+P588,4)</f>
        <v>0</v>
      </c>
      <c r="R588" s="419">
        <f>ROUND(IF(+Q588-H588&lt;=0,0,Q588-H588),4)</f>
        <v>0</v>
      </c>
      <c r="S588" s="423">
        <v>0.5</v>
      </c>
      <c r="T588" s="419">
        <f>ROUND(+(R588*C588)*S588,4)</f>
        <v>0</v>
      </c>
      <c r="U588" s="419">
        <f>ROUND(+J588+M588+T588,4)</f>
        <v>0</v>
      </c>
      <c r="V588" s="235"/>
    </row>
    <row r="589" spans="1:22" ht="15.75" x14ac:dyDescent="0.25">
      <c r="A589" s="231"/>
      <c r="B589" s="232"/>
      <c r="C589" s="400"/>
      <c r="D589" s="233"/>
      <c r="E589" s="405"/>
      <c r="F589" s="405"/>
      <c r="G589" s="405"/>
      <c r="H589" s="408">
        <f>ROUND(+E589+F589+G589,4)</f>
        <v>0</v>
      </c>
      <c r="I589" s="234"/>
      <c r="J589" s="411"/>
      <c r="K589" s="411"/>
      <c r="L589" s="414">
        <v>0.1</v>
      </c>
      <c r="M589" s="414">
        <f>ROUND(+L589*C589,4)</f>
        <v>0</v>
      </c>
      <c r="N589" s="414"/>
      <c r="O589" s="414"/>
      <c r="P589" s="414"/>
      <c r="Q589" s="419">
        <f>ROUND(+N589+O589+P589,4)</f>
        <v>0</v>
      </c>
      <c r="R589" s="419">
        <f>ROUND(IF(+Q589-H589&lt;=0,0,Q589-H589),4)</f>
        <v>0</v>
      </c>
      <c r="S589" s="423">
        <v>0.5</v>
      </c>
      <c r="T589" s="419">
        <f>ROUND(+(R589*C589)*S589,4)</f>
        <v>0</v>
      </c>
      <c r="U589" s="419">
        <f>ROUND(+J589+M589+T589,4)</f>
        <v>0</v>
      </c>
      <c r="V589" s="235"/>
    </row>
    <row r="590" spans="1:22" ht="15.75" x14ac:dyDescent="0.25">
      <c r="A590" s="231"/>
      <c r="B590" s="232"/>
      <c r="C590" s="400"/>
      <c r="D590" s="233"/>
      <c r="E590" s="405"/>
      <c r="F590" s="405"/>
      <c r="G590" s="405"/>
      <c r="H590" s="408">
        <f>ROUND(+E590+F590+G590,4)</f>
        <v>0</v>
      </c>
      <c r="I590" s="234"/>
      <c r="J590" s="411"/>
      <c r="K590" s="411"/>
      <c r="L590" s="414">
        <v>0.1</v>
      </c>
      <c r="M590" s="414">
        <f>ROUND(+L590*C590,4)</f>
        <v>0</v>
      </c>
      <c r="N590" s="414"/>
      <c r="O590" s="414"/>
      <c r="P590" s="414"/>
      <c r="Q590" s="419">
        <f>ROUND(+N590+O590+P590,4)</f>
        <v>0</v>
      </c>
      <c r="R590" s="419">
        <f>ROUND(IF(+Q590-H590&lt;=0,0,Q590-H590),4)</f>
        <v>0</v>
      </c>
      <c r="S590" s="423">
        <v>0.5</v>
      </c>
      <c r="T590" s="419">
        <f>ROUND(+(R590*C590)*S590,4)</f>
        <v>0</v>
      </c>
      <c r="U590" s="419">
        <f>ROUND(+J590+M590+T590,4)</f>
        <v>0</v>
      </c>
      <c r="V590" s="235"/>
    </row>
    <row r="591" spans="1:22" ht="15.75" x14ac:dyDescent="0.25">
      <c r="A591" s="231"/>
      <c r="B591" s="232"/>
      <c r="C591" s="400"/>
      <c r="D591" s="233"/>
      <c r="E591" s="405"/>
      <c r="F591" s="405"/>
      <c r="G591" s="405"/>
      <c r="H591" s="408">
        <f>ROUND(+E591+F591+G591,4)</f>
        <v>0</v>
      </c>
      <c r="I591" s="234"/>
      <c r="J591" s="411"/>
      <c r="K591" s="411"/>
      <c r="L591" s="414">
        <v>0.1</v>
      </c>
      <c r="M591" s="414">
        <f>ROUND(+L591*C591,4)</f>
        <v>0</v>
      </c>
      <c r="N591" s="414"/>
      <c r="O591" s="414"/>
      <c r="P591" s="414"/>
      <c r="Q591" s="419">
        <f>ROUND(+N591+O591+P591,4)</f>
        <v>0</v>
      </c>
      <c r="R591" s="419">
        <f>ROUND(IF(+Q591-H591&lt;=0,0,Q591-H591),4)</f>
        <v>0</v>
      </c>
      <c r="S591" s="423">
        <v>0.5</v>
      </c>
      <c r="T591" s="419">
        <f>ROUND(+(R591*C591)*S591,4)</f>
        <v>0</v>
      </c>
      <c r="U591" s="419">
        <f>ROUND(+J591+M591+T591,4)</f>
        <v>0</v>
      </c>
      <c r="V591" s="235"/>
    </row>
    <row r="592" spans="1:22" ht="15.75" x14ac:dyDescent="0.25">
      <c r="A592" s="231"/>
      <c r="B592" s="232"/>
      <c r="C592" s="400"/>
      <c r="D592" s="233"/>
      <c r="E592" s="405"/>
      <c r="F592" s="405"/>
      <c r="G592" s="405"/>
      <c r="H592" s="408">
        <f>ROUND(+E592+F592+G592,4)</f>
        <v>0</v>
      </c>
      <c r="I592" s="234"/>
      <c r="J592" s="411"/>
      <c r="K592" s="411"/>
      <c r="L592" s="414">
        <v>0.1</v>
      </c>
      <c r="M592" s="414">
        <f>ROUND(+L592*C592,4)</f>
        <v>0</v>
      </c>
      <c r="N592" s="414"/>
      <c r="O592" s="414"/>
      <c r="P592" s="414"/>
      <c r="Q592" s="419">
        <f>ROUND(+N592+O592+P592,4)</f>
        <v>0</v>
      </c>
      <c r="R592" s="419">
        <f>ROUND(IF(+Q592-H592&lt;=0,0,Q592-H592),4)</f>
        <v>0</v>
      </c>
      <c r="S592" s="423">
        <v>0.5</v>
      </c>
      <c r="T592" s="419">
        <f>ROUND(+(R592*C592)*S592,4)</f>
        <v>0</v>
      </c>
      <c r="U592" s="419">
        <f>ROUND(+J592+M592+T592,4)</f>
        <v>0</v>
      </c>
      <c r="V592" s="235"/>
    </row>
    <row r="593" spans="1:22" ht="15.75" x14ac:dyDescent="0.25">
      <c r="A593" s="231"/>
      <c r="B593" s="232"/>
      <c r="C593" s="400"/>
      <c r="D593" s="233"/>
      <c r="E593" s="405"/>
      <c r="F593" s="405"/>
      <c r="G593" s="405"/>
      <c r="H593" s="408">
        <f>ROUND(+E593+F593+G593,4)</f>
        <v>0</v>
      </c>
      <c r="I593" s="234"/>
      <c r="J593" s="411"/>
      <c r="K593" s="411"/>
      <c r="L593" s="414">
        <v>0.1</v>
      </c>
      <c r="M593" s="414">
        <f>ROUND(+L593*C593,4)</f>
        <v>0</v>
      </c>
      <c r="N593" s="414"/>
      <c r="O593" s="414"/>
      <c r="P593" s="414"/>
      <c r="Q593" s="419">
        <f>ROUND(+N593+O593+P593,4)</f>
        <v>0</v>
      </c>
      <c r="R593" s="419">
        <f>ROUND(IF(+Q593-H593&lt;=0,0,Q593-H593),4)</f>
        <v>0</v>
      </c>
      <c r="S593" s="423">
        <v>0.5</v>
      </c>
      <c r="T593" s="419">
        <f>ROUND(+(R593*C593)*S593,4)</f>
        <v>0</v>
      </c>
      <c r="U593" s="419">
        <f>ROUND(+J593+M593+T593,4)</f>
        <v>0</v>
      </c>
      <c r="V593" s="235"/>
    </row>
    <row r="594" spans="1:22" ht="15.75" x14ac:dyDescent="0.25">
      <c r="A594" s="231"/>
      <c r="B594" s="232"/>
      <c r="C594" s="400"/>
      <c r="D594" s="233"/>
      <c r="E594" s="405"/>
      <c r="F594" s="405"/>
      <c r="G594" s="405"/>
      <c r="H594" s="408">
        <f>ROUND(+E594+F594+G594,4)</f>
        <v>0</v>
      </c>
      <c r="I594" s="234"/>
      <c r="J594" s="411"/>
      <c r="K594" s="411"/>
      <c r="L594" s="414">
        <v>0.1</v>
      </c>
      <c r="M594" s="414">
        <f>ROUND(+L594*C594,4)</f>
        <v>0</v>
      </c>
      <c r="N594" s="414"/>
      <c r="O594" s="414"/>
      <c r="P594" s="414"/>
      <c r="Q594" s="419">
        <f>ROUND(+N594+O594+P594,4)</f>
        <v>0</v>
      </c>
      <c r="R594" s="419">
        <f>ROUND(IF(+Q594-H594&lt;=0,0,Q594-H594),4)</f>
        <v>0</v>
      </c>
      <c r="S594" s="423">
        <v>0.5</v>
      </c>
      <c r="T594" s="419">
        <f>ROUND(+(R594*C594)*S594,4)</f>
        <v>0</v>
      </c>
      <c r="U594" s="419">
        <f>ROUND(+J594+M594+T594,4)</f>
        <v>0</v>
      </c>
      <c r="V594" s="235"/>
    </row>
    <row r="595" spans="1:22" ht="15.75" x14ac:dyDescent="0.25">
      <c r="A595" s="231"/>
      <c r="B595" s="232"/>
      <c r="C595" s="400"/>
      <c r="D595" s="233"/>
      <c r="E595" s="405"/>
      <c r="F595" s="405"/>
      <c r="G595" s="405"/>
      <c r="H595" s="408">
        <f>ROUND(+E595+F595+G595,4)</f>
        <v>0</v>
      </c>
      <c r="I595" s="234"/>
      <c r="J595" s="411"/>
      <c r="K595" s="411"/>
      <c r="L595" s="414">
        <v>0.1</v>
      </c>
      <c r="M595" s="414">
        <f>ROUND(+L595*C595,4)</f>
        <v>0</v>
      </c>
      <c r="N595" s="414"/>
      <c r="O595" s="414"/>
      <c r="P595" s="414"/>
      <c r="Q595" s="419">
        <f>ROUND(+N595+O595+P595,4)</f>
        <v>0</v>
      </c>
      <c r="R595" s="419">
        <f>ROUND(IF(+Q595-H595&lt;=0,0,Q595-H595),4)</f>
        <v>0</v>
      </c>
      <c r="S595" s="423">
        <v>0.5</v>
      </c>
      <c r="T595" s="419">
        <f>ROUND(+(R595*C595)*S595,4)</f>
        <v>0</v>
      </c>
      <c r="U595" s="419">
        <f>ROUND(+J595+M595+T595,4)</f>
        <v>0</v>
      </c>
      <c r="V595" s="235"/>
    </row>
    <row r="596" spans="1:22" ht="15.75" x14ac:dyDescent="0.25">
      <c r="A596" s="231"/>
      <c r="B596" s="232"/>
      <c r="C596" s="400"/>
      <c r="D596" s="233"/>
      <c r="E596" s="405"/>
      <c r="F596" s="405"/>
      <c r="G596" s="405"/>
      <c r="H596" s="408">
        <f>ROUND(+E596+F596+G596,4)</f>
        <v>0</v>
      </c>
      <c r="I596" s="234"/>
      <c r="J596" s="411"/>
      <c r="K596" s="411"/>
      <c r="L596" s="414">
        <v>0.1</v>
      </c>
      <c r="M596" s="414">
        <f>ROUND(+L596*C596,4)</f>
        <v>0</v>
      </c>
      <c r="N596" s="414"/>
      <c r="O596" s="414"/>
      <c r="P596" s="414"/>
      <c r="Q596" s="419">
        <f>ROUND(+N596+O596+P596,4)</f>
        <v>0</v>
      </c>
      <c r="R596" s="419">
        <f>ROUND(IF(+Q596-H596&lt;=0,0,Q596-H596),4)</f>
        <v>0</v>
      </c>
      <c r="S596" s="423">
        <v>0.5</v>
      </c>
      <c r="T596" s="419">
        <f>ROUND(+(R596*C596)*S596,4)</f>
        <v>0</v>
      </c>
      <c r="U596" s="419">
        <f>ROUND(+J596+M596+T596,4)</f>
        <v>0</v>
      </c>
      <c r="V596" s="235"/>
    </row>
    <row r="597" spans="1:22" ht="15.75" x14ac:dyDescent="0.25">
      <c r="A597" s="231"/>
      <c r="B597" s="232"/>
      <c r="C597" s="400"/>
      <c r="D597" s="233"/>
      <c r="E597" s="405"/>
      <c r="F597" s="405"/>
      <c r="G597" s="405"/>
      <c r="H597" s="408">
        <f>ROUND(+E597+F597+G597,4)</f>
        <v>0</v>
      </c>
      <c r="I597" s="234"/>
      <c r="J597" s="411"/>
      <c r="K597" s="411"/>
      <c r="L597" s="414">
        <v>0.1</v>
      </c>
      <c r="M597" s="414">
        <f>ROUND(+L597*C597,4)</f>
        <v>0</v>
      </c>
      <c r="N597" s="414"/>
      <c r="O597" s="414"/>
      <c r="P597" s="414"/>
      <c r="Q597" s="419">
        <f>ROUND(+N597+O597+P597,4)</f>
        <v>0</v>
      </c>
      <c r="R597" s="419">
        <f>ROUND(IF(+Q597-H597&lt;=0,0,Q597-H597),4)</f>
        <v>0</v>
      </c>
      <c r="S597" s="423">
        <v>0.5</v>
      </c>
      <c r="T597" s="419">
        <f>ROUND(+(R597*C597)*S597,4)</f>
        <v>0</v>
      </c>
      <c r="U597" s="419">
        <f>ROUND(+J597+M597+T597,4)</f>
        <v>0</v>
      </c>
      <c r="V597" s="235"/>
    </row>
    <row r="598" spans="1:22" ht="15.75" x14ac:dyDescent="0.25">
      <c r="A598" s="231"/>
      <c r="B598" s="232"/>
      <c r="C598" s="400"/>
      <c r="D598" s="233"/>
      <c r="E598" s="405"/>
      <c r="F598" s="405"/>
      <c r="G598" s="405"/>
      <c r="H598" s="408">
        <f>ROUND(+E598+F598+G598,4)</f>
        <v>0</v>
      </c>
      <c r="I598" s="234"/>
      <c r="J598" s="411"/>
      <c r="K598" s="411"/>
      <c r="L598" s="414">
        <v>0.1</v>
      </c>
      <c r="M598" s="414">
        <f>ROUND(+L598*C598,4)</f>
        <v>0</v>
      </c>
      <c r="N598" s="414"/>
      <c r="O598" s="414"/>
      <c r="P598" s="414"/>
      <c r="Q598" s="419">
        <f>ROUND(+N598+O598+P598,4)</f>
        <v>0</v>
      </c>
      <c r="R598" s="419">
        <f>ROUND(IF(+Q598-H598&lt;=0,0,Q598-H598),4)</f>
        <v>0</v>
      </c>
      <c r="S598" s="423">
        <v>0.5</v>
      </c>
      <c r="T598" s="419">
        <f>ROUND(+(R598*C598)*S598,4)</f>
        <v>0</v>
      </c>
      <c r="U598" s="419">
        <f>ROUND(+J598+M598+T598,4)</f>
        <v>0</v>
      </c>
      <c r="V598" s="235"/>
    </row>
    <row r="599" spans="1:22" ht="15.75" x14ac:dyDescent="0.25">
      <c r="A599" s="231"/>
      <c r="B599" s="232"/>
      <c r="C599" s="400"/>
      <c r="D599" s="233"/>
      <c r="E599" s="405"/>
      <c r="F599" s="405"/>
      <c r="G599" s="405"/>
      <c r="H599" s="408">
        <f>ROUND(+E599+F599+G599,4)</f>
        <v>0</v>
      </c>
      <c r="I599" s="234"/>
      <c r="J599" s="411"/>
      <c r="K599" s="411"/>
      <c r="L599" s="414">
        <v>0.1</v>
      </c>
      <c r="M599" s="414">
        <f>ROUND(+L599*C599,4)</f>
        <v>0</v>
      </c>
      <c r="N599" s="414"/>
      <c r="O599" s="414"/>
      <c r="P599" s="414"/>
      <c r="Q599" s="419">
        <f>ROUND(+N599+O599+P599,4)</f>
        <v>0</v>
      </c>
      <c r="R599" s="419">
        <f>ROUND(IF(+Q599-H599&lt;=0,0,Q599-H599),4)</f>
        <v>0</v>
      </c>
      <c r="S599" s="423">
        <v>0.5</v>
      </c>
      <c r="T599" s="419">
        <f>ROUND(+(R599*C599)*S599,4)</f>
        <v>0</v>
      </c>
      <c r="U599" s="419">
        <f>ROUND(+J599+M599+T599,4)</f>
        <v>0</v>
      </c>
      <c r="V599" s="235"/>
    </row>
    <row r="600" spans="1:22" ht="15.75" x14ac:dyDescent="0.25">
      <c r="A600" s="231"/>
      <c r="B600" s="232"/>
      <c r="C600" s="400"/>
      <c r="D600" s="233"/>
      <c r="E600" s="405"/>
      <c r="F600" s="405"/>
      <c r="G600" s="405"/>
      <c r="H600" s="408">
        <f>ROUND(+E600+F600+G600,4)</f>
        <v>0</v>
      </c>
      <c r="I600" s="234"/>
      <c r="J600" s="411"/>
      <c r="K600" s="411"/>
      <c r="L600" s="414">
        <v>0.1</v>
      </c>
      <c r="M600" s="414">
        <f>ROUND(+L600*C600,4)</f>
        <v>0</v>
      </c>
      <c r="N600" s="414"/>
      <c r="O600" s="414"/>
      <c r="P600" s="414"/>
      <c r="Q600" s="419">
        <f>ROUND(+N600+O600+P600,4)</f>
        <v>0</v>
      </c>
      <c r="R600" s="419">
        <f>ROUND(IF(+Q600-H600&lt;=0,0,Q600-H600),4)</f>
        <v>0</v>
      </c>
      <c r="S600" s="423">
        <v>0.5</v>
      </c>
      <c r="T600" s="419">
        <f>ROUND(+(R600*C600)*S600,4)</f>
        <v>0</v>
      </c>
      <c r="U600" s="419">
        <f>ROUND(+J600+M600+T600,4)</f>
        <v>0</v>
      </c>
      <c r="V600" s="235"/>
    </row>
    <row r="601" spans="1:22" ht="15.75" x14ac:dyDescent="0.25">
      <c r="A601" s="231"/>
      <c r="B601" s="232"/>
      <c r="C601" s="400"/>
      <c r="D601" s="233"/>
      <c r="E601" s="405"/>
      <c r="F601" s="405"/>
      <c r="G601" s="405"/>
      <c r="H601" s="408">
        <f>ROUND(+E601+F601+G601,4)</f>
        <v>0</v>
      </c>
      <c r="I601" s="234"/>
      <c r="J601" s="411"/>
      <c r="K601" s="411"/>
      <c r="L601" s="414">
        <v>0.1</v>
      </c>
      <c r="M601" s="414">
        <f>ROUND(+L601*C601,4)</f>
        <v>0</v>
      </c>
      <c r="N601" s="414"/>
      <c r="O601" s="414"/>
      <c r="P601" s="414"/>
      <c r="Q601" s="419">
        <f>ROUND(+N601+O601+P601,4)</f>
        <v>0</v>
      </c>
      <c r="R601" s="419">
        <f>ROUND(IF(+Q601-H601&lt;=0,0,Q601-H601),4)</f>
        <v>0</v>
      </c>
      <c r="S601" s="423">
        <v>0.5</v>
      </c>
      <c r="T601" s="419">
        <f>ROUND(+(R601*C601)*S601,4)</f>
        <v>0</v>
      </c>
      <c r="U601" s="419">
        <f>ROUND(+J601+M601+T601,4)</f>
        <v>0</v>
      </c>
      <c r="V601" s="235"/>
    </row>
    <row r="602" spans="1:22" ht="15.75" x14ac:dyDescent="0.25">
      <c r="A602" s="231"/>
      <c r="B602" s="232"/>
      <c r="C602" s="400"/>
      <c r="D602" s="233"/>
      <c r="E602" s="405"/>
      <c r="F602" s="405"/>
      <c r="G602" s="405"/>
      <c r="H602" s="408">
        <f>ROUND(+E602+F602+G602,4)</f>
        <v>0</v>
      </c>
      <c r="I602" s="234"/>
      <c r="J602" s="411"/>
      <c r="K602" s="411"/>
      <c r="L602" s="414">
        <v>0.1</v>
      </c>
      <c r="M602" s="414">
        <f>ROUND(+L602*C602,4)</f>
        <v>0</v>
      </c>
      <c r="N602" s="414"/>
      <c r="O602" s="414"/>
      <c r="P602" s="414"/>
      <c r="Q602" s="419">
        <f>ROUND(+N602+O602+P602,4)</f>
        <v>0</v>
      </c>
      <c r="R602" s="419">
        <f>ROUND(IF(+Q602-H602&lt;=0,0,Q602-H602),4)</f>
        <v>0</v>
      </c>
      <c r="S602" s="423">
        <v>0.5</v>
      </c>
      <c r="T602" s="419">
        <f>ROUND(+(R602*C602)*S602,4)</f>
        <v>0</v>
      </c>
      <c r="U602" s="419">
        <f>ROUND(+J602+M602+T602,4)</f>
        <v>0</v>
      </c>
      <c r="V602" s="235"/>
    </row>
    <row r="603" spans="1:22" ht="15.75" x14ac:dyDescent="0.25">
      <c r="A603" s="231"/>
      <c r="B603" s="232"/>
      <c r="C603" s="400"/>
      <c r="D603" s="233"/>
      <c r="E603" s="405"/>
      <c r="F603" s="405"/>
      <c r="G603" s="405"/>
      <c r="H603" s="408">
        <f>ROUND(+E603+F603+G603,4)</f>
        <v>0</v>
      </c>
      <c r="I603" s="234"/>
      <c r="J603" s="411"/>
      <c r="K603" s="411"/>
      <c r="L603" s="414">
        <v>0.1</v>
      </c>
      <c r="M603" s="414">
        <f>ROUND(+L603*C603,4)</f>
        <v>0</v>
      </c>
      <c r="N603" s="414"/>
      <c r="O603" s="414"/>
      <c r="P603" s="414"/>
      <c r="Q603" s="419">
        <f>ROUND(+N603+O603+P603,4)</f>
        <v>0</v>
      </c>
      <c r="R603" s="419">
        <f>ROUND(IF(+Q603-H603&lt;=0,0,Q603-H603),4)</f>
        <v>0</v>
      </c>
      <c r="S603" s="423">
        <v>0.5</v>
      </c>
      <c r="T603" s="419">
        <f>ROUND(+(R603*C603)*S603,4)</f>
        <v>0</v>
      </c>
      <c r="U603" s="419">
        <f>ROUND(+J603+M603+T603,4)</f>
        <v>0</v>
      </c>
      <c r="V603" s="235"/>
    </row>
    <row r="604" spans="1:22" ht="15.75" x14ac:dyDescent="0.25">
      <c r="A604" s="231"/>
      <c r="B604" s="232"/>
      <c r="C604" s="400"/>
      <c r="D604" s="233"/>
      <c r="E604" s="405"/>
      <c r="F604" s="405"/>
      <c r="G604" s="405"/>
      <c r="H604" s="408">
        <f>ROUND(+E604+F604+G604,4)</f>
        <v>0</v>
      </c>
      <c r="I604" s="234"/>
      <c r="J604" s="411"/>
      <c r="K604" s="411"/>
      <c r="L604" s="414">
        <v>0.1</v>
      </c>
      <c r="M604" s="414">
        <f>ROUND(+L604*C604,4)</f>
        <v>0</v>
      </c>
      <c r="N604" s="414"/>
      <c r="O604" s="414"/>
      <c r="P604" s="414"/>
      <c r="Q604" s="419">
        <f>ROUND(+N604+O604+P604,4)</f>
        <v>0</v>
      </c>
      <c r="R604" s="419">
        <f>ROUND(IF(+Q604-H604&lt;=0,0,Q604-H604),4)</f>
        <v>0</v>
      </c>
      <c r="S604" s="423">
        <v>0.5</v>
      </c>
      <c r="T604" s="419">
        <f>ROUND(+(R604*C604)*S604,4)</f>
        <v>0</v>
      </c>
      <c r="U604" s="419">
        <f>ROUND(+J604+M604+T604,4)</f>
        <v>0</v>
      </c>
      <c r="V604" s="235"/>
    </row>
    <row r="605" spans="1:22" ht="15.75" x14ac:dyDescent="0.25">
      <c r="A605" s="231"/>
      <c r="B605" s="232"/>
      <c r="C605" s="400"/>
      <c r="D605" s="233"/>
      <c r="E605" s="405"/>
      <c r="F605" s="405"/>
      <c r="G605" s="405"/>
      <c r="H605" s="408">
        <f>ROUND(+E605+F605+G605,4)</f>
        <v>0</v>
      </c>
      <c r="I605" s="234"/>
      <c r="J605" s="411"/>
      <c r="K605" s="411"/>
      <c r="L605" s="414">
        <v>0.1</v>
      </c>
      <c r="M605" s="414">
        <f>ROUND(+L605*C605,4)</f>
        <v>0</v>
      </c>
      <c r="N605" s="414"/>
      <c r="O605" s="414"/>
      <c r="P605" s="414"/>
      <c r="Q605" s="419">
        <f>ROUND(+N605+O605+P605,4)</f>
        <v>0</v>
      </c>
      <c r="R605" s="419">
        <f>ROUND(IF(+Q605-H605&lt;=0,0,Q605-H605),4)</f>
        <v>0</v>
      </c>
      <c r="S605" s="423">
        <v>0.5</v>
      </c>
      <c r="T605" s="419">
        <f>ROUND(+(R605*C605)*S605,4)</f>
        <v>0</v>
      </c>
      <c r="U605" s="419">
        <f>ROUND(+J605+M605+T605,4)</f>
        <v>0</v>
      </c>
      <c r="V605" s="235"/>
    </row>
    <row r="606" spans="1:22" ht="15.75" x14ac:dyDescent="0.25">
      <c r="A606" s="231"/>
      <c r="B606" s="232"/>
      <c r="C606" s="400"/>
      <c r="D606" s="233"/>
      <c r="E606" s="405"/>
      <c r="F606" s="405"/>
      <c r="G606" s="405"/>
      <c r="H606" s="408">
        <f>ROUND(+E606+F606+G606,4)</f>
        <v>0</v>
      </c>
      <c r="I606" s="234"/>
      <c r="J606" s="411"/>
      <c r="K606" s="411"/>
      <c r="L606" s="414">
        <v>0.1</v>
      </c>
      <c r="M606" s="414">
        <f>ROUND(+L606*C606,4)</f>
        <v>0</v>
      </c>
      <c r="N606" s="414"/>
      <c r="O606" s="414"/>
      <c r="P606" s="414"/>
      <c r="Q606" s="419">
        <f>ROUND(+N606+O606+P606,4)</f>
        <v>0</v>
      </c>
      <c r="R606" s="419">
        <f>ROUND(IF(+Q606-H606&lt;=0,0,Q606-H606),4)</f>
        <v>0</v>
      </c>
      <c r="S606" s="423">
        <v>0.5</v>
      </c>
      <c r="T606" s="419">
        <f>ROUND(+(R606*C606)*S606,4)</f>
        <v>0</v>
      </c>
      <c r="U606" s="419">
        <f>ROUND(+J606+M606+T606,4)</f>
        <v>0</v>
      </c>
      <c r="V606" s="235"/>
    </row>
    <row r="607" spans="1:22" ht="15.75" x14ac:dyDescent="0.25">
      <c r="A607" s="231"/>
      <c r="B607" s="232"/>
      <c r="C607" s="400"/>
      <c r="D607" s="233"/>
      <c r="E607" s="405"/>
      <c r="F607" s="405"/>
      <c r="G607" s="405"/>
      <c r="H607" s="408">
        <f>ROUND(+E607+F607+G607,4)</f>
        <v>0</v>
      </c>
      <c r="I607" s="234"/>
      <c r="J607" s="411"/>
      <c r="K607" s="411"/>
      <c r="L607" s="414">
        <v>0.1</v>
      </c>
      <c r="M607" s="414">
        <f>ROUND(+L607*C607,4)</f>
        <v>0</v>
      </c>
      <c r="N607" s="414"/>
      <c r="O607" s="414"/>
      <c r="P607" s="414"/>
      <c r="Q607" s="419">
        <f>ROUND(+N607+O607+P607,4)</f>
        <v>0</v>
      </c>
      <c r="R607" s="419">
        <f>ROUND(IF(+Q607-H607&lt;=0,0,Q607-H607),4)</f>
        <v>0</v>
      </c>
      <c r="S607" s="423">
        <v>0.5</v>
      </c>
      <c r="T607" s="419">
        <f>ROUND(+(R607*C607)*S607,4)</f>
        <v>0</v>
      </c>
      <c r="U607" s="419">
        <f>ROUND(+J607+M607+T607,4)</f>
        <v>0</v>
      </c>
      <c r="V607" s="235"/>
    </row>
    <row r="608" spans="1:22" ht="15.75" x14ac:dyDescent="0.25">
      <c r="A608" s="231"/>
      <c r="B608" s="232"/>
      <c r="C608" s="400"/>
      <c r="D608" s="233"/>
      <c r="E608" s="405"/>
      <c r="F608" s="405"/>
      <c r="G608" s="405"/>
      <c r="H608" s="408">
        <f>ROUND(+E608+F608+G608,4)</f>
        <v>0</v>
      </c>
      <c r="I608" s="234"/>
      <c r="J608" s="411"/>
      <c r="K608" s="411"/>
      <c r="L608" s="414">
        <v>0.1</v>
      </c>
      <c r="M608" s="414">
        <f>ROUND(+L608*C608,4)</f>
        <v>0</v>
      </c>
      <c r="N608" s="414"/>
      <c r="O608" s="414"/>
      <c r="P608" s="414"/>
      <c r="Q608" s="419">
        <f>ROUND(+N608+O608+P608,4)</f>
        <v>0</v>
      </c>
      <c r="R608" s="419">
        <f>ROUND(IF(+Q608-H608&lt;=0,0,Q608-H608),4)</f>
        <v>0</v>
      </c>
      <c r="S608" s="423">
        <v>0.5</v>
      </c>
      <c r="T608" s="419">
        <f>ROUND(+(R608*C608)*S608,4)</f>
        <v>0</v>
      </c>
      <c r="U608" s="419">
        <f>ROUND(+J608+M608+T608,4)</f>
        <v>0</v>
      </c>
      <c r="V608" s="235"/>
    </row>
    <row r="609" spans="1:22" ht="15.75" x14ac:dyDescent="0.25">
      <c r="A609" s="231"/>
      <c r="B609" s="232"/>
      <c r="C609" s="400"/>
      <c r="D609" s="233"/>
      <c r="E609" s="405"/>
      <c r="F609" s="405"/>
      <c r="G609" s="405"/>
      <c r="H609" s="408">
        <f>ROUND(+E609+F609+G609,4)</f>
        <v>0</v>
      </c>
      <c r="I609" s="234"/>
      <c r="J609" s="411"/>
      <c r="K609" s="411"/>
      <c r="L609" s="414">
        <v>0.1</v>
      </c>
      <c r="M609" s="414">
        <f>ROUND(+L609*C609,4)</f>
        <v>0</v>
      </c>
      <c r="N609" s="414"/>
      <c r="O609" s="414"/>
      <c r="P609" s="414"/>
      <c r="Q609" s="419">
        <f>ROUND(+N609+O609+P609,4)</f>
        <v>0</v>
      </c>
      <c r="R609" s="419">
        <f>ROUND(IF(+Q609-H609&lt;=0,0,Q609-H609),4)</f>
        <v>0</v>
      </c>
      <c r="S609" s="423">
        <v>0.5</v>
      </c>
      <c r="T609" s="419">
        <f>ROUND(+(R609*C609)*S609,4)</f>
        <v>0</v>
      </c>
      <c r="U609" s="419">
        <f>ROUND(+J609+M609+T609,4)</f>
        <v>0</v>
      </c>
      <c r="V609" s="235"/>
    </row>
    <row r="610" spans="1:22" ht="15.75" x14ac:dyDescent="0.25">
      <c r="A610" s="231"/>
      <c r="B610" s="232"/>
      <c r="C610" s="400"/>
      <c r="D610" s="233"/>
      <c r="E610" s="405"/>
      <c r="F610" s="405"/>
      <c r="G610" s="405"/>
      <c r="H610" s="408">
        <f>ROUND(+E610+F610+G610,4)</f>
        <v>0</v>
      </c>
      <c r="I610" s="234"/>
      <c r="J610" s="411"/>
      <c r="K610" s="411"/>
      <c r="L610" s="414">
        <v>0.1</v>
      </c>
      <c r="M610" s="414">
        <f>ROUND(+L610*C610,4)</f>
        <v>0</v>
      </c>
      <c r="N610" s="414"/>
      <c r="O610" s="414"/>
      <c r="P610" s="414"/>
      <c r="Q610" s="419">
        <f>ROUND(+N610+O610+P610,4)</f>
        <v>0</v>
      </c>
      <c r="R610" s="419">
        <f>ROUND(IF(+Q610-H610&lt;=0,0,Q610-H610),4)</f>
        <v>0</v>
      </c>
      <c r="S610" s="423">
        <v>0.5</v>
      </c>
      <c r="T610" s="419">
        <f>ROUND(+(R610*C610)*S610,4)</f>
        <v>0</v>
      </c>
      <c r="U610" s="419">
        <f>ROUND(+J610+M610+T610,4)</f>
        <v>0</v>
      </c>
      <c r="V610" s="235"/>
    </row>
    <row r="611" spans="1:22" ht="15.75" x14ac:dyDescent="0.25">
      <c r="A611" s="231"/>
      <c r="B611" s="232"/>
      <c r="C611" s="400"/>
      <c r="D611" s="233"/>
      <c r="E611" s="405"/>
      <c r="F611" s="405"/>
      <c r="G611" s="405"/>
      <c r="H611" s="408">
        <f>ROUND(+E611+F611+G611,4)</f>
        <v>0</v>
      </c>
      <c r="I611" s="234"/>
      <c r="J611" s="411"/>
      <c r="K611" s="411"/>
      <c r="L611" s="414">
        <v>0.1</v>
      </c>
      <c r="M611" s="414">
        <f>ROUND(+L611*C611,4)</f>
        <v>0</v>
      </c>
      <c r="N611" s="414"/>
      <c r="O611" s="414"/>
      <c r="P611" s="414"/>
      <c r="Q611" s="419">
        <f>ROUND(+N611+O611+P611,4)</f>
        <v>0</v>
      </c>
      <c r="R611" s="419">
        <f>ROUND(IF(+Q611-H611&lt;=0,0,Q611-H611),4)</f>
        <v>0</v>
      </c>
      <c r="S611" s="423">
        <v>0.5</v>
      </c>
      <c r="T611" s="419">
        <f>ROUND(+(R611*C611)*S611,4)</f>
        <v>0</v>
      </c>
      <c r="U611" s="419">
        <f>ROUND(+J611+M611+T611,4)</f>
        <v>0</v>
      </c>
      <c r="V611" s="235"/>
    </row>
    <row r="612" spans="1:22" ht="15.75" x14ac:dyDescent="0.25">
      <c r="A612" s="231"/>
      <c r="B612" s="232"/>
      <c r="C612" s="400"/>
      <c r="D612" s="233"/>
      <c r="E612" s="405"/>
      <c r="F612" s="405"/>
      <c r="G612" s="405"/>
      <c r="H612" s="408">
        <f>ROUND(+E612+F612+G612,4)</f>
        <v>0</v>
      </c>
      <c r="I612" s="234"/>
      <c r="J612" s="411"/>
      <c r="K612" s="411"/>
      <c r="L612" s="414">
        <v>0.1</v>
      </c>
      <c r="M612" s="414">
        <f>ROUND(+L612*C612,4)</f>
        <v>0</v>
      </c>
      <c r="N612" s="414"/>
      <c r="O612" s="414"/>
      <c r="P612" s="414"/>
      <c r="Q612" s="419">
        <f>ROUND(+N612+O612+P612,4)</f>
        <v>0</v>
      </c>
      <c r="R612" s="419">
        <f>ROUND(IF(+Q612-H612&lt;=0,0,Q612-H612),4)</f>
        <v>0</v>
      </c>
      <c r="S612" s="423">
        <v>0.5</v>
      </c>
      <c r="T612" s="419">
        <f>ROUND(+(R612*C612)*S612,4)</f>
        <v>0</v>
      </c>
      <c r="U612" s="419">
        <f>ROUND(+J612+M612+T612,4)</f>
        <v>0</v>
      </c>
      <c r="V612" s="235"/>
    </row>
    <row r="613" spans="1:22" ht="15.75" x14ac:dyDescent="0.25">
      <c r="A613" s="231"/>
      <c r="B613" s="232"/>
      <c r="C613" s="400"/>
      <c r="D613" s="233"/>
      <c r="E613" s="405"/>
      <c r="F613" s="405"/>
      <c r="G613" s="405"/>
      <c r="H613" s="408">
        <f>ROUND(+E613+F613+G613,4)</f>
        <v>0</v>
      </c>
      <c r="I613" s="234"/>
      <c r="J613" s="411"/>
      <c r="K613" s="411"/>
      <c r="L613" s="414">
        <v>0.1</v>
      </c>
      <c r="M613" s="414">
        <f>ROUND(+L613*C613,4)</f>
        <v>0</v>
      </c>
      <c r="N613" s="414"/>
      <c r="O613" s="414"/>
      <c r="P613" s="414"/>
      <c r="Q613" s="419">
        <f>ROUND(+N613+O613+P613,4)</f>
        <v>0</v>
      </c>
      <c r="R613" s="419">
        <f>ROUND(IF(+Q613-H613&lt;=0,0,Q613-H613),4)</f>
        <v>0</v>
      </c>
      <c r="S613" s="423">
        <v>0.5</v>
      </c>
      <c r="T613" s="419">
        <f>ROUND(+(R613*C613)*S613,4)</f>
        <v>0</v>
      </c>
      <c r="U613" s="419">
        <f>ROUND(+J613+M613+T613,4)</f>
        <v>0</v>
      </c>
      <c r="V613" s="235"/>
    </row>
    <row r="614" spans="1:22" ht="15.75" x14ac:dyDescent="0.25">
      <c r="A614" s="231"/>
      <c r="B614" s="232"/>
      <c r="C614" s="400"/>
      <c r="D614" s="233"/>
      <c r="E614" s="405"/>
      <c r="F614" s="405"/>
      <c r="G614" s="405"/>
      <c r="H614" s="408">
        <f>ROUND(+E614+F614+G614,4)</f>
        <v>0</v>
      </c>
      <c r="I614" s="234"/>
      <c r="J614" s="411"/>
      <c r="K614" s="411"/>
      <c r="L614" s="414">
        <v>0.1</v>
      </c>
      <c r="M614" s="414">
        <f>ROUND(+L614*C614,4)</f>
        <v>0</v>
      </c>
      <c r="N614" s="414"/>
      <c r="O614" s="414"/>
      <c r="P614" s="414"/>
      <c r="Q614" s="419">
        <f>ROUND(+N614+O614+P614,4)</f>
        <v>0</v>
      </c>
      <c r="R614" s="419">
        <f>ROUND(IF(+Q614-H614&lt;=0,0,Q614-H614),4)</f>
        <v>0</v>
      </c>
      <c r="S614" s="423">
        <v>0.5</v>
      </c>
      <c r="T614" s="419">
        <f>ROUND(+(R614*C614)*S614,4)</f>
        <v>0</v>
      </c>
      <c r="U614" s="419">
        <f>ROUND(+J614+M614+T614,4)</f>
        <v>0</v>
      </c>
      <c r="V614" s="235"/>
    </row>
    <row r="615" spans="1:22" ht="15.75" x14ac:dyDescent="0.25">
      <c r="A615" s="231"/>
      <c r="B615" s="232"/>
      <c r="C615" s="400"/>
      <c r="D615" s="233"/>
      <c r="E615" s="405"/>
      <c r="F615" s="405"/>
      <c r="G615" s="405"/>
      <c r="H615" s="408">
        <f>ROUND(+E615+F615+G615,4)</f>
        <v>0</v>
      </c>
      <c r="I615" s="234"/>
      <c r="J615" s="411"/>
      <c r="K615" s="411"/>
      <c r="L615" s="414">
        <v>0.1</v>
      </c>
      <c r="M615" s="414">
        <f>ROUND(+L615*C615,4)</f>
        <v>0</v>
      </c>
      <c r="N615" s="414"/>
      <c r="O615" s="414"/>
      <c r="P615" s="414"/>
      <c r="Q615" s="419">
        <f>ROUND(+N615+O615+P615,4)</f>
        <v>0</v>
      </c>
      <c r="R615" s="419">
        <f>ROUND(IF(+Q615-H615&lt;=0,0,Q615-H615),4)</f>
        <v>0</v>
      </c>
      <c r="S615" s="423">
        <v>0.5</v>
      </c>
      <c r="T615" s="419">
        <f>ROUND(+(R615*C615)*S615,4)</f>
        <v>0</v>
      </c>
      <c r="U615" s="419">
        <f>ROUND(+J615+M615+T615,4)</f>
        <v>0</v>
      </c>
      <c r="V615" s="235"/>
    </row>
    <row r="616" spans="1:22" ht="15.75" x14ac:dyDescent="0.25">
      <c r="A616" s="231"/>
      <c r="B616" s="232"/>
      <c r="C616" s="400"/>
      <c r="D616" s="233"/>
      <c r="E616" s="405"/>
      <c r="F616" s="405"/>
      <c r="G616" s="405"/>
      <c r="H616" s="408">
        <f>ROUND(+E616+F616+G616,4)</f>
        <v>0</v>
      </c>
      <c r="I616" s="234"/>
      <c r="J616" s="411"/>
      <c r="K616" s="411"/>
      <c r="L616" s="414">
        <v>0.1</v>
      </c>
      <c r="M616" s="414">
        <f>ROUND(+L616*C616,4)</f>
        <v>0</v>
      </c>
      <c r="N616" s="414"/>
      <c r="O616" s="414"/>
      <c r="P616" s="414"/>
      <c r="Q616" s="419">
        <f>ROUND(+N616+O616+P616,4)</f>
        <v>0</v>
      </c>
      <c r="R616" s="419">
        <f>ROUND(IF(+Q616-H616&lt;=0,0,Q616-H616),4)</f>
        <v>0</v>
      </c>
      <c r="S616" s="423">
        <v>0.5</v>
      </c>
      <c r="T616" s="419">
        <f>ROUND(+(R616*C616)*S616,4)</f>
        <v>0</v>
      </c>
      <c r="U616" s="419">
        <f>ROUND(+J616+M616+T616,4)</f>
        <v>0</v>
      </c>
      <c r="V616" s="235"/>
    </row>
    <row r="617" spans="1:22" ht="15.75" x14ac:dyDescent="0.25">
      <c r="A617" s="231"/>
      <c r="B617" s="232"/>
      <c r="C617" s="400"/>
      <c r="D617" s="233"/>
      <c r="E617" s="405"/>
      <c r="F617" s="405"/>
      <c r="G617" s="405"/>
      <c r="H617" s="408">
        <f>ROUND(+E617+F617+G617,4)</f>
        <v>0</v>
      </c>
      <c r="I617" s="234"/>
      <c r="J617" s="411"/>
      <c r="K617" s="411"/>
      <c r="L617" s="414">
        <v>0.1</v>
      </c>
      <c r="M617" s="414">
        <f>ROUND(+L617*C617,4)</f>
        <v>0</v>
      </c>
      <c r="N617" s="414"/>
      <c r="O617" s="414"/>
      <c r="P617" s="414"/>
      <c r="Q617" s="419">
        <f>ROUND(+N617+O617+P617,4)</f>
        <v>0</v>
      </c>
      <c r="R617" s="419">
        <f>ROUND(IF(+Q617-H617&lt;=0,0,Q617-H617),4)</f>
        <v>0</v>
      </c>
      <c r="S617" s="423">
        <v>0.5</v>
      </c>
      <c r="T617" s="419">
        <f>ROUND(+(R617*C617)*S617,4)</f>
        <v>0</v>
      </c>
      <c r="U617" s="419">
        <f>ROUND(+J617+M617+T617,4)</f>
        <v>0</v>
      </c>
      <c r="V617" s="235"/>
    </row>
    <row r="618" spans="1:22" ht="15.75" x14ac:dyDescent="0.25">
      <c r="A618" s="231"/>
      <c r="B618" s="232"/>
      <c r="C618" s="400"/>
      <c r="D618" s="233"/>
      <c r="E618" s="405"/>
      <c r="F618" s="405"/>
      <c r="G618" s="405"/>
      <c r="H618" s="408">
        <f>ROUND(+E618+F618+G618,4)</f>
        <v>0</v>
      </c>
      <c r="I618" s="234"/>
      <c r="J618" s="411"/>
      <c r="K618" s="411"/>
      <c r="L618" s="414">
        <v>0.1</v>
      </c>
      <c r="M618" s="414">
        <f>ROUND(+L618*C618,4)</f>
        <v>0</v>
      </c>
      <c r="N618" s="414"/>
      <c r="O618" s="414"/>
      <c r="P618" s="414"/>
      <c r="Q618" s="419">
        <f>ROUND(+N618+O618+P618,4)</f>
        <v>0</v>
      </c>
      <c r="R618" s="419">
        <f>ROUND(IF(+Q618-H618&lt;=0,0,Q618-H618),4)</f>
        <v>0</v>
      </c>
      <c r="S618" s="423">
        <v>0.5</v>
      </c>
      <c r="T618" s="419">
        <f>ROUND(+(R618*C618)*S618,4)</f>
        <v>0</v>
      </c>
      <c r="U618" s="419">
        <f>ROUND(+J618+M618+T618,4)</f>
        <v>0</v>
      </c>
      <c r="V618" s="235"/>
    </row>
    <row r="619" spans="1:22" ht="15.75" x14ac:dyDescent="0.25">
      <c r="A619" s="231"/>
      <c r="B619" s="232"/>
      <c r="C619" s="400"/>
      <c r="D619" s="233"/>
      <c r="E619" s="405"/>
      <c r="F619" s="405"/>
      <c r="G619" s="405"/>
      <c r="H619" s="408">
        <f>ROUND(+E619+F619+G619,4)</f>
        <v>0</v>
      </c>
      <c r="I619" s="234"/>
      <c r="J619" s="411"/>
      <c r="K619" s="411"/>
      <c r="L619" s="414">
        <v>0.1</v>
      </c>
      <c r="M619" s="414">
        <f>ROUND(+L619*C619,4)</f>
        <v>0</v>
      </c>
      <c r="N619" s="414"/>
      <c r="O619" s="414"/>
      <c r="P619" s="414"/>
      <c r="Q619" s="419">
        <f>ROUND(+N619+O619+P619,4)</f>
        <v>0</v>
      </c>
      <c r="R619" s="419">
        <f>ROUND(IF(+Q619-H619&lt;=0,0,Q619-H619),4)</f>
        <v>0</v>
      </c>
      <c r="S619" s="423">
        <v>0.5</v>
      </c>
      <c r="T619" s="419">
        <f>ROUND(+(R619*C619)*S619,4)</f>
        <v>0</v>
      </c>
      <c r="U619" s="419">
        <f>ROUND(+J619+M619+T619,4)</f>
        <v>0</v>
      </c>
      <c r="V619" s="235"/>
    </row>
    <row r="620" spans="1:22" ht="15.75" x14ac:dyDescent="0.25">
      <c r="A620" s="231"/>
      <c r="B620" s="232"/>
      <c r="C620" s="400"/>
      <c r="D620" s="233"/>
      <c r="E620" s="405"/>
      <c r="F620" s="405"/>
      <c r="G620" s="405"/>
      <c r="H620" s="408">
        <f>ROUND(+E620+F620+G620,4)</f>
        <v>0</v>
      </c>
      <c r="I620" s="234"/>
      <c r="J620" s="411"/>
      <c r="K620" s="411"/>
      <c r="L620" s="414">
        <v>0.1</v>
      </c>
      <c r="M620" s="414">
        <f>ROUND(+L620*C620,4)</f>
        <v>0</v>
      </c>
      <c r="N620" s="414"/>
      <c r="O620" s="414"/>
      <c r="P620" s="414"/>
      <c r="Q620" s="419">
        <f>ROUND(+N620+O620+P620,4)</f>
        <v>0</v>
      </c>
      <c r="R620" s="419">
        <f>ROUND(IF(+Q620-H620&lt;=0,0,Q620-H620),4)</f>
        <v>0</v>
      </c>
      <c r="S620" s="423">
        <v>0.5</v>
      </c>
      <c r="T620" s="419">
        <f>ROUND(+(R620*C620)*S620,4)</f>
        <v>0</v>
      </c>
      <c r="U620" s="419">
        <f>ROUND(+J620+M620+T620,4)</f>
        <v>0</v>
      </c>
      <c r="V620" s="235"/>
    </row>
    <row r="621" spans="1:22" ht="15.75" x14ac:dyDescent="0.25">
      <c r="A621" s="231"/>
      <c r="B621" s="232"/>
      <c r="C621" s="400"/>
      <c r="D621" s="233"/>
      <c r="E621" s="405"/>
      <c r="F621" s="405"/>
      <c r="G621" s="405"/>
      <c r="H621" s="408">
        <f>ROUND(+E621+F621+G621,4)</f>
        <v>0</v>
      </c>
      <c r="I621" s="234"/>
      <c r="J621" s="411"/>
      <c r="K621" s="411"/>
      <c r="L621" s="414">
        <v>0.1</v>
      </c>
      <c r="M621" s="414">
        <f>ROUND(+L621*C621,4)</f>
        <v>0</v>
      </c>
      <c r="N621" s="414"/>
      <c r="O621" s="414"/>
      <c r="P621" s="414"/>
      <c r="Q621" s="419">
        <f>ROUND(+N621+O621+P621,4)</f>
        <v>0</v>
      </c>
      <c r="R621" s="419">
        <f>ROUND(IF(+Q621-H621&lt;=0,0,Q621-H621),4)</f>
        <v>0</v>
      </c>
      <c r="S621" s="423">
        <v>0.5</v>
      </c>
      <c r="T621" s="419">
        <f>ROUND(+(R621*C621)*S621,4)</f>
        <v>0</v>
      </c>
      <c r="U621" s="419">
        <f>ROUND(+J621+M621+T621,4)</f>
        <v>0</v>
      </c>
      <c r="V621" s="235"/>
    </row>
    <row r="622" spans="1:22" ht="15.75" x14ac:dyDescent="0.25">
      <c r="A622" s="231"/>
      <c r="B622" s="232"/>
      <c r="C622" s="400"/>
      <c r="D622" s="233"/>
      <c r="E622" s="405"/>
      <c r="F622" s="405"/>
      <c r="G622" s="405"/>
      <c r="H622" s="408">
        <f>ROUND(+E622+F622+G622,4)</f>
        <v>0</v>
      </c>
      <c r="I622" s="234"/>
      <c r="J622" s="411"/>
      <c r="K622" s="411"/>
      <c r="L622" s="414">
        <v>0.1</v>
      </c>
      <c r="M622" s="414">
        <f>ROUND(+L622*C622,4)</f>
        <v>0</v>
      </c>
      <c r="N622" s="414"/>
      <c r="O622" s="414"/>
      <c r="P622" s="414"/>
      <c r="Q622" s="419">
        <f>ROUND(+N622+O622+P622,4)</f>
        <v>0</v>
      </c>
      <c r="R622" s="419">
        <f>ROUND(IF(+Q622-H622&lt;=0,0,Q622-H622),4)</f>
        <v>0</v>
      </c>
      <c r="S622" s="423">
        <v>0.5</v>
      </c>
      <c r="T622" s="419">
        <f>ROUND(+(R622*C622)*S622,4)</f>
        <v>0</v>
      </c>
      <c r="U622" s="419">
        <f>ROUND(+J622+M622+T622,4)</f>
        <v>0</v>
      </c>
      <c r="V622" s="235"/>
    </row>
    <row r="623" spans="1:22" ht="15.75" x14ac:dyDescent="0.25">
      <c r="A623" s="231"/>
      <c r="B623" s="232"/>
      <c r="C623" s="400"/>
      <c r="D623" s="233"/>
      <c r="E623" s="405"/>
      <c r="F623" s="405"/>
      <c r="G623" s="405"/>
      <c r="H623" s="408">
        <f>ROUND(+E623+F623+G623,4)</f>
        <v>0</v>
      </c>
      <c r="I623" s="234"/>
      <c r="J623" s="411"/>
      <c r="K623" s="411"/>
      <c r="L623" s="414">
        <v>0.1</v>
      </c>
      <c r="M623" s="414">
        <f>ROUND(+L623*C623,4)</f>
        <v>0</v>
      </c>
      <c r="N623" s="414"/>
      <c r="O623" s="414"/>
      <c r="P623" s="414"/>
      <c r="Q623" s="419">
        <f>ROUND(+N623+O623+P623,4)</f>
        <v>0</v>
      </c>
      <c r="R623" s="419">
        <f>ROUND(IF(+Q623-H623&lt;=0,0,Q623-H623),4)</f>
        <v>0</v>
      </c>
      <c r="S623" s="423">
        <v>0.5</v>
      </c>
      <c r="T623" s="419">
        <f>ROUND(+(R623*C623)*S623,4)</f>
        <v>0</v>
      </c>
      <c r="U623" s="419">
        <f>ROUND(+J623+M623+T623,4)</f>
        <v>0</v>
      </c>
      <c r="V623" s="235"/>
    </row>
    <row r="624" spans="1:22" ht="15.75" x14ac:dyDescent="0.25">
      <c r="A624" s="231"/>
      <c r="B624" s="232"/>
      <c r="C624" s="400"/>
      <c r="D624" s="233"/>
      <c r="E624" s="405"/>
      <c r="F624" s="405"/>
      <c r="G624" s="405"/>
      <c r="H624" s="408">
        <f>ROUND(+E624+F624+G624,4)</f>
        <v>0</v>
      </c>
      <c r="I624" s="234"/>
      <c r="J624" s="411"/>
      <c r="K624" s="411"/>
      <c r="L624" s="414">
        <v>0.1</v>
      </c>
      <c r="M624" s="414">
        <f>ROUND(+L624*C624,4)</f>
        <v>0</v>
      </c>
      <c r="N624" s="414"/>
      <c r="O624" s="414"/>
      <c r="P624" s="414"/>
      <c r="Q624" s="419">
        <f>ROUND(+N624+O624+P624,4)</f>
        <v>0</v>
      </c>
      <c r="R624" s="419">
        <f>ROUND(IF(+Q624-H624&lt;=0,0,Q624-H624),4)</f>
        <v>0</v>
      </c>
      <c r="S624" s="423">
        <v>0.5</v>
      </c>
      <c r="T624" s="419">
        <f>ROUND(+(R624*C624)*S624,4)</f>
        <v>0</v>
      </c>
      <c r="U624" s="419">
        <f>ROUND(+J624+M624+T624,4)</f>
        <v>0</v>
      </c>
      <c r="V624" s="235"/>
    </row>
    <row r="625" spans="1:22" ht="15.75" x14ac:dyDescent="0.25">
      <c r="A625" s="231"/>
      <c r="B625" s="232"/>
      <c r="C625" s="400"/>
      <c r="D625" s="233"/>
      <c r="E625" s="405"/>
      <c r="F625" s="405"/>
      <c r="G625" s="405"/>
      <c r="H625" s="408">
        <f>ROUND(+E625+F625+G625,4)</f>
        <v>0</v>
      </c>
      <c r="I625" s="234"/>
      <c r="J625" s="411"/>
      <c r="K625" s="411"/>
      <c r="L625" s="414">
        <v>0.1</v>
      </c>
      <c r="M625" s="414">
        <f>ROUND(+L625*C625,4)</f>
        <v>0</v>
      </c>
      <c r="N625" s="414"/>
      <c r="O625" s="414"/>
      <c r="P625" s="414"/>
      <c r="Q625" s="419">
        <f>ROUND(+N625+O625+P625,4)</f>
        <v>0</v>
      </c>
      <c r="R625" s="419">
        <f>ROUND(IF(+Q625-H625&lt;=0,0,Q625-H625),4)</f>
        <v>0</v>
      </c>
      <c r="S625" s="423">
        <v>0.5</v>
      </c>
      <c r="T625" s="419">
        <f>ROUND(+(R625*C625)*S625,4)</f>
        <v>0</v>
      </c>
      <c r="U625" s="419">
        <f>ROUND(+J625+M625+T625,4)</f>
        <v>0</v>
      </c>
      <c r="V625" s="235"/>
    </row>
    <row r="626" spans="1:22" ht="15.75" x14ac:dyDescent="0.25">
      <c r="A626" s="231"/>
      <c r="B626" s="232"/>
      <c r="C626" s="400"/>
      <c r="D626" s="233"/>
      <c r="E626" s="405"/>
      <c r="F626" s="405"/>
      <c r="G626" s="405"/>
      <c r="H626" s="408">
        <f>ROUND(+E626+F626+G626,4)</f>
        <v>0</v>
      </c>
      <c r="I626" s="234"/>
      <c r="J626" s="411"/>
      <c r="K626" s="411"/>
      <c r="L626" s="414">
        <v>0.1</v>
      </c>
      <c r="M626" s="414">
        <f>ROUND(+L626*C626,4)</f>
        <v>0</v>
      </c>
      <c r="N626" s="414"/>
      <c r="O626" s="414"/>
      <c r="P626" s="414"/>
      <c r="Q626" s="419">
        <f>ROUND(+N626+O626+P626,4)</f>
        <v>0</v>
      </c>
      <c r="R626" s="419">
        <f>ROUND(IF(+Q626-H626&lt;=0,0,Q626-H626),4)</f>
        <v>0</v>
      </c>
      <c r="S626" s="423">
        <v>0.5</v>
      </c>
      <c r="T626" s="419">
        <f>ROUND(+(R626*C626)*S626,4)</f>
        <v>0</v>
      </c>
      <c r="U626" s="419">
        <f>ROUND(+J626+M626+T626,4)</f>
        <v>0</v>
      </c>
      <c r="V626" s="235"/>
    </row>
    <row r="627" spans="1:22" ht="15.75" x14ac:dyDescent="0.25">
      <c r="A627" s="231"/>
      <c r="B627" s="232"/>
      <c r="C627" s="400"/>
      <c r="D627" s="233"/>
      <c r="E627" s="405"/>
      <c r="F627" s="405"/>
      <c r="G627" s="405"/>
      <c r="H627" s="408">
        <f>ROUND(+E627+F627+G627,4)</f>
        <v>0</v>
      </c>
      <c r="I627" s="234"/>
      <c r="J627" s="411"/>
      <c r="K627" s="411"/>
      <c r="L627" s="414">
        <v>0.1</v>
      </c>
      <c r="M627" s="414">
        <f>ROUND(+L627*C627,4)</f>
        <v>0</v>
      </c>
      <c r="N627" s="414"/>
      <c r="O627" s="414"/>
      <c r="P627" s="414"/>
      <c r="Q627" s="419">
        <f>ROUND(+N627+O627+P627,4)</f>
        <v>0</v>
      </c>
      <c r="R627" s="419">
        <f>ROUND(IF(+Q627-H627&lt;=0,0,Q627-H627),4)</f>
        <v>0</v>
      </c>
      <c r="S627" s="423">
        <v>0.5</v>
      </c>
      <c r="T627" s="419">
        <f>ROUND(+(R627*C627)*S627,4)</f>
        <v>0</v>
      </c>
      <c r="U627" s="419">
        <f>ROUND(+J627+M627+T627,4)</f>
        <v>0</v>
      </c>
      <c r="V627" s="235"/>
    </row>
    <row r="628" spans="1:22" ht="15.75" x14ac:dyDescent="0.25">
      <c r="A628" s="231"/>
      <c r="B628" s="232"/>
      <c r="C628" s="400"/>
      <c r="D628" s="233"/>
      <c r="E628" s="405"/>
      <c r="F628" s="405"/>
      <c r="G628" s="405"/>
      <c r="H628" s="408">
        <f>ROUND(+E628+F628+G628,4)</f>
        <v>0</v>
      </c>
      <c r="I628" s="234"/>
      <c r="J628" s="411"/>
      <c r="K628" s="411"/>
      <c r="L628" s="414">
        <v>0.1</v>
      </c>
      <c r="M628" s="414">
        <f>ROUND(+L628*C628,4)</f>
        <v>0</v>
      </c>
      <c r="N628" s="414"/>
      <c r="O628" s="414"/>
      <c r="P628" s="414"/>
      <c r="Q628" s="419">
        <f>ROUND(+N628+O628+P628,4)</f>
        <v>0</v>
      </c>
      <c r="R628" s="419">
        <f>ROUND(IF(+Q628-H628&lt;=0,0,Q628-H628),4)</f>
        <v>0</v>
      </c>
      <c r="S628" s="423">
        <v>0.5</v>
      </c>
      <c r="T628" s="419">
        <f>ROUND(+(R628*C628)*S628,4)</f>
        <v>0</v>
      </c>
      <c r="U628" s="419">
        <f>ROUND(+J628+M628+T628,4)</f>
        <v>0</v>
      </c>
      <c r="V628" s="235"/>
    </row>
    <row r="629" spans="1:22" ht="15.75" x14ac:dyDescent="0.25">
      <c r="A629" s="231"/>
      <c r="B629" s="232"/>
      <c r="C629" s="400"/>
      <c r="D629" s="233"/>
      <c r="E629" s="405"/>
      <c r="F629" s="405"/>
      <c r="G629" s="405"/>
      <c r="H629" s="408">
        <f>ROUND(+E629+F629+G629,4)</f>
        <v>0</v>
      </c>
      <c r="I629" s="234"/>
      <c r="J629" s="411"/>
      <c r="K629" s="411"/>
      <c r="L629" s="414">
        <v>0.1</v>
      </c>
      <c r="M629" s="414">
        <f>ROUND(+L629*C629,4)</f>
        <v>0</v>
      </c>
      <c r="N629" s="414"/>
      <c r="O629" s="414"/>
      <c r="P629" s="414"/>
      <c r="Q629" s="419">
        <f>ROUND(+N629+O629+P629,4)</f>
        <v>0</v>
      </c>
      <c r="R629" s="419">
        <f>ROUND(IF(+Q629-H629&lt;=0,0,Q629-H629),4)</f>
        <v>0</v>
      </c>
      <c r="S629" s="423">
        <v>0.5</v>
      </c>
      <c r="T629" s="419">
        <f>ROUND(+(R629*C629)*S629,4)</f>
        <v>0</v>
      </c>
      <c r="U629" s="419">
        <f>ROUND(+J629+M629+T629,4)</f>
        <v>0</v>
      </c>
      <c r="V629" s="235"/>
    </row>
    <row r="630" spans="1:22" ht="15.75" x14ac:dyDescent="0.25">
      <c r="A630" s="231"/>
      <c r="B630" s="232"/>
      <c r="C630" s="400"/>
      <c r="D630" s="233"/>
      <c r="E630" s="405"/>
      <c r="F630" s="405"/>
      <c r="G630" s="405"/>
      <c r="H630" s="408">
        <f>ROUND(+E630+F630+G630,4)</f>
        <v>0</v>
      </c>
      <c r="I630" s="234"/>
      <c r="J630" s="411"/>
      <c r="K630" s="411"/>
      <c r="L630" s="414">
        <v>0.1</v>
      </c>
      <c r="M630" s="414">
        <f>ROUND(+L630*C630,4)</f>
        <v>0</v>
      </c>
      <c r="N630" s="414"/>
      <c r="O630" s="414"/>
      <c r="P630" s="414"/>
      <c r="Q630" s="419">
        <f>ROUND(+N630+O630+P630,4)</f>
        <v>0</v>
      </c>
      <c r="R630" s="419">
        <f>ROUND(IF(+Q630-H630&lt;=0,0,Q630-H630),4)</f>
        <v>0</v>
      </c>
      <c r="S630" s="423">
        <v>0.5</v>
      </c>
      <c r="T630" s="419">
        <f>ROUND(+(R630*C630)*S630,4)</f>
        <v>0</v>
      </c>
      <c r="U630" s="419">
        <f>ROUND(+J630+M630+T630,4)</f>
        <v>0</v>
      </c>
      <c r="V630" s="235"/>
    </row>
    <row r="631" spans="1:22" ht="15.75" x14ac:dyDescent="0.25">
      <c r="A631" s="231"/>
      <c r="B631" s="232"/>
      <c r="C631" s="400"/>
      <c r="D631" s="233"/>
      <c r="E631" s="405"/>
      <c r="F631" s="405"/>
      <c r="G631" s="405"/>
      <c r="H631" s="408">
        <f>ROUND(+E631+F631+G631,4)</f>
        <v>0</v>
      </c>
      <c r="I631" s="234"/>
      <c r="J631" s="411"/>
      <c r="K631" s="411"/>
      <c r="L631" s="414">
        <v>0.1</v>
      </c>
      <c r="M631" s="414">
        <f>ROUND(+L631*C631,4)</f>
        <v>0</v>
      </c>
      <c r="N631" s="414"/>
      <c r="O631" s="414"/>
      <c r="P631" s="414"/>
      <c r="Q631" s="419">
        <f>ROUND(+N631+O631+P631,4)</f>
        <v>0</v>
      </c>
      <c r="R631" s="419">
        <f>ROUND(IF(+Q631-H631&lt;=0,0,Q631-H631),4)</f>
        <v>0</v>
      </c>
      <c r="S631" s="423">
        <v>0.5</v>
      </c>
      <c r="T631" s="419">
        <f>ROUND(+(R631*C631)*S631,4)</f>
        <v>0</v>
      </c>
      <c r="U631" s="419">
        <f>ROUND(+J631+M631+T631,4)</f>
        <v>0</v>
      </c>
      <c r="V631" s="235"/>
    </row>
    <row r="632" spans="1:22" ht="15.75" x14ac:dyDescent="0.25">
      <c r="A632" s="231"/>
      <c r="B632" s="232"/>
      <c r="C632" s="400"/>
      <c r="D632" s="233"/>
      <c r="E632" s="405"/>
      <c r="F632" s="405"/>
      <c r="G632" s="405"/>
      <c r="H632" s="408">
        <f>ROUND(+E632+F632+G632,4)</f>
        <v>0</v>
      </c>
      <c r="I632" s="234"/>
      <c r="J632" s="411"/>
      <c r="K632" s="411"/>
      <c r="L632" s="414">
        <v>0.1</v>
      </c>
      <c r="M632" s="414">
        <f>ROUND(+L632*C632,4)</f>
        <v>0</v>
      </c>
      <c r="N632" s="414"/>
      <c r="O632" s="414"/>
      <c r="P632" s="414"/>
      <c r="Q632" s="419">
        <f>ROUND(+N632+O632+P632,4)</f>
        <v>0</v>
      </c>
      <c r="R632" s="419">
        <f>ROUND(IF(+Q632-H632&lt;=0,0,Q632-H632),4)</f>
        <v>0</v>
      </c>
      <c r="S632" s="423">
        <v>0.5</v>
      </c>
      <c r="T632" s="419">
        <f>ROUND(+(R632*C632)*S632,4)</f>
        <v>0</v>
      </c>
      <c r="U632" s="419">
        <f>ROUND(+J632+M632+T632,4)</f>
        <v>0</v>
      </c>
      <c r="V632" s="235"/>
    </row>
    <row r="633" spans="1:22" ht="15.75" x14ac:dyDescent="0.25">
      <c r="A633" s="231"/>
      <c r="B633" s="232"/>
      <c r="C633" s="400"/>
      <c r="D633" s="233"/>
      <c r="E633" s="405"/>
      <c r="F633" s="405"/>
      <c r="G633" s="405"/>
      <c r="H633" s="408">
        <f>ROUND(+E633+F633+G633,4)</f>
        <v>0</v>
      </c>
      <c r="I633" s="234"/>
      <c r="J633" s="411"/>
      <c r="K633" s="411"/>
      <c r="L633" s="414">
        <v>0.1</v>
      </c>
      <c r="M633" s="414">
        <f>ROUND(+L633*C633,4)</f>
        <v>0</v>
      </c>
      <c r="N633" s="414"/>
      <c r="O633" s="414"/>
      <c r="P633" s="414"/>
      <c r="Q633" s="419">
        <f>ROUND(+N633+O633+P633,4)</f>
        <v>0</v>
      </c>
      <c r="R633" s="419">
        <f>ROUND(IF(+Q633-H633&lt;=0,0,Q633-H633),4)</f>
        <v>0</v>
      </c>
      <c r="S633" s="423">
        <v>0.5</v>
      </c>
      <c r="T633" s="419">
        <f>ROUND(+(R633*C633)*S633,4)</f>
        <v>0</v>
      </c>
      <c r="U633" s="419">
        <f>ROUND(+J633+M633+T633,4)</f>
        <v>0</v>
      </c>
      <c r="V633" s="235"/>
    </row>
    <row r="634" spans="1:22" ht="15.75" x14ac:dyDescent="0.25">
      <c r="A634" s="231"/>
      <c r="B634" s="232"/>
      <c r="C634" s="400"/>
      <c r="D634" s="233"/>
      <c r="E634" s="405"/>
      <c r="F634" s="405"/>
      <c r="G634" s="405"/>
      <c r="H634" s="408">
        <f>ROUND(+E634+F634+G634,4)</f>
        <v>0</v>
      </c>
      <c r="I634" s="234"/>
      <c r="J634" s="411"/>
      <c r="K634" s="411"/>
      <c r="L634" s="414">
        <v>0.1</v>
      </c>
      <c r="M634" s="414">
        <f>ROUND(+L634*C634,4)</f>
        <v>0</v>
      </c>
      <c r="N634" s="414"/>
      <c r="O634" s="414"/>
      <c r="P634" s="414"/>
      <c r="Q634" s="419">
        <f>ROUND(+N634+O634+P634,4)</f>
        <v>0</v>
      </c>
      <c r="R634" s="419">
        <f>ROUND(IF(+Q634-H634&lt;=0,0,Q634-H634),4)</f>
        <v>0</v>
      </c>
      <c r="S634" s="423">
        <v>0.5</v>
      </c>
      <c r="T634" s="419">
        <f>ROUND(+(R634*C634)*S634,4)</f>
        <v>0</v>
      </c>
      <c r="U634" s="419">
        <f>ROUND(+J634+M634+T634,4)</f>
        <v>0</v>
      </c>
      <c r="V634" s="235"/>
    </row>
    <row r="635" spans="1:22" ht="15.75" x14ac:dyDescent="0.25">
      <c r="A635" s="231"/>
      <c r="B635" s="232"/>
      <c r="C635" s="400"/>
      <c r="D635" s="233"/>
      <c r="E635" s="405"/>
      <c r="F635" s="405"/>
      <c r="G635" s="405"/>
      <c r="H635" s="408">
        <f>ROUND(+E635+F635+G635,4)</f>
        <v>0</v>
      </c>
      <c r="I635" s="234"/>
      <c r="J635" s="411"/>
      <c r="K635" s="411"/>
      <c r="L635" s="414">
        <v>0.1</v>
      </c>
      <c r="M635" s="414">
        <f>ROUND(+L635*C635,4)</f>
        <v>0</v>
      </c>
      <c r="N635" s="414"/>
      <c r="O635" s="414"/>
      <c r="P635" s="414"/>
      <c r="Q635" s="419">
        <f>ROUND(+N635+O635+P635,4)</f>
        <v>0</v>
      </c>
      <c r="R635" s="419">
        <f>ROUND(IF(+Q635-H635&lt;=0,0,Q635-H635),4)</f>
        <v>0</v>
      </c>
      <c r="S635" s="423">
        <v>0.5</v>
      </c>
      <c r="T635" s="419">
        <f>ROUND(+(R635*C635)*S635,4)</f>
        <v>0</v>
      </c>
      <c r="U635" s="419">
        <f>ROUND(+J635+M635+T635,4)</f>
        <v>0</v>
      </c>
      <c r="V635" s="235"/>
    </row>
    <row r="636" spans="1:22" ht="15.75" x14ac:dyDescent="0.25">
      <c r="A636" s="231"/>
      <c r="B636" s="232"/>
      <c r="C636" s="400"/>
      <c r="D636" s="233"/>
      <c r="E636" s="405"/>
      <c r="F636" s="405"/>
      <c r="G636" s="405"/>
      <c r="H636" s="408">
        <f>ROUND(+E636+F636+G636,4)</f>
        <v>0</v>
      </c>
      <c r="I636" s="234"/>
      <c r="J636" s="411"/>
      <c r="K636" s="411"/>
      <c r="L636" s="414">
        <v>0.1</v>
      </c>
      <c r="M636" s="414">
        <f>ROUND(+L636*C636,4)</f>
        <v>0</v>
      </c>
      <c r="N636" s="414"/>
      <c r="O636" s="414"/>
      <c r="P636" s="414"/>
      <c r="Q636" s="419">
        <f>ROUND(+N636+O636+P636,4)</f>
        <v>0</v>
      </c>
      <c r="R636" s="419">
        <f>ROUND(IF(+Q636-H636&lt;=0,0,Q636-H636),4)</f>
        <v>0</v>
      </c>
      <c r="S636" s="423">
        <v>0.5</v>
      </c>
      <c r="T636" s="419">
        <f>ROUND(+(R636*C636)*S636,4)</f>
        <v>0</v>
      </c>
      <c r="U636" s="419">
        <f>ROUND(+J636+M636+T636,4)</f>
        <v>0</v>
      </c>
      <c r="V636" s="235"/>
    </row>
    <row r="637" spans="1:22" ht="15.75" x14ac:dyDescent="0.25">
      <c r="A637" s="231"/>
      <c r="B637" s="232"/>
      <c r="C637" s="400"/>
      <c r="D637" s="233"/>
      <c r="E637" s="405"/>
      <c r="F637" s="405"/>
      <c r="G637" s="405"/>
      <c r="H637" s="408">
        <f>ROUND(+E637+F637+G637,4)</f>
        <v>0</v>
      </c>
      <c r="I637" s="234"/>
      <c r="J637" s="411"/>
      <c r="K637" s="411"/>
      <c r="L637" s="414">
        <v>0.1</v>
      </c>
      <c r="M637" s="414">
        <f>ROUND(+L637*C637,4)</f>
        <v>0</v>
      </c>
      <c r="N637" s="414"/>
      <c r="O637" s="414"/>
      <c r="P637" s="414"/>
      <c r="Q637" s="419">
        <f>ROUND(+N637+O637+P637,4)</f>
        <v>0</v>
      </c>
      <c r="R637" s="419">
        <f>ROUND(IF(+Q637-H637&lt;=0,0,Q637-H637),4)</f>
        <v>0</v>
      </c>
      <c r="S637" s="423">
        <v>0.5</v>
      </c>
      <c r="T637" s="419">
        <f>ROUND(+(R637*C637)*S637,4)</f>
        <v>0</v>
      </c>
      <c r="U637" s="419">
        <f>ROUND(+J637+M637+T637,4)</f>
        <v>0</v>
      </c>
      <c r="V637" s="235"/>
    </row>
    <row r="638" spans="1:22" ht="15.75" x14ac:dyDescent="0.25">
      <c r="A638" s="231"/>
      <c r="B638" s="232"/>
      <c r="C638" s="400"/>
      <c r="D638" s="233"/>
      <c r="E638" s="405"/>
      <c r="F638" s="405"/>
      <c r="G638" s="405"/>
      <c r="H638" s="408">
        <f>ROUND(+E638+F638+G638,4)</f>
        <v>0</v>
      </c>
      <c r="I638" s="234"/>
      <c r="J638" s="411"/>
      <c r="K638" s="411"/>
      <c r="L638" s="414">
        <v>0.1</v>
      </c>
      <c r="M638" s="414">
        <f>ROUND(+L638*C638,4)</f>
        <v>0</v>
      </c>
      <c r="N638" s="414"/>
      <c r="O638" s="414"/>
      <c r="P638" s="414"/>
      <c r="Q638" s="419">
        <f>ROUND(+N638+O638+P638,4)</f>
        <v>0</v>
      </c>
      <c r="R638" s="419">
        <f>ROUND(IF(+Q638-H638&lt;=0,0,Q638-H638),4)</f>
        <v>0</v>
      </c>
      <c r="S638" s="423">
        <v>0.5</v>
      </c>
      <c r="T638" s="419">
        <f>ROUND(+(R638*C638)*S638,4)</f>
        <v>0</v>
      </c>
      <c r="U638" s="419">
        <f>ROUND(+J638+M638+T638,4)</f>
        <v>0</v>
      </c>
      <c r="V638" s="235"/>
    </row>
    <row r="639" spans="1:22" ht="15.75" x14ac:dyDescent="0.25">
      <c r="A639" s="231"/>
      <c r="B639" s="232"/>
      <c r="C639" s="400"/>
      <c r="D639" s="233"/>
      <c r="E639" s="405"/>
      <c r="F639" s="405"/>
      <c r="G639" s="405"/>
      <c r="H639" s="408">
        <f>ROUND(+E639+F639+G639,4)</f>
        <v>0</v>
      </c>
      <c r="I639" s="234"/>
      <c r="J639" s="411"/>
      <c r="K639" s="411"/>
      <c r="L639" s="414">
        <v>0.1</v>
      </c>
      <c r="M639" s="414">
        <f>ROUND(+L639*C639,4)</f>
        <v>0</v>
      </c>
      <c r="N639" s="414"/>
      <c r="O639" s="414"/>
      <c r="P639" s="414"/>
      <c r="Q639" s="419">
        <f>ROUND(+N639+O639+P639,4)</f>
        <v>0</v>
      </c>
      <c r="R639" s="419">
        <f>ROUND(IF(+Q639-H639&lt;=0,0,Q639-H639),4)</f>
        <v>0</v>
      </c>
      <c r="S639" s="423">
        <v>0.5</v>
      </c>
      <c r="T639" s="419">
        <f>ROUND(+(R639*C639)*S639,4)</f>
        <v>0</v>
      </c>
      <c r="U639" s="419">
        <f>ROUND(+J639+M639+T639,4)</f>
        <v>0</v>
      </c>
      <c r="V639" s="235"/>
    </row>
    <row r="640" spans="1:22" ht="15.75" x14ac:dyDescent="0.25">
      <c r="A640" s="231"/>
      <c r="B640" s="232"/>
      <c r="C640" s="400"/>
      <c r="D640" s="233"/>
      <c r="E640" s="405"/>
      <c r="F640" s="405"/>
      <c r="G640" s="405"/>
      <c r="H640" s="408">
        <f>ROUND(+E640+F640+G640,4)</f>
        <v>0</v>
      </c>
      <c r="I640" s="234"/>
      <c r="J640" s="411"/>
      <c r="K640" s="411"/>
      <c r="L640" s="414">
        <v>0.1</v>
      </c>
      <c r="M640" s="414">
        <f>ROUND(+L640*C640,4)</f>
        <v>0</v>
      </c>
      <c r="N640" s="414"/>
      <c r="O640" s="414"/>
      <c r="P640" s="414"/>
      <c r="Q640" s="419">
        <f>ROUND(+N640+O640+P640,4)</f>
        <v>0</v>
      </c>
      <c r="R640" s="419">
        <f>ROUND(IF(+Q640-H640&lt;=0,0,Q640-H640),4)</f>
        <v>0</v>
      </c>
      <c r="S640" s="423">
        <v>0.5</v>
      </c>
      <c r="T640" s="419">
        <f>ROUND(+(R640*C640)*S640,4)</f>
        <v>0</v>
      </c>
      <c r="U640" s="419">
        <f>ROUND(+J640+M640+T640,4)</f>
        <v>0</v>
      </c>
      <c r="V640" s="235"/>
    </row>
    <row r="641" spans="1:22" ht="15.75" x14ac:dyDescent="0.25">
      <c r="A641" s="231"/>
      <c r="B641" s="232"/>
      <c r="C641" s="400"/>
      <c r="D641" s="233"/>
      <c r="E641" s="405"/>
      <c r="F641" s="405"/>
      <c r="G641" s="405"/>
      <c r="H641" s="408">
        <f>ROUND(+E641+F641+G641,4)</f>
        <v>0</v>
      </c>
      <c r="I641" s="234"/>
      <c r="J641" s="411"/>
      <c r="K641" s="411"/>
      <c r="L641" s="414">
        <v>0.1</v>
      </c>
      <c r="M641" s="414">
        <f>ROUND(+L641*C641,4)</f>
        <v>0</v>
      </c>
      <c r="N641" s="414"/>
      <c r="O641" s="414"/>
      <c r="P641" s="414"/>
      <c r="Q641" s="419">
        <f>ROUND(+N641+O641+P641,4)</f>
        <v>0</v>
      </c>
      <c r="R641" s="419">
        <f>ROUND(IF(+Q641-H641&lt;=0,0,Q641-H641),4)</f>
        <v>0</v>
      </c>
      <c r="S641" s="423">
        <v>0.5</v>
      </c>
      <c r="T641" s="419">
        <f>ROUND(+(R641*C641)*S641,4)</f>
        <v>0</v>
      </c>
      <c r="U641" s="419">
        <f>ROUND(+J641+M641+T641,4)</f>
        <v>0</v>
      </c>
      <c r="V641" s="235"/>
    </row>
    <row r="642" spans="1:22" ht="15.75" x14ac:dyDescent="0.25">
      <c r="A642" s="231"/>
      <c r="B642" s="232"/>
      <c r="C642" s="400"/>
      <c r="D642" s="233"/>
      <c r="E642" s="405"/>
      <c r="F642" s="405"/>
      <c r="G642" s="405"/>
      <c r="H642" s="408">
        <f>ROUND(+E642+F642+G642,4)</f>
        <v>0</v>
      </c>
      <c r="I642" s="234"/>
      <c r="J642" s="411"/>
      <c r="K642" s="411"/>
      <c r="L642" s="414">
        <v>0.1</v>
      </c>
      <c r="M642" s="414">
        <f>ROUND(+L642*C642,4)</f>
        <v>0</v>
      </c>
      <c r="N642" s="414"/>
      <c r="O642" s="414"/>
      <c r="P642" s="414"/>
      <c r="Q642" s="419">
        <f>ROUND(+N642+O642+P642,4)</f>
        <v>0</v>
      </c>
      <c r="R642" s="419">
        <f>ROUND(IF(+Q642-H642&lt;=0,0,Q642-H642),4)</f>
        <v>0</v>
      </c>
      <c r="S642" s="423">
        <v>0.5</v>
      </c>
      <c r="T642" s="419">
        <f>ROUND(+(R642*C642)*S642,4)</f>
        <v>0</v>
      </c>
      <c r="U642" s="419">
        <f>ROUND(+J642+M642+T642,4)</f>
        <v>0</v>
      </c>
      <c r="V642" s="235"/>
    </row>
    <row r="643" spans="1:22" ht="15.75" x14ac:dyDescent="0.25">
      <c r="A643" s="231"/>
      <c r="B643" s="232"/>
      <c r="C643" s="400"/>
      <c r="D643" s="233"/>
      <c r="E643" s="405"/>
      <c r="F643" s="405"/>
      <c r="G643" s="405"/>
      <c r="H643" s="408">
        <f>ROUND(+E643+F643+G643,4)</f>
        <v>0</v>
      </c>
      <c r="I643" s="234"/>
      <c r="J643" s="411"/>
      <c r="K643" s="411"/>
      <c r="L643" s="414">
        <v>0.1</v>
      </c>
      <c r="M643" s="414">
        <f>ROUND(+L643*C643,4)</f>
        <v>0</v>
      </c>
      <c r="N643" s="414"/>
      <c r="O643" s="414"/>
      <c r="P643" s="414"/>
      <c r="Q643" s="419">
        <f>ROUND(+N643+O643+P643,4)</f>
        <v>0</v>
      </c>
      <c r="R643" s="419">
        <f>ROUND(IF(+Q643-H643&lt;=0,0,Q643-H643),4)</f>
        <v>0</v>
      </c>
      <c r="S643" s="423">
        <v>0.5</v>
      </c>
      <c r="T643" s="419">
        <f>ROUND(+(R643*C643)*S643,4)</f>
        <v>0</v>
      </c>
      <c r="U643" s="419">
        <f>ROUND(+J643+M643+T643,4)</f>
        <v>0</v>
      </c>
      <c r="V643" s="235"/>
    </row>
    <row r="644" spans="1:22" ht="15.75" x14ac:dyDescent="0.25">
      <c r="A644" s="231"/>
      <c r="B644" s="232"/>
      <c r="C644" s="400"/>
      <c r="D644" s="233"/>
      <c r="E644" s="405"/>
      <c r="F644" s="405"/>
      <c r="G644" s="405"/>
      <c r="H644" s="408">
        <f>ROUND(+E644+F644+G644,4)</f>
        <v>0</v>
      </c>
      <c r="I644" s="234"/>
      <c r="J644" s="411"/>
      <c r="K644" s="411"/>
      <c r="L644" s="414">
        <v>0.1</v>
      </c>
      <c r="M644" s="414">
        <f>ROUND(+L644*C644,4)</f>
        <v>0</v>
      </c>
      <c r="N644" s="414"/>
      <c r="O644" s="414"/>
      <c r="P644" s="414"/>
      <c r="Q644" s="419">
        <f>ROUND(+N644+O644+P644,4)</f>
        <v>0</v>
      </c>
      <c r="R644" s="419">
        <f>ROUND(IF(+Q644-H644&lt;=0,0,Q644-H644),4)</f>
        <v>0</v>
      </c>
      <c r="S644" s="423">
        <v>0.5</v>
      </c>
      <c r="T644" s="419">
        <f>ROUND(+(R644*C644)*S644,4)</f>
        <v>0</v>
      </c>
      <c r="U644" s="419">
        <f>ROUND(+J644+M644+T644,4)</f>
        <v>0</v>
      </c>
      <c r="V644" s="235"/>
    </row>
    <row r="645" spans="1:22" ht="15.75" x14ac:dyDescent="0.25">
      <c r="A645" s="231"/>
      <c r="B645" s="232"/>
      <c r="C645" s="400"/>
      <c r="D645" s="233"/>
      <c r="E645" s="405"/>
      <c r="F645" s="405"/>
      <c r="G645" s="405"/>
      <c r="H645" s="408">
        <f>ROUND(+E645+F645+G645,4)</f>
        <v>0</v>
      </c>
      <c r="I645" s="234"/>
      <c r="J645" s="411"/>
      <c r="K645" s="411"/>
      <c r="L645" s="414">
        <v>0.1</v>
      </c>
      <c r="M645" s="414">
        <f>ROUND(+L645*C645,4)</f>
        <v>0</v>
      </c>
      <c r="N645" s="414"/>
      <c r="O645" s="414"/>
      <c r="P645" s="414"/>
      <c r="Q645" s="419">
        <f>ROUND(+N645+O645+P645,4)</f>
        <v>0</v>
      </c>
      <c r="R645" s="419">
        <f>ROUND(IF(+Q645-H645&lt;=0,0,Q645-H645),4)</f>
        <v>0</v>
      </c>
      <c r="S645" s="423">
        <v>0.5</v>
      </c>
      <c r="T645" s="419">
        <f>ROUND(+(R645*C645)*S645,4)</f>
        <v>0</v>
      </c>
      <c r="U645" s="419">
        <f>ROUND(+J645+M645+T645,4)</f>
        <v>0</v>
      </c>
      <c r="V645" s="235"/>
    </row>
    <row r="646" spans="1:22" ht="15.75" x14ac:dyDescent="0.25">
      <c r="A646" s="231"/>
      <c r="B646" s="232"/>
      <c r="C646" s="400"/>
      <c r="D646" s="233"/>
      <c r="E646" s="405"/>
      <c r="F646" s="405"/>
      <c r="G646" s="405"/>
      <c r="H646" s="408">
        <f>ROUND(+E646+F646+G646,4)</f>
        <v>0</v>
      </c>
      <c r="I646" s="234"/>
      <c r="J646" s="411"/>
      <c r="K646" s="411"/>
      <c r="L646" s="414">
        <v>0.1</v>
      </c>
      <c r="M646" s="414">
        <f>ROUND(+L646*C646,4)</f>
        <v>0</v>
      </c>
      <c r="N646" s="414"/>
      <c r="O646" s="414"/>
      <c r="P646" s="414"/>
      <c r="Q646" s="419">
        <f>ROUND(+N646+O646+P646,4)</f>
        <v>0</v>
      </c>
      <c r="R646" s="419">
        <f>ROUND(IF(+Q646-H646&lt;=0,0,Q646-H646),4)</f>
        <v>0</v>
      </c>
      <c r="S646" s="423">
        <v>0.5</v>
      </c>
      <c r="T646" s="419">
        <f>ROUND(+(R646*C646)*S646,4)</f>
        <v>0</v>
      </c>
      <c r="U646" s="419">
        <f>ROUND(+J646+M646+T646,4)</f>
        <v>0</v>
      </c>
      <c r="V646" s="235"/>
    </row>
    <row r="647" spans="1:22" ht="15.75" x14ac:dyDescent="0.25">
      <c r="A647" s="231"/>
      <c r="B647" s="232"/>
      <c r="C647" s="400"/>
      <c r="D647" s="233"/>
      <c r="E647" s="405"/>
      <c r="F647" s="405"/>
      <c r="G647" s="405"/>
      <c r="H647" s="408">
        <f>ROUND(+E647+F647+G647,4)</f>
        <v>0</v>
      </c>
      <c r="I647" s="234"/>
      <c r="J647" s="411"/>
      <c r="K647" s="411"/>
      <c r="L647" s="414">
        <v>0.1</v>
      </c>
      <c r="M647" s="414">
        <f>ROUND(+L647*C647,4)</f>
        <v>0</v>
      </c>
      <c r="N647" s="414"/>
      <c r="O647" s="414"/>
      <c r="P647" s="414"/>
      <c r="Q647" s="419">
        <f>ROUND(+N647+O647+P647,4)</f>
        <v>0</v>
      </c>
      <c r="R647" s="419">
        <f>ROUND(IF(+Q647-H647&lt;=0,0,Q647-H647),4)</f>
        <v>0</v>
      </c>
      <c r="S647" s="423">
        <v>0.5</v>
      </c>
      <c r="T647" s="419">
        <f>ROUND(+(R647*C647)*S647,4)</f>
        <v>0</v>
      </c>
      <c r="U647" s="419">
        <f>ROUND(+J647+M647+T647,4)</f>
        <v>0</v>
      </c>
      <c r="V647" s="235"/>
    </row>
    <row r="648" spans="1:22" ht="15.75" x14ac:dyDescent="0.25">
      <c r="A648" s="231"/>
      <c r="B648" s="232"/>
      <c r="C648" s="400"/>
      <c r="D648" s="233"/>
      <c r="E648" s="405"/>
      <c r="F648" s="405"/>
      <c r="G648" s="405"/>
      <c r="H648" s="408">
        <f>ROUND(+E648+F648+G648,4)</f>
        <v>0</v>
      </c>
      <c r="I648" s="234"/>
      <c r="J648" s="411"/>
      <c r="K648" s="411"/>
      <c r="L648" s="414">
        <v>0.1</v>
      </c>
      <c r="M648" s="414">
        <f>ROUND(+L648*C648,4)</f>
        <v>0</v>
      </c>
      <c r="N648" s="414"/>
      <c r="O648" s="414"/>
      <c r="P648" s="414"/>
      <c r="Q648" s="419">
        <f>ROUND(+N648+O648+P648,4)</f>
        <v>0</v>
      </c>
      <c r="R648" s="419">
        <f>ROUND(IF(+Q648-H648&lt;=0,0,Q648-H648),4)</f>
        <v>0</v>
      </c>
      <c r="S648" s="423">
        <v>0.5</v>
      </c>
      <c r="T648" s="419">
        <f>ROUND(+(R648*C648)*S648,4)</f>
        <v>0</v>
      </c>
      <c r="U648" s="419">
        <f>ROUND(+J648+M648+T648,4)</f>
        <v>0</v>
      </c>
      <c r="V648" s="235"/>
    </row>
    <row r="649" spans="1:22" ht="15.75" x14ac:dyDescent="0.25">
      <c r="A649" s="231"/>
      <c r="B649" s="232"/>
      <c r="C649" s="400"/>
      <c r="D649" s="233"/>
      <c r="E649" s="405"/>
      <c r="F649" s="405"/>
      <c r="G649" s="405"/>
      <c r="H649" s="408">
        <f>ROUND(+E649+F649+G649,4)</f>
        <v>0</v>
      </c>
      <c r="I649" s="234"/>
      <c r="J649" s="411"/>
      <c r="K649" s="411"/>
      <c r="L649" s="414">
        <v>0.1</v>
      </c>
      <c r="M649" s="414">
        <f>ROUND(+L649*C649,4)</f>
        <v>0</v>
      </c>
      <c r="N649" s="414"/>
      <c r="O649" s="414"/>
      <c r="P649" s="414"/>
      <c r="Q649" s="419">
        <f>ROUND(+N649+O649+P649,4)</f>
        <v>0</v>
      </c>
      <c r="R649" s="419">
        <f>ROUND(IF(+Q649-H649&lt;=0,0,Q649-H649),4)</f>
        <v>0</v>
      </c>
      <c r="S649" s="423">
        <v>0.5</v>
      </c>
      <c r="T649" s="419">
        <f>ROUND(+(R649*C649)*S649,4)</f>
        <v>0</v>
      </c>
      <c r="U649" s="419">
        <f>ROUND(+J649+M649+T649,4)</f>
        <v>0</v>
      </c>
      <c r="V649" s="235"/>
    </row>
    <row r="650" spans="1:22" ht="15.75" x14ac:dyDescent="0.25">
      <c r="A650" s="231"/>
      <c r="B650" s="232"/>
      <c r="C650" s="400"/>
      <c r="D650" s="233"/>
      <c r="E650" s="405"/>
      <c r="F650" s="405"/>
      <c r="G650" s="405"/>
      <c r="H650" s="408">
        <f>ROUND(+E650+F650+G650,4)</f>
        <v>0</v>
      </c>
      <c r="I650" s="234"/>
      <c r="J650" s="411"/>
      <c r="K650" s="411"/>
      <c r="L650" s="414">
        <v>0.1</v>
      </c>
      <c r="M650" s="414">
        <f>ROUND(+L650*C650,4)</f>
        <v>0</v>
      </c>
      <c r="N650" s="414"/>
      <c r="O650" s="414"/>
      <c r="P650" s="414"/>
      <c r="Q650" s="419">
        <f>ROUND(+N650+O650+P650,4)</f>
        <v>0</v>
      </c>
      <c r="R650" s="419">
        <f>ROUND(IF(+Q650-H650&lt;=0,0,Q650-H650),4)</f>
        <v>0</v>
      </c>
      <c r="S650" s="423">
        <v>0.5</v>
      </c>
      <c r="T650" s="419">
        <f>ROUND(+(R650*C650)*S650,4)</f>
        <v>0</v>
      </c>
      <c r="U650" s="419">
        <f>ROUND(+J650+M650+T650,4)</f>
        <v>0</v>
      </c>
      <c r="V650" s="235"/>
    </row>
    <row r="651" spans="1:22" ht="15.75" x14ac:dyDescent="0.25">
      <c r="A651" s="231"/>
      <c r="B651" s="232"/>
      <c r="C651" s="400"/>
      <c r="D651" s="233"/>
      <c r="E651" s="405"/>
      <c r="F651" s="405"/>
      <c r="G651" s="405"/>
      <c r="H651" s="408">
        <f>ROUND(+E651+F651+G651,4)</f>
        <v>0</v>
      </c>
      <c r="I651" s="234"/>
      <c r="J651" s="411"/>
      <c r="K651" s="411"/>
      <c r="L651" s="414">
        <v>0.1</v>
      </c>
      <c r="M651" s="414">
        <f>ROUND(+L651*C651,4)</f>
        <v>0</v>
      </c>
      <c r="N651" s="414"/>
      <c r="O651" s="414"/>
      <c r="P651" s="414"/>
      <c r="Q651" s="419">
        <f>ROUND(+N651+O651+P651,4)</f>
        <v>0</v>
      </c>
      <c r="R651" s="419">
        <f>ROUND(IF(+Q651-H651&lt;=0,0,Q651-H651),4)</f>
        <v>0</v>
      </c>
      <c r="S651" s="423">
        <v>0.5</v>
      </c>
      <c r="T651" s="419">
        <f>ROUND(+(R651*C651)*S651,4)</f>
        <v>0</v>
      </c>
      <c r="U651" s="419">
        <f>ROUND(+J651+M651+T651,4)</f>
        <v>0</v>
      </c>
      <c r="V651" s="235"/>
    </row>
    <row r="652" spans="1:22" ht="15.75" x14ac:dyDescent="0.25">
      <c r="A652" s="231"/>
      <c r="B652" s="232"/>
      <c r="C652" s="400"/>
      <c r="D652" s="233"/>
      <c r="E652" s="405"/>
      <c r="F652" s="405"/>
      <c r="G652" s="405"/>
      <c r="H652" s="408">
        <f>ROUND(+E652+F652+G652,4)</f>
        <v>0</v>
      </c>
      <c r="I652" s="234"/>
      <c r="J652" s="411"/>
      <c r="K652" s="411"/>
      <c r="L652" s="414">
        <v>0.1</v>
      </c>
      <c r="M652" s="414">
        <f>ROUND(+L652*C652,4)</f>
        <v>0</v>
      </c>
      <c r="N652" s="414"/>
      <c r="O652" s="414"/>
      <c r="P652" s="414"/>
      <c r="Q652" s="419">
        <f>ROUND(+N652+O652+P652,4)</f>
        <v>0</v>
      </c>
      <c r="R652" s="419">
        <f>ROUND(IF(+Q652-H652&lt;=0,0,Q652-H652),4)</f>
        <v>0</v>
      </c>
      <c r="S652" s="423">
        <v>0.5</v>
      </c>
      <c r="T652" s="419">
        <f>ROUND(+(R652*C652)*S652,4)</f>
        <v>0</v>
      </c>
      <c r="U652" s="419">
        <f>ROUND(+J652+M652+T652,4)</f>
        <v>0</v>
      </c>
      <c r="V652" s="235"/>
    </row>
    <row r="653" spans="1:22" ht="15.75" x14ac:dyDescent="0.25">
      <c r="A653" s="231"/>
      <c r="B653" s="232"/>
      <c r="C653" s="400"/>
      <c r="D653" s="233"/>
      <c r="E653" s="405"/>
      <c r="F653" s="405"/>
      <c r="G653" s="405"/>
      <c r="H653" s="408">
        <f>ROUND(+E653+F653+G653,4)</f>
        <v>0</v>
      </c>
      <c r="I653" s="234"/>
      <c r="J653" s="411"/>
      <c r="K653" s="411"/>
      <c r="L653" s="414">
        <v>0.1</v>
      </c>
      <c r="M653" s="414">
        <f>ROUND(+L653*C653,4)</f>
        <v>0</v>
      </c>
      <c r="N653" s="414"/>
      <c r="O653" s="414"/>
      <c r="P653" s="414"/>
      <c r="Q653" s="419">
        <f>ROUND(+N653+O653+P653,4)</f>
        <v>0</v>
      </c>
      <c r="R653" s="419">
        <f>ROUND(IF(+Q653-H653&lt;=0,0,Q653-H653),4)</f>
        <v>0</v>
      </c>
      <c r="S653" s="423">
        <v>0.5</v>
      </c>
      <c r="T653" s="419">
        <f>ROUND(+(R653*C653)*S653,4)</f>
        <v>0</v>
      </c>
      <c r="U653" s="419">
        <f>ROUND(+J653+M653+T653,4)</f>
        <v>0</v>
      </c>
      <c r="V653" s="235"/>
    </row>
    <row r="654" spans="1:22" ht="15.75" x14ac:dyDescent="0.25">
      <c r="A654" s="231"/>
      <c r="B654" s="232"/>
      <c r="C654" s="400"/>
      <c r="D654" s="233"/>
      <c r="E654" s="405"/>
      <c r="F654" s="405"/>
      <c r="G654" s="405"/>
      <c r="H654" s="408">
        <f>ROUND(+E654+F654+G654,4)</f>
        <v>0</v>
      </c>
      <c r="I654" s="234"/>
      <c r="J654" s="411"/>
      <c r="K654" s="411"/>
      <c r="L654" s="414">
        <v>0.1</v>
      </c>
      <c r="M654" s="414">
        <f>ROUND(+L654*C654,4)</f>
        <v>0</v>
      </c>
      <c r="N654" s="414"/>
      <c r="O654" s="414"/>
      <c r="P654" s="414"/>
      <c r="Q654" s="419">
        <f>ROUND(+N654+O654+P654,4)</f>
        <v>0</v>
      </c>
      <c r="R654" s="419">
        <f>ROUND(IF(+Q654-H654&lt;=0,0,Q654-H654),4)</f>
        <v>0</v>
      </c>
      <c r="S654" s="423">
        <v>0.5</v>
      </c>
      <c r="T654" s="419">
        <f>ROUND(+(R654*C654)*S654,4)</f>
        <v>0</v>
      </c>
      <c r="U654" s="419">
        <f>ROUND(+J654+M654+T654,4)</f>
        <v>0</v>
      </c>
      <c r="V654" s="235"/>
    </row>
    <row r="655" spans="1:22" ht="15.75" x14ac:dyDescent="0.25">
      <c r="A655" s="231"/>
      <c r="B655" s="232"/>
      <c r="C655" s="400"/>
      <c r="D655" s="233"/>
      <c r="E655" s="405"/>
      <c r="F655" s="405"/>
      <c r="G655" s="405"/>
      <c r="H655" s="408">
        <f>ROUND(+E655+F655+G655,4)</f>
        <v>0</v>
      </c>
      <c r="I655" s="234"/>
      <c r="J655" s="411"/>
      <c r="K655" s="411"/>
      <c r="L655" s="414">
        <v>0.1</v>
      </c>
      <c r="M655" s="414">
        <f>ROUND(+L655*C655,4)</f>
        <v>0</v>
      </c>
      <c r="N655" s="414"/>
      <c r="O655" s="414"/>
      <c r="P655" s="414"/>
      <c r="Q655" s="419">
        <f>ROUND(+N655+O655+P655,4)</f>
        <v>0</v>
      </c>
      <c r="R655" s="419">
        <f>ROUND(IF(+Q655-H655&lt;=0,0,Q655-H655),4)</f>
        <v>0</v>
      </c>
      <c r="S655" s="423">
        <v>0.5</v>
      </c>
      <c r="T655" s="419">
        <f>ROUND(+(R655*C655)*S655,4)</f>
        <v>0</v>
      </c>
      <c r="U655" s="419">
        <f>ROUND(+J655+M655+T655,4)</f>
        <v>0</v>
      </c>
      <c r="V655" s="235"/>
    </row>
    <row r="656" spans="1:22" ht="15.75" x14ac:dyDescent="0.25">
      <c r="A656" s="231"/>
      <c r="B656" s="232"/>
      <c r="C656" s="400"/>
      <c r="D656" s="233"/>
      <c r="E656" s="405"/>
      <c r="F656" s="405"/>
      <c r="G656" s="405"/>
      <c r="H656" s="408">
        <f>ROUND(+E656+F656+G656,4)</f>
        <v>0</v>
      </c>
      <c r="I656" s="234"/>
      <c r="J656" s="411"/>
      <c r="K656" s="411"/>
      <c r="L656" s="414">
        <v>0.1</v>
      </c>
      <c r="M656" s="414">
        <f>ROUND(+L656*C656,4)</f>
        <v>0</v>
      </c>
      <c r="N656" s="414"/>
      <c r="O656" s="414"/>
      <c r="P656" s="414"/>
      <c r="Q656" s="419">
        <f>ROUND(+N656+O656+P656,4)</f>
        <v>0</v>
      </c>
      <c r="R656" s="419">
        <f>ROUND(IF(+Q656-H656&lt;=0,0,Q656-H656),4)</f>
        <v>0</v>
      </c>
      <c r="S656" s="423">
        <v>0.5</v>
      </c>
      <c r="T656" s="419">
        <f>ROUND(+(R656*C656)*S656,4)</f>
        <v>0</v>
      </c>
      <c r="U656" s="419">
        <f>ROUND(+J656+M656+T656,4)</f>
        <v>0</v>
      </c>
      <c r="V656" s="235"/>
    </row>
    <row r="657" spans="1:22" ht="15.75" x14ac:dyDescent="0.25">
      <c r="A657" s="231"/>
      <c r="B657" s="232"/>
      <c r="C657" s="400"/>
      <c r="D657" s="233"/>
      <c r="E657" s="405"/>
      <c r="F657" s="405"/>
      <c r="G657" s="405"/>
      <c r="H657" s="408">
        <f>ROUND(+E657+F657+G657,4)</f>
        <v>0</v>
      </c>
      <c r="I657" s="234"/>
      <c r="J657" s="411"/>
      <c r="K657" s="411"/>
      <c r="L657" s="414">
        <v>0.1</v>
      </c>
      <c r="M657" s="414">
        <f>ROUND(+L657*C657,4)</f>
        <v>0</v>
      </c>
      <c r="N657" s="414"/>
      <c r="O657" s="414"/>
      <c r="P657" s="414"/>
      <c r="Q657" s="419">
        <f>ROUND(+N657+O657+P657,4)</f>
        <v>0</v>
      </c>
      <c r="R657" s="419">
        <f>ROUND(IF(+Q657-H657&lt;=0,0,Q657-H657),4)</f>
        <v>0</v>
      </c>
      <c r="S657" s="423">
        <v>0.5</v>
      </c>
      <c r="T657" s="419">
        <f>ROUND(+(R657*C657)*S657,4)</f>
        <v>0</v>
      </c>
      <c r="U657" s="419">
        <f>ROUND(+J657+M657+T657,4)</f>
        <v>0</v>
      </c>
      <c r="V657" s="235"/>
    </row>
    <row r="658" spans="1:22" ht="15.75" x14ac:dyDescent="0.25">
      <c r="A658" s="231"/>
      <c r="B658" s="232"/>
      <c r="C658" s="400"/>
      <c r="D658" s="233"/>
      <c r="E658" s="405"/>
      <c r="F658" s="405"/>
      <c r="G658" s="405"/>
      <c r="H658" s="408">
        <f>ROUND(+E658+F658+G658,4)</f>
        <v>0</v>
      </c>
      <c r="I658" s="234"/>
      <c r="J658" s="411"/>
      <c r="K658" s="411"/>
      <c r="L658" s="414">
        <v>0.1</v>
      </c>
      <c r="M658" s="414">
        <f>ROUND(+L658*C658,4)</f>
        <v>0</v>
      </c>
      <c r="N658" s="414"/>
      <c r="O658" s="414"/>
      <c r="P658" s="414"/>
      <c r="Q658" s="419">
        <f>ROUND(+N658+O658+P658,4)</f>
        <v>0</v>
      </c>
      <c r="R658" s="419">
        <f>ROUND(IF(+Q658-H658&lt;=0,0,Q658-H658),4)</f>
        <v>0</v>
      </c>
      <c r="S658" s="423">
        <v>0.5</v>
      </c>
      <c r="T658" s="419">
        <f>ROUND(+(R658*C658)*S658,4)</f>
        <v>0</v>
      </c>
      <c r="U658" s="419">
        <f>ROUND(+J658+M658+T658,4)</f>
        <v>0</v>
      </c>
      <c r="V658" s="235"/>
    </row>
    <row r="659" spans="1:22" ht="15.75" x14ac:dyDescent="0.25">
      <c r="A659" s="231"/>
      <c r="B659" s="232"/>
      <c r="C659" s="400"/>
      <c r="D659" s="233"/>
      <c r="E659" s="405"/>
      <c r="F659" s="405"/>
      <c r="G659" s="405"/>
      <c r="H659" s="408">
        <f>ROUND(+E659+F659+G659,4)</f>
        <v>0</v>
      </c>
      <c r="I659" s="234"/>
      <c r="J659" s="411"/>
      <c r="K659" s="411"/>
      <c r="L659" s="414">
        <v>0.1</v>
      </c>
      <c r="M659" s="414">
        <f>ROUND(+L659*C659,4)</f>
        <v>0</v>
      </c>
      <c r="N659" s="414"/>
      <c r="O659" s="414"/>
      <c r="P659" s="414"/>
      <c r="Q659" s="419">
        <f>ROUND(+N659+O659+P659,4)</f>
        <v>0</v>
      </c>
      <c r="R659" s="419">
        <f>ROUND(IF(+Q659-H659&lt;=0,0,Q659-H659),4)</f>
        <v>0</v>
      </c>
      <c r="S659" s="423">
        <v>0.5</v>
      </c>
      <c r="T659" s="419">
        <f>ROUND(+(R659*C659)*S659,4)</f>
        <v>0</v>
      </c>
      <c r="U659" s="419">
        <f>ROUND(+J659+M659+T659,4)</f>
        <v>0</v>
      </c>
      <c r="V659" s="235"/>
    </row>
    <row r="660" spans="1:22" ht="15.75" x14ac:dyDescent="0.25">
      <c r="A660" s="231"/>
      <c r="B660" s="232"/>
      <c r="C660" s="400"/>
      <c r="D660" s="233"/>
      <c r="E660" s="405"/>
      <c r="F660" s="405"/>
      <c r="G660" s="405"/>
      <c r="H660" s="408">
        <f>ROUND(+E660+F660+G660,4)</f>
        <v>0</v>
      </c>
      <c r="I660" s="234"/>
      <c r="J660" s="411"/>
      <c r="K660" s="411"/>
      <c r="L660" s="414">
        <v>0.1</v>
      </c>
      <c r="M660" s="414">
        <f>ROUND(+L660*C660,4)</f>
        <v>0</v>
      </c>
      <c r="N660" s="414"/>
      <c r="O660" s="414"/>
      <c r="P660" s="414"/>
      <c r="Q660" s="419">
        <f>ROUND(+N660+O660+P660,4)</f>
        <v>0</v>
      </c>
      <c r="R660" s="419">
        <f>ROUND(IF(+Q660-H660&lt;=0,0,Q660-H660),4)</f>
        <v>0</v>
      </c>
      <c r="S660" s="423">
        <v>0.5</v>
      </c>
      <c r="T660" s="419">
        <f>ROUND(+(R660*C660)*S660,4)</f>
        <v>0</v>
      </c>
      <c r="U660" s="419">
        <f>ROUND(+J660+M660+T660,4)</f>
        <v>0</v>
      </c>
      <c r="V660" s="235"/>
    </row>
    <row r="661" spans="1:22" ht="15.75" x14ac:dyDescent="0.25">
      <c r="A661" s="231"/>
      <c r="B661" s="232"/>
      <c r="C661" s="400"/>
      <c r="D661" s="233"/>
      <c r="E661" s="405"/>
      <c r="F661" s="405"/>
      <c r="G661" s="405"/>
      <c r="H661" s="408">
        <f>ROUND(+E661+F661+G661,4)</f>
        <v>0</v>
      </c>
      <c r="I661" s="234"/>
      <c r="J661" s="411"/>
      <c r="K661" s="411"/>
      <c r="L661" s="414">
        <v>0.1</v>
      </c>
      <c r="M661" s="414">
        <f>ROUND(+L661*C661,4)</f>
        <v>0</v>
      </c>
      <c r="N661" s="414"/>
      <c r="O661" s="414"/>
      <c r="P661" s="414"/>
      <c r="Q661" s="419">
        <f>ROUND(+N661+O661+P661,4)</f>
        <v>0</v>
      </c>
      <c r="R661" s="419">
        <f>ROUND(IF(+Q661-H661&lt;=0,0,Q661-H661),4)</f>
        <v>0</v>
      </c>
      <c r="S661" s="423">
        <v>0.5</v>
      </c>
      <c r="T661" s="419">
        <f>ROUND(+(R661*C661)*S661,4)</f>
        <v>0</v>
      </c>
      <c r="U661" s="419">
        <f>ROUND(+J661+M661+T661,4)</f>
        <v>0</v>
      </c>
      <c r="V661" s="235"/>
    </row>
    <row r="662" spans="1:22" ht="15.75" x14ac:dyDescent="0.25">
      <c r="A662" s="231"/>
      <c r="B662" s="232"/>
      <c r="C662" s="400"/>
      <c r="D662" s="233"/>
      <c r="E662" s="405"/>
      <c r="F662" s="405"/>
      <c r="G662" s="405"/>
      <c r="H662" s="408">
        <f>ROUND(+E662+F662+G662,4)</f>
        <v>0</v>
      </c>
      <c r="I662" s="234"/>
      <c r="J662" s="411"/>
      <c r="K662" s="411"/>
      <c r="L662" s="414">
        <v>0.1</v>
      </c>
      <c r="M662" s="414">
        <f>ROUND(+L662*C662,4)</f>
        <v>0</v>
      </c>
      <c r="N662" s="414"/>
      <c r="O662" s="414"/>
      <c r="P662" s="414"/>
      <c r="Q662" s="419">
        <f>ROUND(+N662+O662+P662,4)</f>
        <v>0</v>
      </c>
      <c r="R662" s="419">
        <f>ROUND(IF(+Q662-H662&lt;=0,0,Q662-H662),4)</f>
        <v>0</v>
      </c>
      <c r="S662" s="423">
        <v>0.5</v>
      </c>
      <c r="T662" s="419">
        <f>ROUND(+(R662*C662)*S662,4)</f>
        <v>0</v>
      </c>
      <c r="U662" s="419">
        <f>ROUND(+J662+M662+T662,4)</f>
        <v>0</v>
      </c>
      <c r="V662" s="235"/>
    </row>
    <row r="663" spans="1:22" ht="15.75" x14ac:dyDescent="0.25">
      <c r="A663" s="231"/>
      <c r="B663" s="232"/>
      <c r="C663" s="400"/>
      <c r="D663" s="233"/>
      <c r="E663" s="405"/>
      <c r="F663" s="405"/>
      <c r="G663" s="405"/>
      <c r="H663" s="408">
        <f>ROUND(+E663+F663+G663,4)</f>
        <v>0</v>
      </c>
      <c r="I663" s="234"/>
      <c r="J663" s="411"/>
      <c r="K663" s="411"/>
      <c r="L663" s="414">
        <v>0.1</v>
      </c>
      <c r="M663" s="414">
        <f>ROUND(+L663*C663,4)</f>
        <v>0</v>
      </c>
      <c r="N663" s="414"/>
      <c r="O663" s="414"/>
      <c r="P663" s="414"/>
      <c r="Q663" s="419">
        <f>ROUND(+N663+O663+P663,4)</f>
        <v>0</v>
      </c>
      <c r="R663" s="419">
        <f>ROUND(IF(+Q663-H663&lt;=0,0,Q663-H663),4)</f>
        <v>0</v>
      </c>
      <c r="S663" s="423">
        <v>0.5</v>
      </c>
      <c r="T663" s="419">
        <f>ROUND(+(R663*C663)*S663,4)</f>
        <v>0</v>
      </c>
      <c r="U663" s="419">
        <f>ROUND(+J663+M663+T663,4)</f>
        <v>0</v>
      </c>
      <c r="V663" s="235"/>
    </row>
    <row r="664" spans="1:22" ht="15.75" x14ac:dyDescent="0.25">
      <c r="A664" s="231"/>
      <c r="B664" s="232"/>
      <c r="C664" s="400"/>
      <c r="D664" s="233"/>
      <c r="E664" s="405"/>
      <c r="F664" s="405"/>
      <c r="G664" s="405"/>
      <c r="H664" s="408">
        <f>ROUND(+E664+F664+G664,4)</f>
        <v>0</v>
      </c>
      <c r="I664" s="234"/>
      <c r="J664" s="411"/>
      <c r="K664" s="411"/>
      <c r="L664" s="414">
        <v>0.1</v>
      </c>
      <c r="M664" s="414">
        <f>ROUND(+L664*C664,4)</f>
        <v>0</v>
      </c>
      <c r="N664" s="414"/>
      <c r="O664" s="414"/>
      <c r="P664" s="414"/>
      <c r="Q664" s="419">
        <f>ROUND(+N664+O664+P664,4)</f>
        <v>0</v>
      </c>
      <c r="R664" s="419">
        <f>ROUND(IF(+Q664-H664&lt;=0,0,Q664-H664),4)</f>
        <v>0</v>
      </c>
      <c r="S664" s="423">
        <v>0.5</v>
      </c>
      <c r="T664" s="419">
        <f>ROUND(+(R664*C664)*S664,4)</f>
        <v>0</v>
      </c>
      <c r="U664" s="419">
        <f>ROUND(+J664+M664+T664,4)</f>
        <v>0</v>
      </c>
      <c r="V664" s="235"/>
    </row>
    <row r="665" spans="1:22" ht="15.75" x14ac:dyDescent="0.25">
      <c r="A665" s="231"/>
      <c r="B665" s="232"/>
      <c r="C665" s="400"/>
      <c r="D665" s="233"/>
      <c r="E665" s="405"/>
      <c r="F665" s="405"/>
      <c r="G665" s="405"/>
      <c r="H665" s="408">
        <f>ROUND(+E665+F665+G665,4)</f>
        <v>0</v>
      </c>
      <c r="I665" s="234"/>
      <c r="J665" s="411"/>
      <c r="K665" s="411"/>
      <c r="L665" s="414">
        <v>0.1</v>
      </c>
      <c r="M665" s="414">
        <f>ROUND(+L665*C665,4)</f>
        <v>0</v>
      </c>
      <c r="N665" s="414"/>
      <c r="O665" s="414"/>
      <c r="P665" s="414"/>
      <c r="Q665" s="419">
        <f>ROUND(+N665+O665+P665,4)</f>
        <v>0</v>
      </c>
      <c r="R665" s="419">
        <f>ROUND(IF(+Q665-H665&lt;=0,0,Q665-H665),4)</f>
        <v>0</v>
      </c>
      <c r="S665" s="423">
        <v>0.5</v>
      </c>
      <c r="T665" s="419">
        <f>ROUND(+(R665*C665)*S665,4)</f>
        <v>0</v>
      </c>
      <c r="U665" s="419">
        <f>ROUND(+J665+M665+T665,4)</f>
        <v>0</v>
      </c>
      <c r="V665" s="235"/>
    </row>
    <row r="666" spans="1:22" ht="15.75" x14ac:dyDescent="0.25">
      <c r="A666" s="231"/>
      <c r="B666" s="232"/>
      <c r="C666" s="400"/>
      <c r="D666" s="233"/>
      <c r="E666" s="405"/>
      <c r="F666" s="405"/>
      <c r="G666" s="405"/>
      <c r="H666" s="408">
        <f>ROUND(+E666+F666+G666,4)</f>
        <v>0</v>
      </c>
      <c r="I666" s="234"/>
      <c r="J666" s="411"/>
      <c r="K666" s="411"/>
      <c r="L666" s="414">
        <v>0.1</v>
      </c>
      <c r="M666" s="414">
        <f>ROUND(+L666*C666,4)</f>
        <v>0</v>
      </c>
      <c r="N666" s="414"/>
      <c r="O666" s="414"/>
      <c r="P666" s="414"/>
      <c r="Q666" s="419">
        <f>ROUND(+N666+O666+P666,4)</f>
        <v>0</v>
      </c>
      <c r="R666" s="419">
        <f>ROUND(IF(+Q666-H666&lt;=0,0,Q666-H666),4)</f>
        <v>0</v>
      </c>
      <c r="S666" s="423">
        <v>0.5</v>
      </c>
      <c r="T666" s="419">
        <f>ROUND(+(R666*C666)*S666,4)</f>
        <v>0</v>
      </c>
      <c r="U666" s="419">
        <f>ROUND(+J666+M666+T666,4)</f>
        <v>0</v>
      </c>
      <c r="V666" s="235"/>
    </row>
    <row r="667" spans="1:22" ht="15.75" x14ac:dyDescent="0.25">
      <c r="A667" s="231"/>
      <c r="B667" s="232"/>
      <c r="C667" s="400"/>
      <c r="D667" s="233"/>
      <c r="E667" s="405"/>
      <c r="F667" s="405"/>
      <c r="G667" s="405"/>
      <c r="H667" s="408">
        <f>ROUND(+E667+F667+G667,4)</f>
        <v>0</v>
      </c>
      <c r="I667" s="234"/>
      <c r="J667" s="411"/>
      <c r="K667" s="411"/>
      <c r="L667" s="414">
        <v>0.1</v>
      </c>
      <c r="M667" s="414">
        <f>ROUND(+L667*C667,4)</f>
        <v>0</v>
      </c>
      <c r="N667" s="414"/>
      <c r="O667" s="414"/>
      <c r="P667" s="414"/>
      <c r="Q667" s="419">
        <f>ROUND(+N667+O667+P667,4)</f>
        <v>0</v>
      </c>
      <c r="R667" s="419">
        <f>ROUND(IF(+Q667-H667&lt;=0,0,Q667-H667),4)</f>
        <v>0</v>
      </c>
      <c r="S667" s="423">
        <v>0.5</v>
      </c>
      <c r="T667" s="419">
        <f>ROUND(+(R667*C667)*S667,4)</f>
        <v>0</v>
      </c>
      <c r="U667" s="419">
        <f>ROUND(+J667+M667+T667,4)</f>
        <v>0</v>
      </c>
      <c r="V667" s="235"/>
    </row>
    <row r="668" spans="1:22" ht="15.75" x14ac:dyDescent="0.25">
      <c r="A668" s="231"/>
      <c r="B668" s="232"/>
      <c r="C668" s="400"/>
      <c r="D668" s="233"/>
      <c r="E668" s="405"/>
      <c r="F668" s="405"/>
      <c r="G668" s="405"/>
      <c r="H668" s="408">
        <f>ROUND(+E668+F668+G668,4)</f>
        <v>0</v>
      </c>
      <c r="I668" s="234"/>
      <c r="J668" s="411"/>
      <c r="K668" s="411"/>
      <c r="L668" s="414">
        <v>0.1</v>
      </c>
      <c r="M668" s="414">
        <f>ROUND(+L668*C668,4)</f>
        <v>0</v>
      </c>
      <c r="N668" s="414"/>
      <c r="O668" s="414"/>
      <c r="P668" s="414"/>
      <c r="Q668" s="419">
        <f>ROUND(+N668+O668+P668,4)</f>
        <v>0</v>
      </c>
      <c r="R668" s="419">
        <f>ROUND(IF(+Q668-H668&lt;=0,0,Q668-H668),4)</f>
        <v>0</v>
      </c>
      <c r="S668" s="423">
        <v>0.5</v>
      </c>
      <c r="T668" s="419">
        <f>ROUND(+(R668*C668)*S668,4)</f>
        <v>0</v>
      </c>
      <c r="U668" s="419">
        <f>ROUND(+J668+M668+T668,4)</f>
        <v>0</v>
      </c>
      <c r="V668" s="235"/>
    </row>
    <row r="669" spans="1:22" ht="15.75" x14ac:dyDescent="0.25">
      <c r="A669" s="231"/>
      <c r="B669" s="232"/>
      <c r="C669" s="400"/>
      <c r="D669" s="233"/>
      <c r="E669" s="405"/>
      <c r="F669" s="405"/>
      <c r="G669" s="405"/>
      <c r="H669" s="408">
        <f>ROUND(+E669+F669+G669,4)</f>
        <v>0</v>
      </c>
      <c r="I669" s="234"/>
      <c r="J669" s="411"/>
      <c r="K669" s="411"/>
      <c r="L669" s="414">
        <v>0.1</v>
      </c>
      <c r="M669" s="414">
        <f>ROUND(+L669*C669,4)</f>
        <v>0</v>
      </c>
      <c r="N669" s="414"/>
      <c r="O669" s="414"/>
      <c r="P669" s="414"/>
      <c r="Q669" s="419">
        <f>ROUND(+N669+O669+P669,4)</f>
        <v>0</v>
      </c>
      <c r="R669" s="419">
        <f>ROUND(IF(+Q669-H669&lt;=0,0,Q669-H669),4)</f>
        <v>0</v>
      </c>
      <c r="S669" s="423">
        <v>0.5</v>
      </c>
      <c r="T669" s="419">
        <f>ROUND(+(R669*C669)*S669,4)</f>
        <v>0</v>
      </c>
      <c r="U669" s="419">
        <f>ROUND(+J669+M669+T669,4)</f>
        <v>0</v>
      </c>
      <c r="V669" s="235"/>
    </row>
    <row r="670" spans="1:22" ht="15.75" x14ac:dyDescent="0.25">
      <c r="A670" s="231"/>
      <c r="B670" s="232"/>
      <c r="C670" s="400"/>
      <c r="D670" s="233"/>
      <c r="E670" s="405"/>
      <c r="F670" s="405"/>
      <c r="G670" s="405"/>
      <c r="H670" s="408">
        <f>ROUND(+E670+F670+G670,4)</f>
        <v>0</v>
      </c>
      <c r="I670" s="234"/>
      <c r="J670" s="411"/>
      <c r="K670" s="411"/>
      <c r="L670" s="414">
        <v>0.1</v>
      </c>
      <c r="M670" s="414">
        <f>ROUND(+L670*C670,4)</f>
        <v>0</v>
      </c>
      <c r="N670" s="414"/>
      <c r="O670" s="414"/>
      <c r="P670" s="414"/>
      <c r="Q670" s="419">
        <f>ROUND(+N670+O670+P670,4)</f>
        <v>0</v>
      </c>
      <c r="R670" s="419">
        <f>ROUND(IF(+Q670-H670&lt;=0,0,Q670-H670),4)</f>
        <v>0</v>
      </c>
      <c r="S670" s="423">
        <v>0.5</v>
      </c>
      <c r="T670" s="419">
        <f>ROUND(+(R670*C670)*S670,4)</f>
        <v>0</v>
      </c>
      <c r="U670" s="419">
        <f>ROUND(+J670+M670+T670,4)</f>
        <v>0</v>
      </c>
      <c r="V670" s="235"/>
    </row>
    <row r="671" spans="1:22" ht="15.75" x14ac:dyDescent="0.25">
      <c r="A671" s="231"/>
      <c r="B671" s="232"/>
      <c r="C671" s="400"/>
      <c r="D671" s="233"/>
      <c r="E671" s="405"/>
      <c r="F671" s="405"/>
      <c r="G671" s="405"/>
      <c r="H671" s="408">
        <f>ROUND(+E671+F671+G671,4)</f>
        <v>0</v>
      </c>
      <c r="I671" s="234"/>
      <c r="J671" s="411"/>
      <c r="K671" s="411"/>
      <c r="L671" s="414">
        <v>0.1</v>
      </c>
      <c r="M671" s="414">
        <f>ROUND(+L671*C671,4)</f>
        <v>0</v>
      </c>
      <c r="N671" s="414"/>
      <c r="O671" s="414"/>
      <c r="P671" s="414"/>
      <c r="Q671" s="419">
        <f>ROUND(+N671+O671+P671,4)</f>
        <v>0</v>
      </c>
      <c r="R671" s="419">
        <f>ROUND(IF(+Q671-H671&lt;=0,0,Q671-H671),4)</f>
        <v>0</v>
      </c>
      <c r="S671" s="423">
        <v>0.5</v>
      </c>
      <c r="T671" s="419">
        <f>ROUND(+(R671*C671)*S671,4)</f>
        <v>0</v>
      </c>
      <c r="U671" s="419">
        <f>ROUND(+J671+M671+T671,4)</f>
        <v>0</v>
      </c>
      <c r="V671" s="235"/>
    </row>
    <row r="672" spans="1:22" ht="15.75" x14ac:dyDescent="0.25">
      <c r="A672" s="231"/>
      <c r="B672" s="232"/>
      <c r="C672" s="400"/>
      <c r="D672" s="233"/>
      <c r="E672" s="405"/>
      <c r="F672" s="405"/>
      <c r="G672" s="405"/>
      <c r="H672" s="408">
        <f>ROUND(+E672+F672+G672,4)</f>
        <v>0</v>
      </c>
      <c r="I672" s="234"/>
      <c r="J672" s="411"/>
      <c r="K672" s="411"/>
      <c r="L672" s="414">
        <v>0.1</v>
      </c>
      <c r="M672" s="414">
        <f>ROUND(+L672*C672,4)</f>
        <v>0</v>
      </c>
      <c r="N672" s="414"/>
      <c r="O672" s="414"/>
      <c r="P672" s="414"/>
      <c r="Q672" s="419">
        <f>ROUND(+N672+O672+P672,4)</f>
        <v>0</v>
      </c>
      <c r="R672" s="419">
        <f>ROUND(IF(+Q672-H672&lt;=0,0,Q672-H672),4)</f>
        <v>0</v>
      </c>
      <c r="S672" s="423">
        <v>0.5</v>
      </c>
      <c r="T672" s="419">
        <f>ROUND(+(R672*C672)*S672,4)</f>
        <v>0</v>
      </c>
      <c r="U672" s="419">
        <f>ROUND(+J672+M672+T672,4)</f>
        <v>0</v>
      </c>
      <c r="V672" s="235"/>
    </row>
    <row r="673" spans="1:22" ht="15.75" x14ac:dyDescent="0.25">
      <c r="A673" s="231"/>
      <c r="B673" s="232"/>
      <c r="C673" s="400"/>
      <c r="D673" s="233"/>
      <c r="E673" s="405"/>
      <c r="F673" s="405"/>
      <c r="G673" s="405"/>
      <c r="H673" s="408">
        <f>ROUND(+E673+F673+G673,4)</f>
        <v>0</v>
      </c>
      <c r="I673" s="234"/>
      <c r="J673" s="411"/>
      <c r="K673" s="411"/>
      <c r="L673" s="414">
        <v>0.1</v>
      </c>
      <c r="M673" s="414">
        <f>ROUND(+L673*C673,4)</f>
        <v>0</v>
      </c>
      <c r="N673" s="414"/>
      <c r="O673" s="414"/>
      <c r="P673" s="414"/>
      <c r="Q673" s="419">
        <f>ROUND(+N673+O673+P673,4)</f>
        <v>0</v>
      </c>
      <c r="R673" s="419">
        <f>ROUND(IF(+Q673-H673&lt;=0,0,Q673-H673),4)</f>
        <v>0</v>
      </c>
      <c r="S673" s="423">
        <v>0.5</v>
      </c>
      <c r="T673" s="419">
        <f>ROUND(+(R673*C673)*S673,4)</f>
        <v>0</v>
      </c>
      <c r="U673" s="419">
        <f>ROUND(+J673+M673+T673,4)</f>
        <v>0</v>
      </c>
      <c r="V673" s="235"/>
    </row>
    <row r="674" spans="1:22" ht="15.75" x14ac:dyDescent="0.25">
      <c r="A674" s="231"/>
      <c r="B674" s="232"/>
      <c r="C674" s="400"/>
      <c r="D674" s="233"/>
      <c r="E674" s="405"/>
      <c r="F674" s="405"/>
      <c r="G674" s="405"/>
      <c r="H674" s="408">
        <f>ROUND(+E674+F674+G674,4)</f>
        <v>0</v>
      </c>
      <c r="I674" s="234"/>
      <c r="J674" s="411"/>
      <c r="K674" s="411"/>
      <c r="L674" s="414">
        <v>0.1</v>
      </c>
      <c r="M674" s="414">
        <f>ROUND(+L674*C674,4)</f>
        <v>0</v>
      </c>
      <c r="N674" s="414"/>
      <c r="O674" s="414"/>
      <c r="P674" s="414"/>
      <c r="Q674" s="419">
        <f>ROUND(+N674+O674+P674,4)</f>
        <v>0</v>
      </c>
      <c r="R674" s="419">
        <f>ROUND(IF(+Q674-H674&lt;=0,0,Q674-H674),4)</f>
        <v>0</v>
      </c>
      <c r="S674" s="423">
        <v>0.5</v>
      </c>
      <c r="T674" s="419">
        <f>ROUND(+(R674*C674)*S674,4)</f>
        <v>0</v>
      </c>
      <c r="U674" s="419">
        <f>ROUND(+J674+M674+T674,4)</f>
        <v>0</v>
      </c>
      <c r="V674" s="235"/>
    </row>
    <row r="675" spans="1:22" ht="15.75" x14ac:dyDescent="0.25">
      <c r="A675" s="231"/>
      <c r="B675" s="232"/>
      <c r="C675" s="400"/>
      <c r="D675" s="233"/>
      <c r="E675" s="405"/>
      <c r="F675" s="405"/>
      <c r="G675" s="405"/>
      <c r="H675" s="408">
        <f>ROUND(+E675+F675+G675,4)</f>
        <v>0</v>
      </c>
      <c r="I675" s="234"/>
      <c r="J675" s="411"/>
      <c r="K675" s="411"/>
      <c r="L675" s="414">
        <v>0.1</v>
      </c>
      <c r="M675" s="414">
        <f>ROUND(+L675*C675,4)</f>
        <v>0</v>
      </c>
      <c r="N675" s="414"/>
      <c r="O675" s="414"/>
      <c r="P675" s="414"/>
      <c r="Q675" s="419">
        <f>ROUND(+N675+O675+P675,4)</f>
        <v>0</v>
      </c>
      <c r="R675" s="419">
        <f>ROUND(IF(+Q675-H675&lt;=0,0,Q675-H675),4)</f>
        <v>0</v>
      </c>
      <c r="S675" s="423">
        <v>0.5</v>
      </c>
      <c r="T675" s="419">
        <f>ROUND(+(R675*C675)*S675,4)</f>
        <v>0</v>
      </c>
      <c r="U675" s="419">
        <f>ROUND(+J675+M675+T675,4)</f>
        <v>0</v>
      </c>
      <c r="V675" s="235"/>
    </row>
    <row r="676" spans="1:22" ht="15.75" x14ac:dyDescent="0.25">
      <c r="A676" s="231"/>
      <c r="B676" s="232"/>
      <c r="C676" s="400"/>
      <c r="D676" s="233"/>
      <c r="E676" s="405"/>
      <c r="F676" s="405"/>
      <c r="G676" s="405"/>
      <c r="H676" s="408">
        <f>ROUND(+E676+F676+G676,4)</f>
        <v>0</v>
      </c>
      <c r="I676" s="234"/>
      <c r="J676" s="411"/>
      <c r="K676" s="411"/>
      <c r="L676" s="414">
        <v>0.1</v>
      </c>
      <c r="M676" s="414">
        <f>ROUND(+L676*C676,4)</f>
        <v>0</v>
      </c>
      <c r="N676" s="414"/>
      <c r="O676" s="414"/>
      <c r="P676" s="414"/>
      <c r="Q676" s="419">
        <f>ROUND(+N676+O676+P676,4)</f>
        <v>0</v>
      </c>
      <c r="R676" s="419">
        <f>ROUND(IF(+Q676-H676&lt;=0,0,Q676-H676),4)</f>
        <v>0</v>
      </c>
      <c r="S676" s="423">
        <v>0.5</v>
      </c>
      <c r="T676" s="419">
        <f>ROUND(+(R676*C676)*S676,4)</f>
        <v>0</v>
      </c>
      <c r="U676" s="419">
        <f>ROUND(+J676+M676+T676,4)</f>
        <v>0</v>
      </c>
      <c r="V676" s="235"/>
    </row>
    <row r="677" spans="1:22" ht="15.75" x14ac:dyDescent="0.25">
      <c r="A677" s="231"/>
      <c r="B677" s="232"/>
      <c r="C677" s="400"/>
      <c r="D677" s="233"/>
      <c r="E677" s="405"/>
      <c r="F677" s="405"/>
      <c r="G677" s="405"/>
      <c r="H677" s="408">
        <f>ROUND(+E677+F677+G677,4)</f>
        <v>0</v>
      </c>
      <c r="I677" s="234"/>
      <c r="J677" s="411"/>
      <c r="K677" s="411"/>
      <c r="L677" s="414">
        <v>0.1</v>
      </c>
      <c r="M677" s="414">
        <f>ROUND(+L677*C677,4)</f>
        <v>0</v>
      </c>
      <c r="N677" s="414"/>
      <c r="O677" s="414"/>
      <c r="P677" s="414"/>
      <c r="Q677" s="419">
        <f>ROUND(+N677+O677+P677,4)</f>
        <v>0</v>
      </c>
      <c r="R677" s="419">
        <f>ROUND(IF(+Q677-H677&lt;=0,0,Q677-H677),4)</f>
        <v>0</v>
      </c>
      <c r="S677" s="423">
        <v>0.5</v>
      </c>
      <c r="T677" s="419">
        <f>ROUND(+(R677*C677)*S677,4)</f>
        <v>0</v>
      </c>
      <c r="U677" s="419">
        <f>ROUND(+J677+M677+T677,4)</f>
        <v>0</v>
      </c>
      <c r="V677" s="235"/>
    </row>
    <row r="678" spans="1:22" ht="15.75" x14ac:dyDescent="0.25">
      <c r="A678" s="231"/>
      <c r="B678" s="232"/>
      <c r="C678" s="400"/>
      <c r="D678" s="233"/>
      <c r="E678" s="405"/>
      <c r="F678" s="405"/>
      <c r="G678" s="405"/>
      <c r="H678" s="408">
        <f>ROUND(+E678+F678+G678,4)</f>
        <v>0</v>
      </c>
      <c r="I678" s="234"/>
      <c r="J678" s="411"/>
      <c r="K678" s="411"/>
      <c r="L678" s="414">
        <v>0.1</v>
      </c>
      <c r="M678" s="414">
        <f>ROUND(+L678*C678,4)</f>
        <v>0</v>
      </c>
      <c r="N678" s="414"/>
      <c r="O678" s="414"/>
      <c r="P678" s="414"/>
      <c r="Q678" s="419">
        <f>ROUND(+N678+O678+P678,4)</f>
        <v>0</v>
      </c>
      <c r="R678" s="419">
        <f>ROUND(IF(+Q678-H678&lt;=0,0,Q678-H678),4)</f>
        <v>0</v>
      </c>
      <c r="S678" s="423">
        <v>0.5</v>
      </c>
      <c r="T678" s="419">
        <f>ROUND(+(R678*C678)*S678,4)</f>
        <v>0</v>
      </c>
      <c r="U678" s="419">
        <f>ROUND(+J678+M678+T678,4)</f>
        <v>0</v>
      </c>
      <c r="V678" s="235"/>
    </row>
    <row r="679" spans="1:22" ht="15.75" x14ac:dyDescent="0.25">
      <c r="A679" s="231"/>
      <c r="B679" s="232"/>
      <c r="C679" s="400"/>
      <c r="D679" s="233"/>
      <c r="E679" s="405"/>
      <c r="F679" s="405"/>
      <c r="G679" s="405"/>
      <c r="H679" s="408">
        <f>ROUND(+E679+F679+G679,4)</f>
        <v>0</v>
      </c>
      <c r="I679" s="234"/>
      <c r="J679" s="411"/>
      <c r="K679" s="411"/>
      <c r="L679" s="414">
        <v>0.1</v>
      </c>
      <c r="M679" s="414">
        <f>ROUND(+L679*C679,4)</f>
        <v>0</v>
      </c>
      <c r="N679" s="414"/>
      <c r="O679" s="414"/>
      <c r="P679" s="414"/>
      <c r="Q679" s="419">
        <f>ROUND(+N679+O679+P679,4)</f>
        <v>0</v>
      </c>
      <c r="R679" s="419">
        <f>ROUND(IF(+Q679-H679&lt;=0,0,Q679-H679),4)</f>
        <v>0</v>
      </c>
      <c r="S679" s="423">
        <v>0.5</v>
      </c>
      <c r="T679" s="419">
        <f>ROUND(+(R679*C679)*S679,4)</f>
        <v>0</v>
      </c>
      <c r="U679" s="419">
        <f>ROUND(+J679+M679+T679,4)</f>
        <v>0</v>
      </c>
      <c r="V679" s="235"/>
    </row>
    <row r="680" spans="1:22" ht="15.75" x14ac:dyDescent="0.25">
      <c r="A680" s="231"/>
      <c r="B680" s="232"/>
      <c r="C680" s="400"/>
      <c r="D680" s="233"/>
      <c r="E680" s="405"/>
      <c r="F680" s="405"/>
      <c r="G680" s="405"/>
      <c r="H680" s="408">
        <f>ROUND(+E680+F680+G680,4)</f>
        <v>0</v>
      </c>
      <c r="I680" s="234"/>
      <c r="J680" s="411"/>
      <c r="K680" s="411"/>
      <c r="L680" s="414">
        <v>0.1</v>
      </c>
      <c r="M680" s="414">
        <f>ROUND(+L680*C680,4)</f>
        <v>0</v>
      </c>
      <c r="N680" s="414"/>
      <c r="O680" s="414"/>
      <c r="P680" s="414"/>
      <c r="Q680" s="419">
        <f>ROUND(+N680+O680+P680,4)</f>
        <v>0</v>
      </c>
      <c r="R680" s="419">
        <f>ROUND(IF(+Q680-H680&lt;=0,0,Q680-H680),4)</f>
        <v>0</v>
      </c>
      <c r="S680" s="423">
        <v>0.5</v>
      </c>
      <c r="T680" s="419">
        <f>ROUND(+(R680*C680)*S680,4)</f>
        <v>0</v>
      </c>
      <c r="U680" s="419">
        <f>ROUND(+J680+M680+T680,4)</f>
        <v>0</v>
      </c>
      <c r="V680" s="235"/>
    </row>
    <row r="681" spans="1:22" ht="15.75" x14ac:dyDescent="0.25">
      <c r="A681" s="231"/>
      <c r="B681" s="232"/>
      <c r="C681" s="400"/>
      <c r="D681" s="233"/>
      <c r="E681" s="405"/>
      <c r="F681" s="405"/>
      <c r="G681" s="405"/>
      <c r="H681" s="408">
        <f>ROUND(+E681+F681+G681,4)</f>
        <v>0</v>
      </c>
      <c r="I681" s="234"/>
      <c r="J681" s="411"/>
      <c r="K681" s="411"/>
      <c r="L681" s="414">
        <v>0.1</v>
      </c>
      <c r="M681" s="414">
        <f>ROUND(+L681*C681,4)</f>
        <v>0</v>
      </c>
      <c r="N681" s="414"/>
      <c r="O681" s="414"/>
      <c r="P681" s="414"/>
      <c r="Q681" s="419">
        <f>ROUND(+N681+O681+P681,4)</f>
        <v>0</v>
      </c>
      <c r="R681" s="419">
        <f>ROUND(IF(+Q681-H681&lt;=0,0,Q681-H681),4)</f>
        <v>0</v>
      </c>
      <c r="S681" s="423">
        <v>0.5</v>
      </c>
      <c r="T681" s="419">
        <f>ROUND(+(R681*C681)*S681,4)</f>
        <v>0</v>
      </c>
      <c r="U681" s="419">
        <f>ROUND(+J681+M681+T681,4)</f>
        <v>0</v>
      </c>
      <c r="V681" s="235"/>
    </row>
    <row r="682" spans="1:22" ht="15.75" x14ac:dyDescent="0.25">
      <c r="A682" s="231"/>
      <c r="B682" s="232"/>
      <c r="C682" s="400"/>
      <c r="D682" s="233"/>
      <c r="E682" s="405"/>
      <c r="F682" s="405"/>
      <c r="G682" s="405"/>
      <c r="H682" s="408">
        <f>ROUND(+E682+F682+G682,4)</f>
        <v>0</v>
      </c>
      <c r="I682" s="234"/>
      <c r="J682" s="411"/>
      <c r="K682" s="411"/>
      <c r="L682" s="414">
        <v>0.1</v>
      </c>
      <c r="M682" s="414">
        <f>ROUND(+L682*C682,4)</f>
        <v>0</v>
      </c>
      <c r="N682" s="414"/>
      <c r="O682" s="414"/>
      <c r="P682" s="414"/>
      <c r="Q682" s="419">
        <f>ROUND(+N682+O682+P682,4)</f>
        <v>0</v>
      </c>
      <c r="R682" s="419">
        <f>ROUND(IF(+Q682-H682&lt;=0,0,Q682-H682),4)</f>
        <v>0</v>
      </c>
      <c r="S682" s="423">
        <v>0.5</v>
      </c>
      <c r="T682" s="419">
        <f>ROUND(+(R682*C682)*S682,4)</f>
        <v>0</v>
      </c>
      <c r="U682" s="419">
        <f>ROUND(+J682+M682+T682,4)</f>
        <v>0</v>
      </c>
      <c r="V682" s="235"/>
    </row>
    <row r="683" spans="1:22" ht="15.75" x14ac:dyDescent="0.25">
      <c r="A683" s="231"/>
      <c r="B683" s="232"/>
      <c r="C683" s="400"/>
      <c r="D683" s="233"/>
      <c r="E683" s="405"/>
      <c r="F683" s="405"/>
      <c r="G683" s="405"/>
      <c r="H683" s="408">
        <f>ROUND(+E683+F683+G683,4)</f>
        <v>0</v>
      </c>
      <c r="I683" s="234"/>
      <c r="J683" s="411"/>
      <c r="K683" s="411"/>
      <c r="L683" s="414">
        <v>0.1</v>
      </c>
      <c r="M683" s="414">
        <f>ROUND(+L683*C683,4)</f>
        <v>0</v>
      </c>
      <c r="N683" s="414"/>
      <c r="O683" s="414"/>
      <c r="P683" s="414"/>
      <c r="Q683" s="419">
        <f>ROUND(+N683+O683+P683,4)</f>
        <v>0</v>
      </c>
      <c r="R683" s="419">
        <f>ROUND(IF(+Q683-H683&lt;=0,0,Q683-H683),4)</f>
        <v>0</v>
      </c>
      <c r="S683" s="423">
        <v>0.5</v>
      </c>
      <c r="T683" s="419">
        <f>ROUND(+(R683*C683)*S683,4)</f>
        <v>0</v>
      </c>
      <c r="U683" s="419">
        <f>ROUND(+J683+M683+T683,4)</f>
        <v>0</v>
      </c>
      <c r="V683" s="235"/>
    </row>
    <row r="684" spans="1:22" ht="15.75" x14ac:dyDescent="0.25">
      <c r="A684" s="231"/>
      <c r="B684" s="232"/>
      <c r="C684" s="400"/>
      <c r="D684" s="233"/>
      <c r="E684" s="405"/>
      <c r="F684" s="405"/>
      <c r="G684" s="405"/>
      <c r="H684" s="408">
        <f>ROUND(+E684+F684+G684,4)</f>
        <v>0</v>
      </c>
      <c r="I684" s="234"/>
      <c r="J684" s="411"/>
      <c r="K684" s="411"/>
      <c r="L684" s="414">
        <v>0.1</v>
      </c>
      <c r="M684" s="414">
        <f>ROUND(+L684*C684,4)</f>
        <v>0</v>
      </c>
      <c r="N684" s="414"/>
      <c r="O684" s="414"/>
      <c r="P684" s="414"/>
      <c r="Q684" s="419">
        <f>ROUND(+N684+O684+P684,4)</f>
        <v>0</v>
      </c>
      <c r="R684" s="419">
        <f>ROUND(IF(+Q684-H684&lt;=0,0,Q684-H684),4)</f>
        <v>0</v>
      </c>
      <c r="S684" s="423">
        <v>0.5</v>
      </c>
      <c r="T684" s="419">
        <f>ROUND(+(R684*C684)*S684,4)</f>
        <v>0</v>
      </c>
      <c r="U684" s="419">
        <f>ROUND(+J684+M684+T684,4)</f>
        <v>0</v>
      </c>
      <c r="V684" s="235"/>
    </row>
    <row r="685" spans="1:22" ht="15.75" x14ac:dyDescent="0.25">
      <c r="A685" s="231"/>
      <c r="B685" s="232"/>
      <c r="C685" s="400"/>
      <c r="D685" s="233"/>
      <c r="E685" s="405"/>
      <c r="F685" s="405"/>
      <c r="G685" s="405"/>
      <c r="H685" s="408">
        <f>ROUND(+E685+F685+G685,4)</f>
        <v>0</v>
      </c>
      <c r="I685" s="234"/>
      <c r="J685" s="411"/>
      <c r="K685" s="411"/>
      <c r="L685" s="414">
        <v>0.1</v>
      </c>
      <c r="M685" s="414">
        <f>ROUND(+L685*C685,4)</f>
        <v>0</v>
      </c>
      <c r="N685" s="414"/>
      <c r="O685" s="414"/>
      <c r="P685" s="414"/>
      <c r="Q685" s="419">
        <f>ROUND(+N685+O685+P685,4)</f>
        <v>0</v>
      </c>
      <c r="R685" s="419">
        <f>ROUND(IF(+Q685-H685&lt;=0,0,Q685-H685),4)</f>
        <v>0</v>
      </c>
      <c r="S685" s="423">
        <v>0.5</v>
      </c>
      <c r="T685" s="419">
        <f>ROUND(+(R685*C685)*S685,4)</f>
        <v>0</v>
      </c>
      <c r="U685" s="419">
        <f>ROUND(+J685+M685+T685,4)</f>
        <v>0</v>
      </c>
      <c r="V685" s="235"/>
    </row>
    <row r="686" spans="1:22" ht="15.75" x14ac:dyDescent="0.25">
      <c r="A686" s="231"/>
      <c r="B686" s="232"/>
      <c r="C686" s="400"/>
      <c r="D686" s="233"/>
      <c r="E686" s="405"/>
      <c r="F686" s="405"/>
      <c r="G686" s="405"/>
      <c r="H686" s="408">
        <f>ROUND(+E686+F686+G686,4)</f>
        <v>0</v>
      </c>
      <c r="I686" s="234"/>
      <c r="J686" s="411"/>
      <c r="K686" s="411"/>
      <c r="L686" s="414">
        <v>0.1</v>
      </c>
      <c r="M686" s="414">
        <f>ROUND(+L686*C686,4)</f>
        <v>0</v>
      </c>
      <c r="N686" s="414"/>
      <c r="O686" s="414"/>
      <c r="P686" s="414"/>
      <c r="Q686" s="419">
        <f>ROUND(+N686+O686+P686,4)</f>
        <v>0</v>
      </c>
      <c r="R686" s="419">
        <f>ROUND(IF(+Q686-H686&lt;=0,0,Q686-H686),4)</f>
        <v>0</v>
      </c>
      <c r="S686" s="423">
        <v>0.5</v>
      </c>
      <c r="T686" s="419">
        <f>ROUND(+(R686*C686)*S686,4)</f>
        <v>0</v>
      </c>
      <c r="U686" s="419">
        <f>ROUND(+J686+M686+T686,4)</f>
        <v>0</v>
      </c>
      <c r="V686" s="235"/>
    </row>
    <row r="687" spans="1:22" ht="15.75" x14ac:dyDescent="0.25">
      <c r="A687" s="231"/>
      <c r="B687" s="232"/>
      <c r="C687" s="400"/>
      <c r="D687" s="233"/>
      <c r="E687" s="405"/>
      <c r="F687" s="405"/>
      <c r="G687" s="405"/>
      <c r="H687" s="408">
        <f>ROUND(+E687+F687+G687,4)</f>
        <v>0</v>
      </c>
      <c r="I687" s="234"/>
      <c r="J687" s="411"/>
      <c r="K687" s="411"/>
      <c r="L687" s="414">
        <v>0.1</v>
      </c>
      <c r="M687" s="414">
        <f>ROUND(+L687*C687,4)</f>
        <v>0</v>
      </c>
      <c r="N687" s="414"/>
      <c r="O687" s="414"/>
      <c r="P687" s="414"/>
      <c r="Q687" s="419">
        <f>ROUND(+N687+O687+P687,4)</f>
        <v>0</v>
      </c>
      <c r="R687" s="419">
        <f>ROUND(IF(+Q687-H687&lt;=0,0,Q687-H687),4)</f>
        <v>0</v>
      </c>
      <c r="S687" s="423">
        <v>0.5</v>
      </c>
      <c r="T687" s="419">
        <f>ROUND(+(R687*C687)*S687,4)</f>
        <v>0</v>
      </c>
      <c r="U687" s="419">
        <f>ROUND(+J687+M687+T687,4)</f>
        <v>0</v>
      </c>
      <c r="V687" s="235"/>
    </row>
    <row r="688" spans="1:22" ht="15.75" x14ac:dyDescent="0.25">
      <c r="A688" s="231"/>
      <c r="B688" s="232"/>
      <c r="C688" s="400"/>
      <c r="D688" s="233"/>
      <c r="E688" s="405"/>
      <c r="F688" s="405"/>
      <c r="G688" s="405"/>
      <c r="H688" s="408">
        <f>ROUND(+E688+F688+G688,4)</f>
        <v>0</v>
      </c>
      <c r="I688" s="234"/>
      <c r="J688" s="411"/>
      <c r="K688" s="411"/>
      <c r="L688" s="414">
        <v>0.1</v>
      </c>
      <c r="M688" s="414">
        <f>ROUND(+L688*C688,4)</f>
        <v>0</v>
      </c>
      <c r="N688" s="414"/>
      <c r="O688" s="414"/>
      <c r="P688" s="414"/>
      <c r="Q688" s="419">
        <f>ROUND(+N688+O688+P688,4)</f>
        <v>0</v>
      </c>
      <c r="R688" s="419">
        <f>ROUND(IF(+Q688-H688&lt;=0,0,Q688-H688),4)</f>
        <v>0</v>
      </c>
      <c r="S688" s="423">
        <v>0.5</v>
      </c>
      <c r="T688" s="419">
        <f>ROUND(+(R688*C688)*S688,4)</f>
        <v>0</v>
      </c>
      <c r="U688" s="419">
        <f>ROUND(+J688+M688+T688,4)</f>
        <v>0</v>
      </c>
      <c r="V688" s="235"/>
    </row>
    <row r="689" spans="1:22" ht="15.75" x14ac:dyDescent="0.25">
      <c r="A689" s="231"/>
      <c r="B689" s="232"/>
      <c r="C689" s="400"/>
      <c r="D689" s="233"/>
      <c r="E689" s="405"/>
      <c r="F689" s="405"/>
      <c r="G689" s="405"/>
      <c r="H689" s="408">
        <f>ROUND(+E689+F689+G689,4)</f>
        <v>0</v>
      </c>
      <c r="I689" s="234"/>
      <c r="J689" s="411"/>
      <c r="K689" s="411"/>
      <c r="L689" s="414">
        <v>0.1</v>
      </c>
      <c r="M689" s="414">
        <f>ROUND(+L689*C689,4)</f>
        <v>0</v>
      </c>
      <c r="N689" s="414"/>
      <c r="O689" s="414"/>
      <c r="P689" s="414"/>
      <c r="Q689" s="419">
        <f>ROUND(+N689+O689+P689,4)</f>
        <v>0</v>
      </c>
      <c r="R689" s="419">
        <f>ROUND(IF(+Q689-H689&lt;=0,0,Q689-H689),4)</f>
        <v>0</v>
      </c>
      <c r="S689" s="423">
        <v>0.5</v>
      </c>
      <c r="T689" s="419">
        <f>ROUND(+(R689*C689)*S689,4)</f>
        <v>0</v>
      </c>
      <c r="U689" s="419">
        <f>ROUND(+J689+M689+T689,4)</f>
        <v>0</v>
      </c>
      <c r="V689" s="235"/>
    </row>
    <row r="690" spans="1:22" ht="15.75" x14ac:dyDescent="0.25">
      <c r="A690" s="231"/>
      <c r="B690" s="232"/>
      <c r="C690" s="400"/>
      <c r="D690" s="233"/>
      <c r="E690" s="405"/>
      <c r="F690" s="405"/>
      <c r="G690" s="405"/>
      <c r="H690" s="408">
        <f>ROUND(+E690+F690+G690,4)</f>
        <v>0</v>
      </c>
      <c r="I690" s="234"/>
      <c r="J690" s="411"/>
      <c r="K690" s="411"/>
      <c r="L690" s="414">
        <v>0.1</v>
      </c>
      <c r="M690" s="414">
        <f>ROUND(+L690*C690,4)</f>
        <v>0</v>
      </c>
      <c r="N690" s="414"/>
      <c r="O690" s="414"/>
      <c r="P690" s="414"/>
      <c r="Q690" s="419">
        <f>ROUND(+N690+O690+P690,4)</f>
        <v>0</v>
      </c>
      <c r="R690" s="419">
        <f>ROUND(IF(+Q690-H690&lt;=0,0,Q690-H690),4)</f>
        <v>0</v>
      </c>
      <c r="S690" s="423">
        <v>0.5</v>
      </c>
      <c r="T690" s="419">
        <f>ROUND(+(R690*C690)*S690,4)</f>
        <v>0</v>
      </c>
      <c r="U690" s="419">
        <f>ROUND(+J690+M690+T690,4)</f>
        <v>0</v>
      </c>
      <c r="V690" s="235"/>
    </row>
    <row r="691" spans="1:22" ht="15.75" x14ac:dyDescent="0.25">
      <c r="A691" s="231"/>
      <c r="B691" s="232"/>
      <c r="C691" s="400"/>
      <c r="D691" s="233"/>
      <c r="E691" s="405"/>
      <c r="F691" s="405"/>
      <c r="G691" s="405"/>
      <c r="H691" s="408">
        <f>ROUND(+E691+F691+G691,4)</f>
        <v>0</v>
      </c>
      <c r="I691" s="234"/>
      <c r="J691" s="411"/>
      <c r="K691" s="411"/>
      <c r="L691" s="414">
        <v>0.1</v>
      </c>
      <c r="M691" s="414">
        <f>ROUND(+L691*C691,4)</f>
        <v>0</v>
      </c>
      <c r="N691" s="414"/>
      <c r="O691" s="414"/>
      <c r="P691" s="414"/>
      <c r="Q691" s="419">
        <f>ROUND(+N691+O691+P691,4)</f>
        <v>0</v>
      </c>
      <c r="R691" s="419">
        <f>ROUND(IF(+Q691-H691&lt;=0,0,Q691-H691),4)</f>
        <v>0</v>
      </c>
      <c r="S691" s="423">
        <v>0.5</v>
      </c>
      <c r="T691" s="419">
        <f>ROUND(+(R691*C691)*S691,4)</f>
        <v>0</v>
      </c>
      <c r="U691" s="419">
        <f>ROUND(+J691+M691+T691,4)</f>
        <v>0</v>
      </c>
      <c r="V691" s="235"/>
    </row>
    <row r="692" spans="1:22" ht="15.75" x14ac:dyDescent="0.25">
      <c r="A692" s="231"/>
      <c r="B692" s="232"/>
      <c r="C692" s="400"/>
      <c r="D692" s="233"/>
      <c r="E692" s="405"/>
      <c r="F692" s="405"/>
      <c r="G692" s="405"/>
      <c r="H692" s="408">
        <f>ROUND(+E692+F692+G692,4)</f>
        <v>0</v>
      </c>
      <c r="I692" s="234"/>
      <c r="J692" s="411"/>
      <c r="K692" s="411"/>
      <c r="L692" s="414">
        <v>0.1</v>
      </c>
      <c r="M692" s="414">
        <f>ROUND(+L692*C692,4)</f>
        <v>0</v>
      </c>
      <c r="N692" s="414"/>
      <c r="O692" s="414"/>
      <c r="P692" s="414"/>
      <c r="Q692" s="419">
        <f>ROUND(+N692+O692+P692,4)</f>
        <v>0</v>
      </c>
      <c r="R692" s="419">
        <f>ROUND(IF(+Q692-H692&lt;=0,0,Q692-H692),4)</f>
        <v>0</v>
      </c>
      <c r="S692" s="423">
        <v>0.5</v>
      </c>
      <c r="T692" s="419">
        <f>ROUND(+(R692*C692)*S692,4)</f>
        <v>0</v>
      </c>
      <c r="U692" s="419">
        <f>ROUND(+J692+M692+T692,4)</f>
        <v>0</v>
      </c>
      <c r="V692" s="235"/>
    </row>
    <row r="693" spans="1:22" ht="15.75" x14ac:dyDescent="0.25">
      <c r="A693" s="231"/>
      <c r="B693" s="232"/>
      <c r="C693" s="400"/>
      <c r="D693" s="233"/>
      <c r="E693" s="405"/>
      <c r="F693" s="405"/>
      <c r="G693" s="405"/>
      <c r="H693" s="408">
        <f>ROUND(+E693+F693+G693,4)</f>
        <v>0</v>
      </c>
      <c r="I693" s="234"/>
      <c r="J693" s="411"/>
      <c r="K693" s="411"/>
      <c r="L693" s="414">
        <v>0.1</v>
      </c>
      <c r="M693" s="414">
        <f>ROUND(+L693*C693,4)</f>
        <v>0</v>
      </c>
      <c r="N693" s="414"/>
      <c r="O693" s="414"/>
      <c r="P693" s="414"/>
      <c r="Q693" s="419">
        <f>ROUND(+N693+O693+P693,4)</f>
        <v>0</v>
      </c>
      <c r="R693" s="419">
        <f>ROUND(IF(+Q693-H693&lt;=0,0,Q693-H693),4)</f>
        <v>0</v>
      </c>
      <c r="S693" s="423">
        <v>0.5</v>
      </c>
      <c r="T693" s="419">
        <f>ROUND(+(R693*C693)*S693,4)</f>
        <v>0</v>
      </c>
      <c r="U693" s="419">
        <f>ROUND(+J693+M693+T693,4)</f>
        <v>0</v>
      </c>
      <c r="V693" s="235"/>
    </row>
    <row r="694" spans="1:22" ht="15.75" x14ac:dyDescent="0.25">
      <c r="A694" s="231"/>
      <c r="B694" s="232"/>
      <c r="C694" s="400"/>
      <c r="D694" s="233"/>
      <c r="E694" s="405"/>
      <c r="F694" s="405"/>
      <c r="G694" s="405"/>
      <c r="H694" s="408">
        <f>ROUND(+E694+F694+G694,4)</f>
        <v>0</v>
      </c>
      <c r="I694" s="234"/>
      <c r="J694" s="411"/>
      <c r="K694" s="411"/>
      <c r="L694" s="414">
        <v>0.1</v>
      </c>
      <c r="M694" s="414">
        <f>ROUND(+L694*C694,4)</f>
        <v>0</v>
      </c>
      <c r="N694" s="414"/>
      <c r="O694" s="414"/>
      <c r="P694" s="414"/>
      <c r="Q694" s="419">
        <f>ROUND(+N694+O694+P694,4)</f>
        <v>0</v>
      </c>
      <c r="R694" s="419">
        <f>ROUND(IF(+Q694-H694&lt;=0,0,Q694-H694),4)</f>
        <v>0</v>
      </c>
      <c r="S694" s="423">
        <v>0.5</v>
      </c>
      <c r="T694" s="419">
        <f>ROUND(+(R694*C694)*S694,4)</f>
        <v>0</v>
      </c>
      <c r="U694" s="419">
        <f>ROUND(+J694+M694+T694,4)</f>
        <v>0</v>
      </c>
      <c r="V694" s="235"/>
    </row>
    <row r="695" spans="1:22" ht="15.75" x14ac:dyDescent="0.25">
      <c r="A695" s="231"/>
      <c r="B695" s="232"/>
      <c r="C695" s="400"/>
      <c r="D695" s="233"/>
      <c r="E695" s="405"/>
      <c r="F695" s="405"/>
      <c r="G695" s="405"/>
      <c r="H695" s="408">
        <f>ROUND(+E695+F695+G695,4)</f>
        <v>0</v>
      </c>
      <c r="I695" s="234"/>
      <c r="J695" s="411"/>
      <c r="K695" s="411"/>
      <c r="L695" s="414">
        <v>0.1</v>
      </c>
      <c r="M695" s="414">
        <f>ROUND(+L695*C695,4)</f>
        <v>0</v>
      </c>
      <c r="N695" s="414"/>
      <c r="O695" s="414"/>
      <c r="P695" s="414"/>
      <c r="Q695" s="419">
        <f>ROUND(+N695+O695+P695,4)</f>
        <v>0</v>
      </c>
      <c r="R695" s="419">
        <f>ROUND(IF(+Q695-H695&lt;=0,0,Q695-H695),4)</f>
        <v>0</v>
      </c>
      <c r="S695" s="423">
        <v>0.5</v>
      </c>
      <c r="T695" s="419">
        <f>ROUND(+(R695*C695)*S695,4)</f>
        <v>0</v>
      </c>
      <c r="U695" s="419">
        <f>ROUND(+J695+M695+T695,4)</f>
        <v>0</v>
      </c>
      <c r="V695" s="235"/>
    </row>
    <row r="696" spans="1:22" ht="15.75" x14ac:dyDescent="0.25">
      <c r="A696" s="231"/>
      <c r="B696" s="232"/>
      <c r="C696" s="400"/>
      <c r="D696" s="233"/>
      <c r="E696" s="405"/>
      <c r="F696" s="405"/>
      <c r="G696" s="405"/>
      <c r="H696" s="408">
        <f>ROUND(+E696+F696+G696,4)</f>
        <v>0</v>
      </c>
      <c r="I696" s="234"/>
      <c r="J696" s="411"/>
      <c r="K696" s="411"/>
      <c r="L696" s="414">
        <v>0.1</v>
      </c>
      <c r="M696" s="414">
        <f>ROUND(+L696*C696,4)</f>
        <v>0</v>
      </c>
      <c r="N696" s="414"/>
      <c r="O696" s="414"/>
      <c r="P696" s="414"/>
      <c r="Q696" s="419">
        <f>ROUND(+N696+O696+P696,4)</f>
        <v>0</v>
      </c>
      <c r="R696" s="419">
        <f>ROUND(IF(+Q696-H696&lt;=0,0,Q696-H696),4)</f>
        <v>0</v>
      </c>
      <c r="S696" s="423">
        <v>0.5</v>
      </c>
      <c r="T696" s="419">
        <f>ROUND(+(R696*C696)*S696,4)</f>
        <v>0</v>
      </c>
      <c r="U696" s="419">
        <f>ROUND(+J696+M696+T696,4)</f>
        <v>0</v>
      </c>
      <c r="V696" s="235"/>
    </row>
    <row r="697" spans="1:22" ht="15.75" x14ac:dyDescent="0.25">
      <c r="A697" s="231"/>
      <c r="B697" s="232"/>
      <c r="C697" s="400"/>
      <c r="D697" s="233"/>
      <c r="E697" s="405"/>
      <c r="F697" s="405"/>
      <c r="G697" s="405"/>
      <c r="H697" s="408">
        <f>ROUND(+E697+F697+G697,4)</f>
        <v>0</v>
      </c>
      <c r="I697" s="234"/>
      <c r="J697" s="411"/>
      <c r="K697" s="411"/>
      <c r="L697" s="414">
        <v>0.1</v>
      </c>
      <c r="M697" s="414">
        <f>ROUND(+L697*C697,4)</f>
        <v>0</v>
      </c>
      <c r="N697" s="414"/>
      <c r="O697" s="414"/>
      <c r="P697" s="414"/>
      <c r="Q697" s="419">
        <f>ROUND(+N697+O697+P697,4)</f>
        <v>0</v>
      </c>
      <c r="R697" s="419">
        <f>ROUND(IF(+Q697-H697&lt;=0,0,Q697-H697),4)</f>
        <v>0</v>
      </c>
      <c r="S697" s="423">
        <v>0.5</v>
      </c>
      <c r="T697" s="419">
        <f>ROUND(+(R697*C697)*S697,4)</f>
        <v>0</v>
      </c>
      <c r="U697" s="419">
        <f>ROUND(+J697+M697+T697,4)</f>
        <v>0</v>
      </c>
      <c r="V697" s="235"/>
    </row>
    <row r="698" spans="1:22" ht="15.75" x14ac:dyDescent="0.25">
      <c r="A698" s="231"/>
      <c r="B698" s="232"/>
      <c r="C698" s="400"/>
      <c r="D698" s="233"/>
      <c r="E698" s="405"/>
      <c r="F698" s="405"/>
      <c r="G698" s="405"/>
      <c r="H698" s="408">
        <f>ROUND(+E698+F698+G698,4)</f>
        <v>0</v>
      </c>
      <c r="I698" s="234"/>
      <c r="J698" s="411"/>
      <c r="K698" s="411"/>
      <c r="L698" s="414">
        <v>0.1</v>
      </c>
      <c r="M698" s="414">
        <f>ROUND(+L698*C698,4)</f>
        <v>0</v>
      </c>
      <c r="N698" s="414"/>
      <c r="O698" s="414"/>
      <c r="P698" s="414"/>
      <c r="Q698" s="419">
        <f>ROUND(+N698+O698+P698,4)</f>
        <v>0</v>
      </c>
      <c r="R698" s="419">
        <f>ROUND(IF(+Q698-H698&lt;=0,0,Q698-H698),4)</f>
        <v>0</v>
      </c>
      <c r="S698" s="423">
        <v>0.5</v>
      </c>
      <c r="T698" s="419">
        <f>ROUND(+(R698*C698)*S698,4)</f>
        <v>0</v>
      </c>
      <c r="U698" s="419">
        <f>ROUND(+J698+M698+T698,4)</f>
        <v>0</v>
      </c>
      <c r="V698" s="235"/>
    </row>
    <row r="699" spans="1:22" ht="15.75" x14ac:dyDescent="0.25">
      <c r="A699" s="231"/>
      <c r="B699" s="232"/>
      <c r="C699" s="400"/>
      <c r="D699" s="233"/>
      <c r="E699" s="405"/>
      <c r="F699" s="405"/>
      <c r="G699" s="405"/>
      <c r="H699" s="408">
        <f>ROUND(+E699+F699+G699,4)</f>
        <v>0</v>
      </c>
      <c r="I699" s="234"/>
      <c r="J699" s="411"/>
      <c r="K699" s="411"/>
      <c r="L699" s="414">
        <v>0.1</v>
      </c>
      <c r="M699" s="414">
        <f>ROUND(+L699*C699,4)</f>
        <v>0</v>
      </c>
      <c r="N699" s="414"/>
      <c r="O699" s="414"/>
      <c r="P699" s="414"/>
      <c r="Q699" s="419">
        <f>ROUND(+N699+O699+P699,4)</f>
        <v>0</v>
      </c>
      <c r="R699" s="419">
        <f>ROUND(IF(+Q699-H699&lt;=0,0,Q699-H699),4)</f>
        <v>0</v>
      </c>
      <c r="S699" s="423">
        <v>0.5</v>
      </c>
      <c r="T699" s="419">
        <f>ROUND(+(R699*C699)*S699,4)</f>
        <v>0</v>
      </c>
      <c r="U699" s="419">
        <f>ROUND(+J699+M699+T699,4)</f>
        <v>0</v>
      </c>
      <c r="V699" s="235"/>
    </row>
    <row r="700" spans="1:22" ht="15.75" x14ac:dyDescent="0.25">
      <c r="A700" s="231"/>
      <c r="B700" s="232"/>
      <c r="C700" s="400"/>
      <c r="D700" s="233"/>
      <c r="E700" s="405"/>
      <c r="F700" s="405"/>
      <c r="G700" s="405"/>
      <c r="H700" s="408">
        <f>ROUND(+E700+F700+G700,4)</f>
        <v>0</v>
      </c>
      <c r="I700" s="234"/>
      <c r="J700" s="411"/>
      <c r="K700" s="411"/>
      <c r="L700" s="414">
        <v>0.1</v>
      </c>
      <c r="M700" s="414">
        <f>ROUND(+L700*C700,4)</f>
        <v>0</v>
      </c>
      <c r="N700" s="414"/>
      <c r="O700" s="414"/>
      <c r="P700" s="414"/>
      <c r="Q700" s="419">
        <f>ROUND(+N700+O700+P700,4)</f>
        <v>0</v>
      </c>
      <c r="R700" s="419">
        <f>ROUND(IF(+Q700-H700&lt;=0,0,Q700-H700),4)</f>
        <v>0</v>
      </c>
      <c r="S700" s="423">
        <v>0.5</v>
      </c>
      <c r="T700" s="419">
        <f>ROUND(+(R700*C700)*S700,4)</f>
        <v>0</v>
      </c>
      <c r="U700" s="419">
        <f>ROUND(+J700+M700+T700,4)</f>
        <v>0</v>
      </c>
      <c r="V700" s="235"/>
    </row>
    <row r="701" spans="1:22" ht="15.75" x14ac:dyDescent="0.25">
      <c r="A701" s="231"/>
      <c r="B701" s="232"/>
      <c r="C701" s="400"/>
      <c r="D701" s="233"/>
      <c r="E701" s="405"/>
      <c r="F701" s="405"/>
      <c r="G701" s="405"/>
      <c r="H701" s="408">
        <f>ROUND(+E701+F701+G701,4)</f>
        <v>0</v>
      </c>
      <c r="I701" s="234"/>
      <c r="J701" s="411"/>
      <c r="K701" s="411"/>
      <c r="L701" s="414">
        <v>0.1</v>
      </c>
      <c r="M701" s="414">
        <f>ROUND(+L701*C701,4)</f>
        <v>0</v>
      </c>
      <c r="N701" s="414"/>
      <c r="O701" s="414"/>
      <c r="P701" s="414"/>
      <c r="Q701" s="419">
        <f>ROUND(+N701+O701+P701,4)</f>
        <v>0</v>
      </c>
      <c r="R701" s="419">
        <f>ROUND(IF(+Q701-H701&lt;=0,0,Q701-H701),4)</f>
        <v>0</v>
      </c>
      <c r="S701" s="423">
        <v>0.5</v>
      </c>
      <c r="T701" s="419">
        <f>ROUND(+(R701*C701)*S701,4)</f>
        <v>0</v>
      </c>
      <c r="U701" s="419">
        <f>ROUND(+J701+M701+T701,4)</f>
        <v>0</v>
      </c>
      <c r="V701" s="235"/>
    </row>
    <row r="702" spans="1:22" ht="15.75" x14ac:dyDescent="0.25">
      <c r="A702" s="231"/>
      <c r="B702" s="232"/>
      <c r="C702" s="400"/>
      <c r="D702" s="233"/>
      <c r="E702" s="405"/>
      <c r="F702" s="405"/>
      <c r="G702" s="405"/>
      <c r="H702" s="408">
        <f>ROUND(+E702+F702+G702,4)</f>
        <v>0</v>
      </c>
      <c r="I702" s="234"/>
      <c r="J702" s="411"/>
      <c r="K702" s="411"/>
      <c r="L702" s="414">
        <v>0.1</v>
      </c>
      <c r="M702" s="414">
        <f>ROUND(+L702*C702,4)</f>
        <v>0</v>
      </c>
      <c r="N702" s="414"/>
      <c r="O702" s="414"/>
      <c r="P702" s="414"/>
      <c r="Q702" s="419">
        <f>ROUND(+N702+O702+P702,4)</f>
        <v>0</v>
      </c>
      <c r="R702" s="419">
        <f>ROUND(IF(+Q702-H702&lt;=0,0,Q702-H702),4)</f>
        <v>0</v>
      </c>
      <c r="S702" s="423">
        <v>0.5</v>
      </c>
      <c r="T702" s="419">
        <f>ROUND(+(R702*C702)*S702,4)</f>
        <v>0</v>
      </c>
      <c r="U702" s="419">
        <f>ROUND(+J702+M702+T702,4)</f>
        <v>0</v>
      </c>
      <c r="V702" s="235"/>
    </row>
    <row r="703" spans="1:22" ht="15.75" x14ac:dyDescent="0.25">
      <c r="A703" s="231"/>
      <c r="B703" s="232"/>
      <c r="C703" s="400"/>
      <c r="D703" s="233"/>
      <c r="E703" s="405"/>
      <c r="F703" s="405"/>
      <c r="G703" s="405"/>
      <c r="H703" s="408">
        <f>ROUND(+E703+F703+G703,4)</f>
        <v>0</v>
      </c>
      <c r="I703" s="234"/>
      <c r="J703" s="411"/>
      <c r="K703" s="411"/>
      <c r="L703" s="414">
        <v>0.1</v>
      </c>
      <c r="M703" s="414">
        <f>ROUND(+L703*C703,4)</f>
        <v>0</v>
      </c>
      <c r="N703" s="414"/>
      <c r="O703" s="414"/>
      <c r="P703" s="414"/>
      <c r="Q703" s="419">
        <f>ROUND(+N703+O703+P703,4)</f>
        <v>0</v>
      </c>
      <c r="R703" s="419">
        <f>ROUND(IF(+Q703-H703&lt;=0,0,Q703-H703),4)</f>
        <v>0</v>
      </c>
      <c r="S703" s="423">
        <v>0.5</v>
      </c>
      <c r="T703" s="419">
        <f>ROUND(+(R703*C703)*S703,4)</f>
        <v>0</v>
      </c>
      <c r="U703" s="419">
        <f>ROUND(+J703+M703+T703,4)</f>
        <v>0</v>
      </c>
      <c r="V703" s="235"/>
    </row>
    <row r="704" spans="1:22" ht="15.75" x14ac:dyDescent="0.25">
      <c r="A704" s="231"/>
      <c r="B704" s="232"/>
      <c r="C704" s="400"/>
      <c r="D704" s="233"/>
      <c r="E704" s="405"/>
      <c r="F704" s="405"/>
      <c r="G704" s="405"/>
      <c r="H704" s="408">
        <f>ROUND(+E704+F704+G704,4)</f>
        <v>0</v>
      </c>
      <c r="I704" s="234"/>
      <c r="J704" s="411"/>
      <c r="K704" s="411"/>
      <c r="L704" s="414">
        <v>0.1</v>
      </c>
      <c r="M704" s="414">
        <f>ROUND(+L704*C704,4)</f>
        <v>0</v>
      </c>
      <c r="N704" s="414"/>
      <c r="O704" s="414"/>
      <c r="P704" s="414"/>
      <c r="Q704" s="419">
        <f>ROUND(+N704+O704+P704,4)</f>
        <v>0</v>
      </c>
      <c r="R704" s="419">
        <f>ROUND(IF(+Q704-H704&lt;=0,0,Q704-H704),4)</f>
        <v>0</v>
      </c>
      <c r="S704" s="423">
        <v>0.5</v>
      </c>
      <c r="T704" s="419">
        <f>ROUND(+(R704*C704)*S704,4)</f>
        <v>0</v>
      </c>
      <c r="U704" s="419">
        <f>ROUND(+J704+M704+T704,4)</f>
        <v>0</v>
      </c>
      <c r="V704" s="235"/>
    </row>
    <row r="705" spans="1:22" ht="15.75" x14ac:dyDescent="0.25">
      <c r="A705" s="231"/>
      <c r="B705" s="232"/>
      <c r="C705" s="400"/>
      <c r="D705" s="233"/>
      <c r="E705" s="405"/>
      <c r="F705" s="405"/>
      <c r="G705" s="405"/>
      <c r="H705" s="408">
        <f>ROUND(+E705+F705+G705,4)</f>
        <v>0</v>
      </c>
      <c r="I705" s="234"/>
      <c r="J705" s="411"/>
      <c r="K705" s="411"/>
      <c r="L705" s="414">
        <v>0.1</v>
      </c>
      <c r="M705" s="414">
        <f>ROUND(+L705*C705,4)</f>
        <v>0</v>
      </c>
      <c r="N705" s="414"/>
      <c r="O705" s="414"/>
      <c r="P705" s="414"/>
      <c r="Q705" s="419">
        <f>ROUND(+N705+O705+P705,4)</f>
        <v>0</v>
      </c>
      <c r="R705" s="419">
        <f>ROUND(IF(+Q705-H705&lt;=0,0,Q705-H705),4)</f>
        <v>0</v>
      </c>
      <c r="S705" s="423">
        <v>0.5</v>
      </c>
      <c r="T705" s="419">
        <f>ROUND(+(R705*C705)*S705,4)</f>
        <v>0</v>
      </c>
      <c r="U705" s="419">
        <f>ROUND(+J705+M705+T705,4)</f>
        <v>0</v>
      </c>
      <c r="V705" s="235"/>
    </row>
    <row r="706" spans="1:22" ht="15.75" x14ac:dyDescent="0.25">
      <c r="A706" s="231"/>
      <c r="B706" s="232"/>
      <c r="C706" s="400"/>
      <c r="D706" s="233"/>
      <c r="E706" s="405"/>
      <c r="F706" s="405"/>
      <c r="G706" s="405"/>
      <c r="H706" s="408">
        <f>ROUND(+E706+F706+G706,4)</f>
        <v>0</v>
      </c>
      <c r="I706" s="234"/>
      <c r="J706" s="411"/>
      <c r="K706" s="411"/>
      <c r="L706" s="414">
        <v>0.1</v>
      </c>
      <c r="M706" s="414">
        <f>ROUND(+L706*C706,4)</f>
        <v>0</v>
      </c>
      <c r="N706" s="414"/>
      <c r="O706" s="414"/>
      <c r="P706" s="414"/>
      <c r="Q706" s="419">
        <f>ROUND(+N706+O706+P706,4)</f>
        <v>0</v>
      </c>
      <c r="R706" s="419">
        <f>ROUND(IF(+Q706-H706&lt;=0,0,Q706-H706),4)</f>
        <v>0</v>
      </c>
      <c r="S706" s="423">
        <v>0.5</v>
      </c>
      <c r="T706" s="419">
        <f>ROUND(+(R706*C706)*S706,4)</f>
        <v>0</v>
      </c>
      <c r="U706" s="419">
        <f>ROUND(+J706+M706+T706,4)</f>
        <v>0</v>
      </c>
      <c r="V706" s="235"/>
    </row>
    <row r="707" spans="1:22" ht="15.75" x14ac:dyDescent="0.25">
      <c r="A707" s="231"/>
      <c r="B707" s="232"/>
      <c r="C707" s="400"/>
      <c r="D707" s="233"/>
      <c r="E707" s="405"/>
      <c r="F707" s="405"/>
      <c r="G707" s="405"/>
      <c r="H707" s="408">
        <f>ROUND(+E707+F707+G707,4)</f>
        <v>0</v>
      </c>
      <c r="I707" s="234"/>
      <c r="J707" s="411"/>
      <c r="K707" s="411"/>
      <c r="L707" s="414">
        <v>0.1</v>
      </c>
      <c r="M707" s="414">
        <f>ROUND(+L707*C707,4)</f>
        <v>0</v>
      </c>
      <c r="N707" s="414"/>
      <c r="O707" s="414"/>
      <c r="P707" s="414"/>
      <c r="Q707" s="419">
        <f>ROUND(+N707+O707+P707,4)</f>
        <v>0</v>
      </c>
      <c r="R707" s="419">
        <f>ROUND(IF(+Q707-H707&lt;=0,0,Q707-H707),4)</f>
        <v>0</v>
      </c>
      <c r="S707" s="423">
        <v>0.5</v>
      </c>
      <c r="T707" s="419">
        <f>ROUND(+(R707*C707)*S707,4)</f>
        <v>0</v>
      </c>
      <c r="U707" s="419">
        <f>ROUND(+J707+M707+T707,4)</f>
        <v>0</v>
      </c>
      <c r="V707" s="235"/>
    </row>
    <row r="708" spans="1:22" ht="15.75" x14ac:dyDescent="0.25">
      <c r="A708" s="231"/>
      <c r="B708" s="232"/>
      <c r="C708" s="400"/>
      <c r="D708" s="233"/>
      <c r="E708" s="405"/>
      <c r="F708" s="405"/>
      <c r="G708" s="405"/>
      <c r="H708" s="408">
        <f>ROUND(+E708+F708+G708,4)</f>
        <v>0</v>
      </c>
      <c r="I708" s="234"/>
      <c r="J708" s="411"/>
      <c r="K708" s="411"/>
      <c r="L708" s="414">
        <v>0.1</v>
      </c>
      <c r="M708" s="414">
        <f>ROUND(+L708*C708,4)</f>
        <v>0</v>
      </c>
      <c r="N708" s="414"/>
      <c r="O708" s="414"/>
      <c r="P708" s="414"/>
      <c r="Q708" s="419">
        <f>ROUND(+N708+O708+P708,4)</f>
        <v>0</v>
      </c>
      <c r="R708" s="419">
        <f>ROUND(IF(+Q708-H708&lt;=0,0,Q708-H708),4)</f>
        <v>0</v>
      </c>
      <c r="S708" s="423">
        <v>0.5</v>
      </c>
      <c r="T708" s="419">
        <f>ROUND(+(R708*C708)*S708,4)</f>
        <v>0</v>
      </c>
      <c r="U708" s="419">
        <f>ROUND(+J708+M708+T708,4)</f>
        <v>0</v>
      </c>
      <c r="V708" s="235"/>
    </row>
    <row r="709" spans="1:22" ht="15.75" x14ac:dyDescent="0.25">
      <c r="A709" s="231"/>
      <c r="B709" s="232"/>
      <c r="C709" s="400"/>
      <c r="D709" s="233"/>
      <c r="E709" s="405"/>
      <c r="F709" s="405"/>
      <c r="G709" s="405"/>
      <c r="H709" s="408">
        <f>ROUND(+E709+F709+G709,4)</f>
        <v>0</v>
      </c>
      <c r="I709" s="234"/>
      <c r="J709" s="411"/>
      <c r="K709" s="411"/>
      <c r="L709" s="414">
        <v>0.1</v>
      </c>
      <c r="M709" s="414">
        <f>ROUND(+L709*C709,4)</f>
        <v>0</v>
      </c>
      <c r="N709" s="414"/>
      <c r="O709" s="414"/>
      <c r="P709" s="414"/>
      <c r="Q709" s="419">
        <f>ROUND(+N709+O709+P709,4)</f>
        <v>0</v>
      </c>
      <c r="R709" s="419">
        <f>ROUND(IF(+Q709-H709&lt;=0,0,Q709-H709),4)</f>
        <v>0</v>
      </c>
      <c r="S709" s="423">
        <v>0.5</v>
      </c>
      <c r="T709" s="419">
        <f>ROUND(+(R709*C709)*S709,4)</f>
        <v>0</v>
      </c>
      <c r="U709" s="419">
        <f>ROUND(+J709+M709+T709,4)</f>
        <v>0</v>
      </c>
      <c r="V709" s="235"/>
    </row>
    <row r="710" spans="1:22" ht="15.75" x14ac:dyDescent="0.25">
      <c r="A710" s="231"/>
      <c r="B710" s="232"/>
      <c r="C710" s="400"/>
      <c r="D710" s="233"/>
      <c r="E710" s="405"/>
      <c r="F710" s="405"/>
      <c r="G710" s="405"/>
      <c r="H710" s="408">
        <f>ROUND(+E710+F710+G710,4)</f>
        <v>0</v>
      </c>
      <c r="I710" s="234"/>
      <c r="J710" s="411"/>
      <c r="K710" s="411"/>
      <c r="L710" s="414">
        <v>0.1</v>
      </c>
      <c r="M710" s="414">
        <f>ROUND(+L710*C710,4)</f>
        <v>0</v>
      </c>
      <c r="N710" s="414"/>
      <c r="O710" s="414"/>
      <c r="P710" s="414"/>
      <c r="Q710" s="419">
        <f>ROUND(+N710+O710+P710,4)</f>
        <v>0</v>
      </c>
      <c r="R710" s="419">
        <f>ROUND(IF(+Q710-H710&lt;=0,0,Q710-H710),4)</f>
        <v>0</v>
      </c>
      <c r="S710" s="423">
        <v>0.5</v>
      </c>
      <c r="T710" s="419">
        <f>ROUND(+(R710*C710)*S710,4)</f>
        <v>0</v>
      </c>
      <c r="U710" s="419">
        <f>ROUND(+J710+M710+T710,4)</f>
        <v>0</v>
      </c>
      <c r="V710" s="235"/>
    </row>
    <row r="711" spans="1:22" ht="15.75" x14ac:dyDescent="0.25">
      <c r="A711" s="231"/>
      <c r="B711" s="232"/>
      <c r="C711" s="400"/>
      <c r="D711" s="233"/>
      <c r="E711" s="405"/>
      <c r="F711" s="405"/>
      <c r="G711" s="405"/>
      <c r="H711" s="408">
        <f>ROUND(+E711+F711+G711,4)</f>
        <v>0</v>
      </c>
      <c r="I711" s="234"/>
      <c r="J711" s="411"/>
      <c r="K711" s="411"/>
      <c r="L711" s="414">
        <v>0.1</v>
      </c>
      <c r="M711" s="414">
        <f>ROUND(+L711*C711,4)</f>
        <v>0</v>
      </c>
      <c r="N711" s="414"/>
      <c r="O711" s="414"/>
      <c r="P711" s="414"/>
      <c r="Q711" s="419">
        <f>ROUND(+N711+O711+P711,4)</f>
        <v>0</v>
      </c>
      <c r="R711" s="419">
        <f>ROUND(IF(+Q711-H711&lt;=0,0,Q711-H711),4)</f>
        <v>0</v>
      </c>
      <c r="S711" s="423">
        <v>0.5</v>
      </c>
      <c r="T711" s="419">
        <f>ROUND(+(R711*C711)*S711,4)</f>
        <v>0</v>
      </c>
      <c r="U711" s="419">
        <f>ROUND(+J711+M711+T711,4)</f>
        <v>0</v>
      </c>
      <c r="V711" s="235"/>
    </row>
    <row r="712" spans="1:22" ht="15.75" x14ac:dyDescent="0.25">
      <c r="A712" s="231"/>
      <c r="B712" s="232"/>
      <c r="C712" s="400"/>
      <c r="D712" s="233"/>
      <c r="E712" s="405"/>
      <c r="F712" s="405"/>
      <c r="G712" s="405"/>
      <c r="H712" s="408">
        <f>ROUND(+E712+F712+G712,4)</f>
        <v>0</v>
      </c>
      <c r="I712" s="234"/>
      <c r="J712" s="411"/>
      <c r="K712" s="411"/>
      <c r="L712" s="414">
        <v>0.1</v>
      </c>
      <c r="M712" s="414">
        <f>ROUND(+L712*C712,4)</f>
        <v>0</v>
      </c>
      <c r="N712" s="414"/>
      <c r="O712" s="414"/>
      <c r="P712" s="414"/>
      <c r="Q712" s="419">
        <f>ROUND(+N712+O712+P712,4)</f>
        <v>0</v>
      </c>
      <c r="R712" s="419">
        <f>ROUND(IF(+Q712-H712&lt;=0,0,Q712-H712),4)</f>
        <v>0</v>
      </c>
      <c r="S712" s="423">
        <v>0.5</v>
      </c>
      <c r="T712" s="419">
        <f>ROUND(+(R712*C712)*S712,4)</f>
        <v>0</v>
      </c>
      <c r="U712" s="419">
        <f>ROUND(+J712+M712+T712,4)</f>
        <v>0</v>
      </c>
      <c r="V712" s="235"/>
    </row>
    <row r="713" spans="1:22" ht="15.75" x14ac:dyDescent="0.25">
      <c r="A713" s="231"/>
      <c r="B713" s="232"/>
      <c r="C713" s="400"/>
      <c r="D713" s="233"/>
      <c r="E713" s="405"/>
      <c r="F713" s="405"/>
      <c r="G713" s="405"/>
      <c r="H713" s="408">
        <f>ROUND(+E713+F713+G713,4)</f>
        <v>0</v>
      </c>
      <c r="I713" s="234"/>
      <c r="J713" s="411"/>
      <c r="K713" s="411"/>
      <c r="L713" s="414">
        <v>0.1</v>
      </c>
      <c r="M713" s="414">
        <f>ROUND(+L713*C713,4)</f>
        <v>0</v>
      </c>
      <c r="N713" s="414"/>
      <c r="O713" s="414"/>
      <c r="P713" s="414"/>
      <c r="Q713" s="419">
        <f>ROUND(+N713+O713+P713,4)</f>
        <v>0</v>
      </c>
      <c r="R713" s="419">
        <f>ROUND(IF(+Q713-H713&lt;=0,0,Q713-H713),4)</f>
        <v>0</v>
      </c>
      <c r="S713" s="423">
        <v>0.5</v>
      </c>
      <c r="T713" s="419">
        <f>ROUND(+(R713*C713)*S713,4)</f>
        <v>0</v>
      </c>
      <c r="U713" s="419">
        <f>ROUND(+J713+M713+T713,4)</f>
        <v>0</v>
      </c>
      <c r="V713" s="235"/>
    </row>
    <row r="714" spans="1:22" ht="15.75" x14ac:dyDescent="0.25">
      <c r="A714" s="231"/>
      <c r="B714" s="232"/>
      <c r="C714" s="400"/>
      <c r="D714" s="233"/>
      <c r="E714" s="405"/>
      <c r="F714" s="405"/>
      <c r="G714" s="405"/>
      <c r="H714" s="408">
        <f>ROUND(+E714+F714+G714,4)</f>
        <v>0</v>
      </c>
      <c r="I714" s="234"/>
      <c r="J714" s="411"/>
      <c r="K714" s="411"/>
      <c r="L714" s="414">
        <v>0.1</v>
      </c>
      <c r="M714" s="414">
        <f>ROUND(+L714*C714,4)</f>
        <v>0</v>
      </c>
      <c r="N714" s="414"/>
      <c r="O714" s="414"/>
      <c r="P714" s="414"/>
      <c r="Q714" s="419">
        <f>ROUND(+N714+O714+P714,4)</f>
        <v>0</v>
      </c>
      <c r="R714" s="419">
        <f>ROUND(IF(+Q714-H714&lt;=0,0,Q714-H714),4)</f>
        <v>0</v>
      </c>
      <c r="S714" s="423">
        <v>0.5</v>
      </c>
      <c r="T714" s="419">
        <f>ROUND(+(R714*C714)*S714,4)</f>
        <v>0</v>
      </c>
      <c r="U714" s="419">
        <f>ROUND(+J714+M714+T714,4)</f>
        <v>0</v>
      </c>
      <c r="V714" s="235"/>
    </row>
    <row r="715" spans="1:22" ht="15.75" x14ac:dyDescent="0.25">
      <c r="A715" s="231"/>
      <c r="B715" s="232"/>
      <c r="C715" s="400"/>
      <c r="D715" s="233"/>
      <c r="E715" s="405"/>
      <c r="F715" s="405"/>
      <c r="G715" s="405"/>
      <c r="H715" s="408">
        <f>ROUND(+E715+F715+G715,4)</f>
        <v>0</v>
      </c>
      <c r="I715" s="234"/>
      <c r="J715" s="411"/>
      <c r="K715" s="411"/>
      <c r="L715" s="414">
        <v>0.1</v>
      </c>
      <c r="M715" s="414">
        <f>ROUND(+L715*C715,4)</f>
        <v>0</v>
      </c>
      <c r="N715" s="414"/>
      <c r="O715" s="414"/>
      <c r="P715" s="414"/>
      <c r="Q715" s="419">
        <f>ROUND(+N715+O715+P715,4)</f>
        <v>0</v>
      </c>
      <c r="R715" s="419">
        <f>ROUND(IF(+Q715-H715&lt;=0,0,Q715-H715),4)</f>
        <v>0</v>
      </c>
      <c r="S715" s="423">
        <v>0.5</v>
      </c>
      <c r="T715" s="419">
        <f>ROUND(+(R715*C715)*S715,4)</f>
        <v>0</v>
      </c>
      <c r="U715" s="419">
        <f>ROUND(+J715+M715+T715,4)</f>
        <v>0</v>
      </c>
      <c r="V715" s="235"/>
    </row>
    <row r="716" spans="1:22" ht="15.75" x14ac:dyDescent="0.25">
      <c r="A716" s="231"/>
      <c r="B716" s="232"/>
      <c r="C716" s="400"/>
      <c r="D716" s="233"/>
      <c r="E716" s="405"/>
      <c r="F716" s="405"/>
      <c r="G716" s="405"/>
      <c r="H716" s="408">
        <f>ROUND(+E716+F716+G716,4)</f>
        <v>0</v>
      </c>
      <c r="I716" s="234"/>
      <c r="J716" s="411"/>
      <c r="K716" s="411"/>
      <c r="L716" s="414">
        <v>0.1</v>
      </c>
      <c r="M716" s="414">
        <f>ROUND(+L716*C716,4)</f>
        <v>0</v>
      </c>
      <c r="N716" s="414"/>
      <c r="O716" s="414"/>
      <c r="P716" s="414"/>
      <c r="Q716" s="419">
        <f>ROUND(+N716+O716+P716,4)</f>
        <v>0</v>
      </c>
      <c r="R716" s="419">
        <f>ROUND(IF(+Q716-H716&lt;=0,0,Q716-H716),4)</f>
        <v>0</v>
      </c>
      <c r="S716" s="423">
        <v>0.5</v>
      </c>
      <c r="T716" s="419">
        <f>ROUND(+(R716*C716)*S716,4)</f>
        <v>0</v>
      </c>
      <c r="U716" s="419">
        <f>ROUND(+J716+M716+T716,4)</f>
        <v>0</v>
      </c>
      <c r="V716" s="235"/>
    </row>
    <row r="717" spans="1:22" ht="15.75" x14ac:dyDescent="0.25">
      <c r="A717" s="231"/>
      <c r="B717" s="232"/>
      <c r="C717" s="400"/>
      <c r="D717" s="233"/>
      <c r="E717" s="405"/>
      <c r="F717" s="405"/>
      <c r="G717" s="405"/>
      <c r="H717" s="408">
        <f>ROUND(+E717+F717+G717,4)</f>
        <v>0</v>
      </c>
      <c r="I717" s="234"/>
      <c r="J717" s="411"/>
      <c r="K717" s="411"/>
      <c r="L717" s="414">
        <v>0.1</v>
      </c>
      <c r="M717" s="414">
        <f>ROUND(+L717*C717,4)</f>
        <v>0</v>
      </c>
      <c r="N717" s="414"/>
      <c r="O717" s="414"/>
      <c r="P717" s="414"/>
      <c r="Q717" s="419">
        <f>ROUND(+N717+O717+P717,4)</f>
        <v>0</v>
      </c>
      <c r="R717" s="419">
        <f>ROUND(IF(+Q717-H717&lt;=0,0,Q717-H717),4)</f>
        <v>0</v>
      </c>
      <c r="S717" s="423">
        <v>0.5</v>
      </c>
      <c r="T717" s="419">
        <f>ROUND(+(R717*C717)*S717,4)</f>
        <v>0</v>
      </c>
      <c r="U717" s="419">
        <f>ROUND(+J717+M717+T717,4)</f>
        <v>0</v>
      </c>
      <c r="V717" s="235"/>
    </row>
    <row r="718" spans="1:22" ht="15.75" x14ac:dyDescent="0.25">
      <c r="A718" s="231"/>
      <c r="B718" s="232"/>
      <c r="C718" s="400"/>
      <c r="D718" s="233"/>
      <c r="E718" s="405"/>
      <c r="F718" s="405"/>
      <c r="G718" s="405"/>
      <c r="H718" s="408">
        <f>ROUND(+E718+F718+G718,4)</f>
        <v>0</v>
      </c>
      <c r="I718" s="234"/>
      <c r="J718" s="411"/>
      <c r="K718" s="411"/>
      <c r="L718" s="414">
        <v>0.1</v>
      </c>
      <c r="M718" s="414">
        <f>ROUND(+L718*C718,4)</f>
        <v>0</v>
      </c>
      <c r="N718" s="414"/>
      <c r="O718" s="414"/>
      <c r="P718" s="414"/>
      <c r="Q718" s="419">
        <f>ROUND(+N718+O718+P718,4)</f>
        <v>0</v>
      </c>
      <c r="R718" s="419">
        <f>ROUND(IF(+Q718-H718&lt;=0,0,Q718-H718),4)</f>
        <v>0</v>
      </c>
      <c r="S718" s="423">
        <v>0.5</v>
      </c>
      <c r="T718" s="419">
        <f>ROUND(+(R718*C718)*S718,4)</f>
        <v>0</v>
      </c>
      <c r="U718" s="419">
        <f>ROUND(+J718+M718+T718,4)</f>
        <v>0</v>
      </c>
      <c r="V718" s="235"/>
    </row>
    <row r="719" spans="1:22" ht="15.75" x14ac:dyDescent="0.25">
      <c r="A719" s="231"/>
      <c r="B719" s="232"/>
      <c r="C719" s="400"/>
      <c r="D719" s="233"/>
      <c r="E719" s="405"/>
      <c r="F719" s="405"/>
      <c r="G719" s="405"/>
      <c r="H719" s="408">
        <f>ROUND(+E719+F719+G719,4)</f>
        <v>0</v>
      </c>
      <c r="I719" s="234"/>
      <c r="J719" s="411"/>
      <c r="K719" s="411"/>
      <c r="L719" s="414">
        <v>0.1</v>
      </c>
      <c r="M719" s="414">
        <f>ROUND(+L719*C719,4)</f>
        <v>0</v>
      </c>
      <c r="N719" s="414"/>
      <c r="O719" s="414"/>
      <c r="P719" s="414"/>
      <c r="Q719" s="419">
        <f>ROUND(+N719+O719+P719,4)</f>
        <v>0</v>
      </c>
      <c r="R719" s="419">
        <f>ROUND(IF(+Q719-H719&lt;=0,0,Q719-H719),4)</f>
        <v>0</v>
      </c>
      <c r="S719" s="423">
        <v>0.5</v>
      </c>
      <c r="T719" s="419">
        <f>ROUND(+(R719*C719)*S719,4)</f>
        <v>0</v>
      </c>
      <c r="U719" s="419">
        <f>ROUND(+J719+M719+T719,4)</f>
        <v>0</v>
      </c>
      <c r="V719" s="235"/>
    </row>
    <row r="720" spans="1:22" ht="15.75" x14ac:dyDescent="0.25">
      <c r="A720" s="231"/>
      <c r="B720" s="232"/>
      <c r="C720" s="400"/>
      <c r="D720" s="233"/>
      <c r="E720" s="405"/>
      <c r="F720" s="405"/>
      <c r="G720" s="405"/>
      <c r="H720" s="408">
        <f>ROUND(+E720+F720+G720,4)</f>
        <v>0</v>
      </c>
      <c r="I720" s="234"/>
      <c r="J720" s="411"/>
      <c r="K720" s="411"/>
      <c r="L720" s="414">
        <v>0.1</v>
      </c>
      <c r="M720" s="414">
        <f>ROUND(+L720*C720,4)</f>
        <v>0</v>
      </c>
      <c r="N720" s="414"/>
      <c r="O720" s="414"/>
      <c r="P720" s="414"/>
      <c r="Q720" s="419">
        <f>ROUND(+N720+O720+P720,4)</f>
        <v>0</v>
      </c>
      <c r="R720" s="419">
        <f>ROUND(IF(+Q720-H720&lt;=0,0,Q720-H720),4)</f>
        <v>0</v>
      </c>
      <c r="S720" s="423">
        <v>0.5</v>
      </c>
      <c r="T720" s="419">
        <f>ROUND(+(R720*C720)*S720,4)</f>
        <v>0</v>
      </c>
      <c r="U720" s="419">
        <f>ROUND(+J720+M720+T720,4)</f>
        <v>0</v>
      </c>
      <c r="V720" s="235"/>
    </row>
    <row r="721" spans="1:22" ht="15.75" x14ac:dyDescent="0.25">
      <c r="A721" s="231"/>
      <c r="B721" s="232"/>
      <c r="C721" s="400"/>
      <c r="D721" s="233"/>
      <c r="E721" s="405"/>
      <c r="F721" s="405"/>
      <c r="G721" s="405"/>
      <c r="H721" s="408">
        <f>ROUND(+E721+F721+G721,4)</f>
        <v>0</v>
      </c>
      <c r="I721" s="234"/>
      <c r="J721" s="411"/>
      <c r="K721" s="411"/>
      <c r="L721" s="414">
        <v>0.1</v>
      </c>
      <c r="M721" s="414">
        <f>ROUND(+L721*C721,4)</f>
        <v>0</v>
      </c>
      <c r="N721" s="414"/>
      <c r="O721" s="414"/>
      <c r="P721" s="414"/>
      <c r="Q721" s="419">
        <f>ROUND(+N721+O721+P721,4)</f>
        <v>0</v>
      </c>
      <c r="R721" s="419">
        <f>ROUND(IF(+Q721-H721&lt;=0,0,Q721-H721),4)</f>
        <v>0</v>
      </c>
      <c r="S721" s="423">
        <v>0.5</v>
      </c>
      <c r="T721" s="419">
        <f>ROUND(+(R721*C721)*S721,4)</f>
        <v>0</v>
      </c>
      <c r="U721" s="419">
        <f>ROUND(+J721+M721+T721,4)</f>
        <v>0</v>
      </c>
      <c r="V721" s="235"/>
    </row>
    <row r="722" spans="1:22" ht="15.75" x14ac:dyDescent="0.25">
      <c r="A722" s="231"/>
      <c r="B722" s="232"/>
      <c r="C722" s="400"/>
      <c r="D722" s="233"/>
      <c r="E722" s="405"/>
      <c r="F722" s="405"/>
      <c r="G722" s="405"/>
      <c r="H722" s="408">
        <f>ROUND(+E722+F722+G722,4)</f>
        <v>0</v>
      </c>
      <c r="I722" s="234"/>
      <c r="J722" s="411"/>
      <c r="K722" s="411"/>
      <c r="L722" s="414">
        <v>0.1</v>
      </c>
      <c r="M722" s="414">
        <f>ROUND(+L722*C722,4)</f>
        <v>0</v>
      </c>
      <c r="N722" s="414"/>
      <c r="O722" s="414"/>
      <c r="P722" s="414"/>
      <c r="Q722" s="419">
        <f>ROUND(+N722+O722+P722,4)</f>
        <v>0</v>
      </c>
      <c r="R722" s="419">
        <f>ROUND(IF(+Q722-H722&lt;=0,0,Q722-H722),4)</f>
        <v>0</v>
      </c>
      <c r="S722" s="423">
        <v>0.5</v>
      </c>
      <c r="T722" s="419">
        <f>ROUND(+(R722*C722)*S722,4)</f>
        <v>0</v>
      </c>
      <c r="U722" s="419">
        <f>ROUND(+J722+M722+T722,4)</f>
        <v>0</v>
      </c>
      <c r="V722" s="235"/>
    </row>
    <row r="723" spans="1:22" ht="15.75" x14ac:dyDescent="0.25">
      <c r="A723" s="231"/>
      <c r="B723" s="232"/>
      <c r="C723" s="400"/>
      <c r="D723" s="233"/>
      <c r="E723" s="405"/>
      <c r="F723" s="405"/>
      <c r="G723" s="405"/>
      <c r="H723" s="408">
        <f>ROUND(+E723+F723+G723,4)</f>
        <v>0</v>
      </c>
      <c r="I723" s="234"/>
      <c r="J723" s="411"/>
      <c r="K723" s="411"/>
      <c r="L723" s="414">
        <v>0.1</v>
      </c>
      <c r="M723" s="414">
        <f>ROUND(+L723*C723,4)</f>
        <v>0</v>
      </c>
      <c r="N723" s="414"/>
      <c r="O723" s="414"/>
      <c r="P723" s="414"/>
      <c r="Q723" s="419">
        <f>ROUND(+N723+O723+P723,4)</f>
        <v>0</v>
      </c>
      <c r="R723" s="419">
        <f>ROUND(IF(+Q723-H723&lt;=0,0,Q723-H723),4)</f>
        <v>0</v>
      </c>
      <c r="S723" s="423">
        <v>0.5</v>
      </c>
      <c r="T723" s="419">
        <f>ROUND(+(R723*C723)*S723,4)</f>
        <v>0</v>
      </c>
      <c r="U723" s="419">
        <f>ROUND(+J723+M723+T723,4)</f>
        <v>0</v>
      </c>
      <c r="V723" s="235"/>
    </row>
    <row r="724" spans="1:22" ht="15.75" x14ac:dyDescent="0.25">
      <c r="A724" s="231"/>
      <c r="B724" s="232"/>
      <c r="C724" s="400"/>
      <c r="D724" s="233"/>
      <c r="E724" s="405"/>
      <c r="F724" s="405"/>
      <c r="G724" s="405"/>
      <c r="H724" s="408">
        <f>ROUND(+E724+F724+G724,4)</f>
        <v>0</v>
      </c>
      <c r="I724" s="234"/>
      <c r="J724" s="411"/>
      <c r="K724" s="411"/>
      <c r="L724" s="414">
        <v>0.1</v>
      </c>
      <c r="M724" s="414">
        <f>ROUND(+L724*C724,4)</f>
        <v>0</v>
      </c>
      <c r="N724" s="414"/>
      <c r="O724" s="414"/>
      <c r="P724" s="414"/>
      <c r="Q724" s="419">
        <f>ROUND(+N724+O724+P724,4)</f>
        <v>0</v>
      </c>
      <c r="R724" s="419">
        <f>ROUND(IF(+Q724-H724&lt;=0,0,Q724-H724),4)</f>
        <v>0</v>
      </c>
      <c r="S724" s="423">
        <v>0.5</v>
      </c>
      <c r="T724" s="419">
        <f>ROUND(+(R724*C724)*S724,4)</f>
        <v>0</v>
      </c>
      <c r="U724" s="419">
        <f>ROUND(+J724+M724+T724,4)</f>
        <v>0</v>
      </c>
      <c r="V724" s="235"/>
    </row>
    <row r="725" spans="1:22" ht="15.75" x14ac:dyDescent="0.25">
      <c r="A725" s="231"/>
      <c r="B725" s="232"/>
      <c r="C725" s="400"/>
      <c r="D725" s="233"/>
      <c r="E725" s="405"/>
      <c r="F725" s="405"/>
      <c r="G725" s="405"/>
      <c r="H725" s="408">
        <f>ROUND(+E725+F725+G725,4)</f>
        <v>0</v>
      </c>
      <c r="I725" s="234"/>
      <c r="J725" s="411"/>
      <c r="K725" s="411"/>
      <c r="L725" s="414">
        <v>0.1</v>
      </c>
      <c r="M725" s="414">
        <f>ROUND(+L725*C725,4)</f>
        <v>0</v>
      </c>
      <c r="N725" s="414"/>
      <c r="O725" s="414"/>
      <c r="P725" s="414"/>
      <c r="Q725" s="419">
        <f>ROUND(+N725+O725+P725,4)</f>
        <v>0</v>
      </c>
      <c r="R725" s="419">
        <f>ROUND(IF(+Q725-H725&lt;=0,0,Q725-H725),4)</f>
        <v>0</v>
      </c>
      <c r="S725" s="423">
        <v>0.5</v>
      </c>
      <c r="T725" s="419">
        <f>ROUND(+(R725*C725)*S725,4)</f>
        <v>0</v>
      </c>
      <c r="U725" s="419">
        <f>ROUND(+J725+M725+T725,4)</f>
        <v>0</v>
      </c>
      <c r="V725" s="235"/>
    </row>
    <row r="726" spans="1:22" ht="15.75" x14ac:dyDescent="0.25">
      <c r="A726" s="231"/>
      <c r="B726" s="232"/>
      <c r="C726" s="400"/>
      <c r="D726" s="233"/>
      <c r="E726" s="405"/>
      <c r="F726" s="405"/>
      <c r="G726" s="405"/>
      <c r="H726" s="408">
        <f>ROUND(+E726+F726+G726,4)</f>
        <v>0</v>
      </c>
      <c r="I726" s="234"/>
      <c r="J726" s="411"/>
      <c r="K726" s="411"/>
      <c r="L726" s="414">
        <v>0.1</v>
      </c>
      <c r="M726" s="414">
        <f>ROUND(+L726*C726,4)</f>
        <v>0</v>
      </c>
      <c r="N726" s="414"/>
      <c r="O726" s="414"/>
      <c r="P726" s="414"/>
      <c r="Q726" s="419">
        <f>ROUND(+N726+O726+P726,4)</f>
        <v>0</v>
      </c>
      <c r="R726" s="419">
        <f>ROUND(IF(+Q726-H726&lt;=0,0,Q726-H726),4)</f>
        <v>0</v>
      </c>
      <c r="S726" s="423">
        <v>0.5</v>
      </c>
      <c r="T726" s="419">
        <f>ROUND(+(R726*C726)*S726,4)</f>
        <v>0</v>
      </c>
      <c r="U726" s="419">
        <f>ROUND(+J726+M726+T726,4)</f>
        <v>0</v>
      </c>
      <c r="V726" s="235"/>
    </row>
    <row r="727" spans="1:22" ht="15.75" x14ac:dyDescent="0.25">
      <c r="A727" s="231"/>
      <c r="B727" s="232"/>
      <c r="C727" s="400"/>
      <c r="D727" s="233"/>
      <c r="E727" s="405"/>
      <c r="F727" s="405"/>
      <c r="G727" s="405"/>
      <c r="H727" s="408">
        <f>ROUND(+E727+F727+G727,4)</f>
        <v>0</v>
      </c>
      <c r="I727" s="234"/>
      <c r="J727" s="411"/>
      <c r="K727" s="411"/>
      <c r="L727" s="414">
        <v>0.1</v>
      </c>
      <c r="M727" s="414">
        <f>ROUND(+L727*C727,4)</f>
        <v>0</v>
      </c>
      <c r="N727" s="414"/>
      <c r="O727" s="414"/>
      <c r="P727" s="414"/>
      <c r="Q727" s="419">
        <f>ROUND(+N727+O727+P727,4)</f>
        <v>0</v>
      </c>
      <c r="R727" s="419">
        <f>ROUND(IF(+Q727-H727&lt;=0,0,Q727-H727),4)</f>
        <v>0</v>
      </c>
      <c r="S727" s="423">
        <v>0.5</v>
      </c>
      <c r="T727" s="419">
        <f>ROUND(+(R727*C727)*S727,4)</f>
        <v>0</v>
      </c>
      <c r="U727" s="419">
        <f>ROUND(+J727+M727+T727,4)</f>
        <v>0</v>
      </c>
      <c r="V727" s="235"/>
    </row>
    <row r="728" spans="1:22" ht="15.75" x14ac:dyDescent="0.25">
      <c r="A728" s="231"/>
      <c r="B728" s="232"/>
      <c r="C728" s="400"/>
      <c r="D728" s="233"/>
      <c r="E728" s="405"/>
      <c r="F728" s="405"/>
      <c r="G728" s="405"/>
      <c r="H728" s="408">
        <f>ROUND(+E728+F728+G728,4)</f>
        <v>0</v>
      </c>
      <c r="I728" s="234"/>
      <c r="J728" s="411"/>
      <c r="K728" s="411"/>
      <c r="L728" s="414">
        <v>0.1</v>
      </c>
      <c r="M728" s="414">
        <f>ROUND(+L728*C728,4)</f>
        <v>0</v>
      </c>
      <c r="N728" s="414"/>
      <c r="O728" s="414"/>
      <c r="P728" s="414"/>
      <c r="Q728" s="419">
        <f>ROUND(+N728+O728+P728,4)</f>
        <v>0</v>
      </c>
      <c r="R728" s="419">
        <f>ROUND(IF(+Q728-H728&lt;=0,0,Q728-H728),4)</f>
        <v>0</v>
      </c>
      <c r="S728" s="423">
        <v>0.5</v>
      </c>
      <c r="T728" s="419">
        <f>ROUND(+(R728*C728)*S728,4)</f>
        <v>0</v>
      </c>
      <c r="U728" s="419">
        <f>ROUND(+J728+M728+T728,4)</f>
        <v>0</v>
      </c>
      <c r="V728" s="235"/>
    </row>
    <row r="729" spans="1:22" ht="15.75" x14ac:dyDescent="0.25">
      <c r="A729" s="231"/>
      <c r="B729" s="232"/>
      <c r="C729" s="400"/>
      <c r="D729" s="233"/>
      <c r="E729" s="405"/>
      <c r="F729" s="405"/>
      <c r="G729" s="405"/>
      <c r="H729" s="408">
        <f>ROUND(+E729+F729+G729,4)</f>
        <v>0</v>
      </c>
      <c r="I729" s="234"/>
      <c r="J729" s="411"/>
      <c r="K729" s="411"/>
      <c r="L729" s="414">
        <v>0.1</v>
      </c>
      <c r="M729" s="414">
        <f>ROUND(+L729*C729,4)</f>
        <v>0</v>
      </c>
      <c r="N729" s="414"/>
      <c r="O729" s="414"/>
      <c r="P729" s="414"/>
      <c r="Q729" s="419">
        <f>ROUND(+N729+O729+P729,4)</f>
        <v>0</v>
      </c>
      <c r="R729" s="419">
        <f>ROUND(IF(+Q729-H729&lt;=0,0,Q729-H729),4)</f>
        <v>0</v>
      </c>
      <c r="S729" s="423">
        <v>0.5</v>
      </c>
      <c r="T729" s="419">
        <f>ROUND(+(R729*C729)*S729,4)</f>
        <v>0</v>
      </c>
      <c r="U729" s="419">
        <f>ROUND(+J729+M729+T729,4)</f>
        <v>0</v>
      </c>
      <c r="V729" s="235"/>
    </row>
    <row r="730" spans="1:22" ht="15.75" x14ac:dyDescent="0.25">
      <c r="A730" s="231"/>
      <c r="B730" s="232"/>
      <c r="C730" s="400"/>
      <c r="D730" s="233"/>
      <c r="E730" s="405"/>
      <c r="F730" s="405"/>
      <c r="G730" s="405"/>
      <c r="H730" s="408">
        <f>ROUND(+E730+F730+G730,4)</f>
        <v>0</v>
      </c>
      <c r="I730" s="234"/>
      <c r="J730" s="411"/>
      <c r="K730" s="411"/>
      <c r="L730" s="414">
        <v>0.1</v>
      </c>
      <c r="M730" s="414">
        <f>ROUND(+L730*C730,4)</f>
        <v>0</v>
      </c>
      <c r="N730" s="414"/>
      <c r="O730" s="414"/>
      <c r="P730" s="414"/>
      <c r="Q730" s="419">
        <f>ROUND(+N730+O730+P730,4)</f>
        <v>0</v>
      </c>
      <c r="R730" s="419">
        <f>ROUND(IF(+Q730-H730&lt;=0,0,Q730-H730),4)</f>
        <v>0</v>
      </c>
      <c r="S730" s="423">
        <v>0.5</v>
      </c>
      <c r="T730" s="419">
        <f>ROUND(+(R730*C730)*S730,4)</f>
        <v>0</v>
      </c>
      <c r="U730" s="419">
        <f>ROUND(+J730+M730+T730,4)</f>
        <v>0</v>
      </c>
      <c r="V730" s="235"/>
    </row>
    <row r="731" spans="1:22" ht="15.75" x14ac:dyDescent="0.25">
      <c r="A731" s="231"/>
      <c r="B731" s="232"/>
      <c r="C731" s="400"/>
      <c r="D731" s="233"/>
      <c r="E731" s="405"/>
      <c r="F731" s="405"/>
      <c r="G731" s="405"/>
      <c r="H731" s="408">
        <f>ROUND(+E731+F731+G731,4)</f>
        <v>0</v>
      </c>
      <c r="I731" s="234"/>
      <c r="J731" s="411"/>
      <c r="K731" s="411"/>
      <c r="L731" s="414">
        <v>0.1</v>
      </c>
      <c r="M731" s="414">
        <f>ROUND(+L731*C731,4)</f>
        <v>0</v>
      </c>
      <c r="N731" s="414"/>
      <c r="O731" s="414"/>
      <c r="P731" s="414"/>
      <c r="Q731" s="419">
        <f>ROUND(+N731+O731+P731,4)</f>
        <v>0</v>
      </c>
      <c r="R731" s="419">
        <f>ROUND(IF(+Q731-H731&lt;=0,0,Q731-H731),4)</f>
        <v>0</v>
      </c>
      <c r="S731" s="423">
        <v>0.5</v>
      </c>
      <c r="T731" s="419">
        <f>ROUND(+(R731*C731)*S731,4)</f>
        <v>0</v>
      </c>
      <c r="U731" s="419">
        <f>ROUND(+J731+M731+T731,4)</f>
        <v>0</v>
      </c>
      <c r="V731" s="235"/>
    </row>
    <row r="732" spans="1:22" ht="15.75" x14ac:dyDescent="0.25">
      <c r="A732" s="231"/>
      <c r="B732" s="232"/>
      <c r="C732" s="400"/>
      <c r="D732" s="233"/>
      <c r="E732" s="405"/>
      <c r="F732" s="405"/>
      <c r="G732" s="405"/>
      <c r="H732" s="408">
        <f>ROUND(+E732+F732+G732,4)</f>
        <v>0</v>
      </c>
      <c r="I732" s="234"/>
      <c r="J732" s="411"/>
      <c r="K732" s="411"/>
      <c r="L732" s="414">
        <v>0.1</v>
      </c>
      <c r="M732" s="414">
        <f>ROUND(+L732*C732,4)</f>
        <v>0</v>
      </c>
      <c r="N732" s="414"/>
      <c r="O732" s="414"/>
      <c r="P732" s="414"/>
      <c r="Q732" s="419">
        <f>ROUND(+N732+O732+P732,4)</f>
        <v>0</v>
      </c>
      <c r="R732" s="419">
        <f>ROUND(IF(+Q732-H732&lt;=0,0,Q732-H732),4)</f>
        <v>0</v>
      </c>
      <c r="S732" s="423">
        <v>0.5</v>
      </c>
      <c r="T732" s="419">
        <f>ROUND(+(R732*C732)*S732,4)</f>
        <v>0</v>
      </c>
      <c r="U732" s="419">
        <f>ROUND(+J732+M732+T732,4)</f>
        <v>0</v>
      </c>
      <c r="V732" s="235"/>
    </row>
    <row r="733" spans="1:22" ht="15.75" x14ac:dyDescent="0.25">
      <c r="A733" s="231"/>
      <c r="B733" s="232"/>
      <c r="C733" s="400"/>
      <c r="D733" s="233"/>
      <c r="E733" s="405"/>
      <c r="F733" s="405"/>
      <c r="G733" s="405"/>
      <c r="H733" s="408">
        <f>ROUND(+E733+F733+G733,4)</f>
        <v>0</v>
      </c>
      <c r="I733" s="234"/>
      <c r="J733" s="411"/>
      <c r="K733" s="411"/>
      <c r="L733" s="414">
        <v>0.1</v>
      </c>
      <c r="M733" s="414">
        <f>ROUND(+L733*C733,4)</f>
        <v>0</v>
      </c>
      <c r="N733" s="414"/>
      <c r="O733" s="414"/>
      <c r="P733" s="414"/>
      <c r="Q733" s="419">
        <f>ROUND(+N733+O733+P733,4)</f>
        <v>0</v>
      </c>
      <c r="R733" s="419">
        <f>ROUND(IF(+Q733-H733&lt;=0,0,Q733-H733),4)</f>
        <v>0</v>
      </c>
      <c r="S733" s="423">
        <v>0.5</v>
      </c>
      <c r="T733" s="419">
        <f>ROUND(+(R733*C733)*S733,4)</f>
        <v>0</v>
      </c>
      <c r="U733" s="419">
        <f>ROUND(+J733+M733+T733,4)</f>
        <v>0</v>
      </c>
      <c r="V733" s="235"/>
    </row>
    <row r="734" spans="1:22" ht="15.75" x14ac:dyDescent="0.25">
      <c r="A734" s="231"/>
      <c r="B734" s="232"/>
      <c r="C734" s="400"/>
      <c r="D734" s="233"/>
      <c r="E734" s="405"/>
      <c r="F734" s="405"/>
      <c r="G734" s="405"/>
      <c r="H734" s="408">
        <f>ROUND(+E734+F734+G734,4)</f>
        <v>0</v>
      </c>
      <c r="I734" s="234"/>
      <c r="J734" s="411"/>
      <c r="K734" s="411"/>
      <c r="L734" s="414">
        <v>0.1</v>
      </c>
      <c r="M734" s="414">
        <f>ROUND(+L734*C734,4)</f>
        <v>0</v>
      </c>
      <c r="N734" s="414"/>
      <c r="O734" s="414"/>
      <c r="P734" s="414"/>
      <c r="Q734" s="419">
        <f>ROUND(+N734+O734+P734,4)</f>
        <v>0</v>
      </c>
      <c r="R734" s="419">
        <f>ROUND(IF(+Q734-H734&lt;=0,0,Q734-H734),4)</f>
        <v>0</v>
      </c>
      <c r="S734" s="423">
        <v>0.5</v>
      </c>
      <c r="T734" s="419">
        <f>ROUND(+(R734*C734)*S734,4)</f>
        <v>0</v>
      </c>
      <c r="U734" s="419">
        <f>ROUND(+J734+M734+T734,4)</f>
        <v>0</v>
      </c>
      <c r="V734" s="235"/>
    </row>
    <row r="735" spans="1:22" ht="15.75" x14ac:dyDescent="0.25">
      <c r="A735" s="231"/>
      <c r="B735" s="232"/>
      <c r="C735" s="400"/>
      <c r="D735" s="233"/>
      <c r="E735" s="405"/>
      <c r="F735" s="405"/>
      <c r="G735" s="405"/>
      <c r="H735" s="408">
        <f>ROUND(+E735+F735+G735,4)</f>
        <v>0</v>
      </c>
      <c r="I735" s="234"/>
      <c r="J735" s="411"/>
      <c r="K735" s="411"/>
      <c r="L735" s="414">
        <v>0.1</v>
      </c>
      <c r="M735" s="414">
        <f>ROUND(+L735*C735,4)</f>
        <v>0</v>
      </c>
      <c r="N735" s="414"/>
      <c r="O735" s="414"/>
      <c r="P735" s="414"/>
      <c r="Q735" s="419">
        <f>ROUND(+N735+O735+P735,4)</f>
        <v>0</v>
      </c>
      <c r="R735" s="419">
        <f>ROUND(IF(+Q735-H735&lt;=0,0,Q735-H735),4)</f>
        <v>0</v>
      </c>
      <c r="S735" s="423">
        <v>0.5</v>
      </c>
      <c r="T735" s="419">
        <f>ROUND(+(R735*C735)*S735,4)</f>
        <v>0</v>
      </c>
      <c r="U735" s="419">
        <f>ROUND(+J735+M735+T735,4)</f>
        <v>0</v>
      </c>
      <c r="V735" s="235"/>
    </row>
    <row r="736" spans="1:22" ht="15.75" x14ac:dyDescent="0.25">
      <c r="A736" s="231"/>
      <c r="B736" s="232"/>
      <c r="C736" s="400"/>
      <c r="D736" s="233"/>
      <c r="E736" s="405"/>
      <c r="F736" s="405"/>
      <c r="G736" s="405"/>
      <c r="H736" s="408">
        <f>ROUND(+E736+F736+G736,4)</f>
        <v>0</v>
      </c>
      <c r="I736" s="234"/>
      <c r="J736" s="411"/>
      <c r="K736" s="411"/>
      <c r="L736" s="414">
        <v>0.1</v>
      </c>
      <c r="M736" s="414">
        <f>ROUND(+L736*C736,4)</f>
        <v>0</v>
      </c>
      <c r="N736" s="414"/>
      <c r="O736" s="414"/>
      <c r="P736" s="414"/>
      <c r="Q736" s="419">
        <f>ROUND(+N736+O736+P736,4)</f>
        <v>0</v>
      </c>
      <c r="R736" s="419">
        <f>ROUND(IF(+Q736-H736&lt;=0,0,Q736-H736),4)</f>
        <v>0</v>
      </c>
      <c r="S736" s="423">
        <v>0.5</v>
      </c>
      <c r="T736" s="419">
        <f>ROUND(+(R736*C736)*S736,4)</f>
        <v>0</v>
      </c>
      <c r="U736" s="419">
        <f>ROUND(+J736+M736+T736,4)</f>
        <v>0</v>
      </c>
      <c r="V736" s="235"/>
    </row>
    <row r="737" spans="1:22" ht="15.75" x14ac:dyDescent="0.25">
      <c r="A737" s="231"/>
      <c r="B737" s="232"/>
      <c r="C737" s="400"/>
      <c r="D737" s="233"/>
      <c r="E737" s="405"/>
      <c r="F737" s="405"/>
      <c r="G737" s="405"/>
      <c r="H737" s="408">
        <f>ROUND(+E737+F737+G737,4)</f>
        <v>0</v>
      </c>
      <c r="I737" s="234"/>
      <c r="J737" s="411"/>
      <c r="K737" s="411"/>
      <c r="L737" s="414">
        <v>0.1</v>
      </c>
      <c r="M737" s="414">
        <f>ROUND(+L737*C737,4)</f>
        <v>0</v>
      </c>
      <c r="N737" s="414"/>
      <c r="O737" s="414"/>
      <c r="P737" s="414"/>
      <c r="Q737" s="419">
        <f>ROUND(+N737+O737+P737,4)</f>
        <v>0</v>
      </c>
      <c r="R737" s="419">
        <f>ROUND(IF(+Q737-H737&lt;=0,0,Q737-H737),4)</f>
        <v>0</v>
      </c>
      <c r="S737" s="423">
        <v>0.5</v>
      </c>
      <c r="T737" s="419">
        <f>ROUND(+(R737*C737)*S737,4)</f>
        <v>0</v>
      </c>
      <c r="U737" s="419">
        <f>ROUND(+J737+M737+T737,4)</f>
        <v>0</v>
      </c>
      <c r="V737" s="235"/>
    </row>
    <row r="738" spans="1:22" ht="15.75" x14ac:dyDescent="0.25">
      <c r="A738" s="231"/>
      <c r="B738" s="232"/>
      <c r="C738" s="400"/>
      <c r="D738" s="233"/>
      <c r="E738" s="405"/>
      <c r="F738" s="405"/>
      <c r="G738" s="405"/>
      <c r="H738" s="408">
        <f>ROUND(+E738+F738+G738,4)</f>
        <v>0</v>
      </c>
      <c r="I738" s="234"/>
      <c r="J738" s="411"/>
      <c r="K738" s="411"/>
      <c r="L738" s="414">
        <v>0.1</v>
      </c>
      <c r="M738" s="414">
        <f>ROUND(+L738*C738,4)</f>
        <v>0</v>
      </c>
      <c r="N738" s="414"/>
      <c r="O738" s="414"/>
      <c r="P738" s="414"/>
      <c r="Q738" s="419">
        <f>ROUND(+N738+O738+P738,4)</f>
        <v>0</v>
      </c>
      <c r="R738" s="419">
        <f>ROUND(IF(+Q738-H738&lt;=0,0,Q738-H738),4)</f>
        <v>0</v>
      </c>
      <c r="S738" s="423">
        <v>0.5</v>
      </c>
      <c r="T738" s="419">
        <f>ROUND(+(R738*C738)*S738,4)</f>
        <v>0</v>
      </c>
      <c r="U738" s="419">
        <f>ROUND(+J738+M738+T738,4)</f>
        <v>0</v>
      </c>
      <c r="V738" s="235"/>
    </row>
    <row r="739" spans="1:22" ht="15.75" x14ac:dyDescent="0.25">
      <c r="A739" s="231"/>
      <c r="B739" s="232"/>
      <c r="C739" s="400"/>
      <c r="D739" s="233"/>
      <c r="E739" s="405"/>
      <c r="F739" s="405"/>
      <c r="G739" s="405"/>
      <c r="H739" s="408">
        <f>ROUND(+E739+F739+G739,4)</f>
        <v>0</v>
      </c>
      <c r="I739" s="234"/>
      <c r="J739" s="411"/>
      <c r="K739" s="411"/>
      <c r="L739" s="414">
        <v>0.1</v>
      </c>
      <c r="M739" s="414">
        <f>ROUND(+L739*C739,4)</f>
        <v>0</v>
      </c>
      <c r="N739" s="414"/>
      <c r="O739" s="414"/>
      <c r="P739" s="414"/>
      <c r="Q739" s="419">
        <f>ROUND(+N739+O739+P739,4)</f>
        <v>0</v>
      </c>
      <c r="R739" s="419">
        <f>ROUND(IF(+Q739-H739&lt;=0,0,Q739-H739),4)</f>
        <v>0</v>
      </c>
      <c r="S739" s="423">
        <v>0.5</v>
      </c>
      <c r="T739" s="419">
        <f>ROUND(+(R739*C739)*S739,4)</f>
        <v>0</v>
      </c>
      <c r="U739" s="419">
        <f>ROUND(+J739+M739+T739,4)</f>
        <v>0</v>
      </c>
      <c r="V739" s="235"/>
    </row>
    <row r="740" spans="1:22" ht="15.75" x14ac:dyDescent="0.25">
      <c r="A740" s="231"/>
      <c r="B740" s="232"/>
      <c r="C740" s="400"/>
      <c r="D740" s="233"/>
      <c r="E740" s="405"/>
      <c r="F740" s="405"/>
      <c r="G740" s="405"/>
      <c r="H740" s="408">
        <f>ROUND(+E740+F740+G740,4)</f>
        <v>0</v>
      </c>
      <c r="I740" s="234"/>
      <c r="J740" s="411"/>
      <c r="K740" s="411"/>
      <c r="L740" s="414">
        <v>0.1</v>
      </c>
      <c r="M740" s="414">
        <f>ROUND(+L740*C740,4)</f>
        <v>0</v>
      </c>
      <c r="N740" s="414"/>
      <c r="O740" s="414"/>
      <c r="P740" s="414"/>
      <c r="Q740" s="419">
        <f>ROUND(+N740+O740+P740,4)</f>
        <v>0</v>
      </c>
      <c r="R740" s="419">
        <f>ROUND(IF(+Q740-H740&lt;=0,0,Q740-H740),4)</f>
        <v>0</v>
      </c>
      <c r="S740" s="423">
        <v>0.5</v>
      </c>
      <c r="T740" s="419">
        <f>ROUND(+(R740*C740)*S740,4)</f>
        <v>0</v>
      </c>
      <c r="U740" s="419">
        <f>ROUND(+J740+M740+T740,4)</f>
        <v>0</v>
      </c>
      <c r="V740" s="235"/>
    </row>
    <row r="741" spans="1:22" ht="15.75" x14ac:dyDescent="0.25">
      <c r="A741" s="231"/>
      <c r="B741" s="232"/>
      <c r="C741" s="400"/>
      <c r="D741" s="233"/>
      <c r="E741" s="405"/>
      <c r="F741" s="405"/>
      <c r="G741" s="405"/>
      <c r="H741" s="408">
        <f>ROUND(+E741+F741+G741,4)</f>
        <v>0</v>
      </c>
      <c r="I741" s="234"/>
      <c r="J741" s="411"/>
      <c r="K741" s="411"/>
      <c r="L741" s="414">
        <v>0.1</v>
      </c>
      <c r="M741" s="414">
        <f>ROUND(+L741*C741,4)</f>
        <v>0</v>
      </c>
      <c r="N741" s="414"/>
      <c r="O741" s="414"/>
      <c r="P741" s="414"/>
      <c r="Q741" s="419">
        <f>ROUND(+N741+O741+P741,4)</f>
        <v>0</v>
      </c>
      <c r="R741" s="419">
        <f>ROUND(IF(+Q741-H741&lt;=0,0,Q741-H741),4)</f>
        <v>0</v>
      </c>
      <c r="S741" s="423">
        <v>0.5</v>
      </c>
      <c r="T741" s="419">
        <f>ROUND(+(R741*C741)*S741,4)</f>
        <v>0</v>
      </c>
      <c r="U741" s="419">
        <f>ROUND(+J741+M741+T741,4)</f>
        <v>0</v>
      </c>
      <c r="V741" s="235"/>
    </row>
    <row r="742" spans="1:22" ht="15.75" x14ac:dyDescent="0.25">
      <c r="A742" s="231"/>
      <c r="B742" s="232"/>
      <c r="C742" s="400"/>
      <c r="D742" s="233"/>
      <c r="E742" s="405"/>
      <c r="F742" s="405"/>
      <c r="G742" s="405"/>
      <c r="H742" s="408">
        <f>ROUND(+E742+F742+G742,4)</f>
        <v>0</v>
      </c>
      <c r="I742" s="234"/>
      <c r="J742" s="411"/>
      <c r="K742" s="411"/>
      <c r="L742" s="414">
        <v>0.1</v>
      </c>
      <c r="M742" s="414">
        <f>ROUND(+L742*C742,4)</f>
        <v>0</v>
      </c>
      <c r="N742" s="414"/>
      <c r="O742" s="414"/>
      <c r="P742" s="414"/>
      <c r="Q742" s="419">
        <f>ROUND(+N742+O742+P742,4)</f>
        <v>0</v>
      </c>
      <c r="R742" s="419">
        <f>ROUND(IF(+Q742-H742&lt;=0,0,Q742-H742),4)</f>
        <v>0</v>
      </c>
      <c r="S742" s="423">
        <v>0.5</v>
      </c>
      <c r="T742" s="419">
        <f>ROUND(+(R742*C742)*S742,4)</f>
        <v>0</v>
      </c>
      <c r="U742" s="419">
        <f>ROUND(+J742+M742+T742,4)</f>
        <v>0</v>
      </c>
      <c r="V742" s="235"/>
    </row>
    <row r="743" spans="1:22" ht="15.75" x14ac:dyDescent="0.25">
      <c r="A743" s="231"/>
      <c r="B743" s="232"/>
      <c r="C743" s="400"/>
      <c r="D743" s="233"/>
      <c r="E743" s="405"/>
      <c r="F743" s="405"/>
      <c r="G743" s="405"/>
      <c r="H743" s="408">
        <f>ROUND(+E743+F743+G743,4)</f>
        <v>0</v>
      </c>
      <c r="I743" s="234"/>
      <c r="J743" s="411"/>
      <c r="K743" s="411"/>
      <c r="L743" s="414">
        <v>0.1</v>
      </c>
      <c r="M743" s="414">
        <f>ROUND(+L743*C743,4)</f>
        <v>0</v>
      </c>
      <c r="N743" s="414"/>
      <c r="O743" s="414"/>
      <c r="P743" s="414"/>
      <c r="Q743" s="419">
        <f>ROUND(+N743+O743+P743,4)</f>
        <v>0</v>
      </c>
      <c r="R743" s="419">
        <f>ROUND(IF(+Q743-H743&lt;=0,0,Q743-H743),4)</f>
        <v>0</v>
      </c>
      <c r="S743" s="423">
        <v>0.5</v>
      </c>
      <c r="T743" s="419">
        <f>ROUND(+(R743*C743)*S743,4)</f>
        <v>0</v>
      </c>
      <c r="U743" s="419">
        <f>ROUND(+J743+M743+T743,4)</f>
        <v>0</v>
      </c>
      <c r="V743" s="235"/>
    </row>
    <row r="744" spans="1:22" ht="15.75" x14ac:dyDescent="0.25">
      <c r="A744" s="231"/>
      <c r="B744" s="232"/>
      <c r="C744" s="400"/>
      <c r="D744" s="233"/>
      <c r="E744" s="405"/>
      <c r="F744" s="405"/>
      <c r="G744" s="405"/>
      <c r="H744" s="408">
        <f>ROUND(+E744+F744+G744,4)</f>
        <v>0</v>
      </c>
      <c r="I744" s="234"/>
      <c r="J744" s="411"/>
      <c r="K744" s="411"/>
      <c r="L744" s="414">
        <v>0.1</v>
      </c>
      <c r="M744" s="414">
        <f>ROUND(+L744*C744,4)</f>
        <v>0</v>
      </c>
      <c r="N744" s="414"/>
      <c r="O744" s="414"/>
      <c r="P744" s="414"/>
      <c r="Q744" s="419">
        <f>ROUND(+N744+O744+P744,4)</f>
        <v>0</v>
      </c>
      <c r="R744" s="419">
        <f>ROUND(IF(+Q744-H744&lt;=0,0,Q744-H744),4)</f>
        <v>0</v>
      </c>
      <c r="S744" s="423">
        <v>0.5</v>
      </c>
      <c r="T744" s="419">
        <f>ROUND(+(R744*C744)*S744,4)</f>
        <v>0</v>
      </c>
      <c r="U744" s="419">
        <f>ROUND(+J744+M744+T744,4)</f>
        <v>0</v>
      </c>
      <c r="V744" s="235"/>
    </row>
    <row r="745" spans="1:22" ht="15.75" x14ac:dyDescent="0.25">
      <c r="A745" s="231"/>
      <c r="B745" s="232"/>
      <c r="C745" s="400"/>
      <c r="D745" s="233"/>
      <c r="E745" s="405"/>
      <c r="F745" s="405"/>
      <c r="G745" s="405"/>
      <c r="H745" s="408">
        <f>ROUND(+E745+F745+G745,4)</f>
        <v>0</v>
      </c>
      <c r="I745" s="234"/>
      <c r="J745" s="411"/>
      <c r="K745" s="411"/>
      <c r="L745" s="414">
        <v>0.1</v>
      </c>
      <c r="M745" s="414">
        <f>ROUND(+L745*C745,4)</f>
        <v>0</v>
      </c>
      <c r="N745" s="414"/>
      <c r="O745" s="414"/>
      <c r="P745" s="414"/>
      <c r="Q745" s="419">
        <f>ROUND(+N745+O745+P745,4)</f>
        <v>0</v>
      </c>
      <c r="R745" s="419">
        <f>ROUND(IF(+Q745-H745&lt;=0,0,Q745-H745),4)</f>
        <v>0</v>
      </c>
      <c r="S745" s="423">
        <v>0.5</v>
      </c>
      <c r="T745" s="419">
        <f>ROUND(+(R745*C745)*S745,4)</f>
        <v>0</v>
      </c>
      <c r="U745" s="419">
        <f>ROUND(+J745+M745+T745,4)</f>
        <v>0</v>
      </c>
      <c r="V745" s="235"/>
    </row>
    <row r="746" spans="1:22" ht="15.75" x14ac:dyDescent="0.25">
      <c r="A746" s="231"/>
      <c r="B746" s="232"/>
      <c r="C746" s="400"/>
      <c r="D746" s="233"/>
      <c r="E746" s="405"/>
      <c r="F746" s="405"/>
      <c r="G746" s="405"/>
      <c r="H746" s="408">
        <f>ROUND(+E746+F746+G746,4)</f>
        <v>0</v>
      </c>
      <c r="I746" s="234"/>
      <c r="J746" s="411"/>
      <c r="K746" s="411"/>
      <c r="L746" s="414">
        <v>0.1</v>
      </c>
      <c r="M746" s="414">
        <f>ROUND(+L746*C746,4)</f>
        <v>0</v>
      </c>
      <c r="N746" s="414"/>
      <c r="O746" s="414"/>
      <c r="P746" s="414"/>
      <c r="Q746" s="419">
        <f>ROUND(+N746+O746+P746,4)</f>
        <v>0</v>
      </c>
      <c r="R746" s="419">
        <f>ROUND(IF(+Q746-H746&lt;=0,0,Q746-H746),4)</f>
        <v>0</v>
      </c>
      <c r="S746" s="423">
        <v>0.5</v>
      </c>
      <c r="T746" s="419">
        <f>ROUND(+(R746*C746)*S746,4)</f>
        <v>0</v>
      </c>
      <c r="U746" s="419">
        <f>ROUND(+J746+M746+T746,4)</f>
        <v>0</v>
      </c>
      <c r="V746" s="235"/>
    </row>
    <row r="747" spans="1:22" ht="15.75" x14ac:dyDescent="0.25">
      <c r="A747" s="231"/>
      <c r="B747" s="232"/>
      <c r="C747" s="400"/>
      <c r="D747" s="233"/>
      <c r="E747" s="405"/>
      <c r="F747" s="405"/>
      <c r="G747" s="405"/>
      <c r="H747" s="408">
        <f>ROUND(+E747+F747+G747,4)</f>
        <v>0</v>
      </c>
      <c r="I747" s="234"/>
      <c r="J747" s="411"/>
      <c r="K747" s="411"/>
      <c r="L747" s="414">
        <v>0.1</v>
      </c>
      <c r="M747" s="414">
        <f>ROUND(+L747*C747,4)</f>
        <v>0</v>
      </c>
      <c r="N747" s="414"/>
      <c r="O747" s="414"/>
      <c r="P747" s="414"/>
      <c r="Q747" s="419">
        <f>ROUND(+N747+O747+P747,4)</f>
        <v>0</v>
      </c>
      <c r="R747" s="419">
        <f>ROUND(IF(+Q747-H747&lt;=0,0,Q747-H747),4)</f>
        <v>0</v>
      </c>
      <c r="S747" s="423">
        <v>0.5</v>
      </c>
      <c r="T747" s="419">
        <f>ROUND(+(R747*C747)*S747,4)</f>
        <v>0</v>
      </c>
      <c r="U747" s="419">
        <f>ROUND(+J747+M747+T747,4)</f>
        <v>0</v>
      </c>
      <c r="V747" s="235"/>
    </row>
    <row r="748" spans="1:22" ht="15.75" x14ac:dyDescent="0.25">
      <c r="A748" s="231"/>
      <c r="B748" s="232"/>
      <c r="C748" s="400"/>
      <c r="D748" s="233"/>
      <c r="E748" s="405"/>
      <c r="F748" s="405"/>
      <c r="G748" s="405"/>
      <c r="H748" s="408">
        <f>ROUND(+E748+F748+G748,4)</f>
        <v>0</v>
      </c>
      <c r="I748" s="234"/>
      <c r="J748" s="411"/>
      <c r="K748" s="411"/>
      <c r="L748" s="414">
        <v>0.1</v>
      </c>
      <c r="M748" s="414">
        <f>ROUND(+L748*C748,4)</f>
        <v>0</v>
      </c>
      <c r="N748" s="414"/>
      <c r="O748" s="414"/>
      <c r="P748" s="414"/>
      <c r="Q748" s="419">
        <f>ROUND(+N748+O748+P748,4)</f>
        <v>0</v>
      </c>
      <c r="R748" s="419">
        <f>ROUND(IF(+Q748-H748&lt;=0,0,Q748-H748),4)</f>
        <v>0</v>
      </c>
      <c r="S748" s="423">
        <v>0.5</v>
      </c>
      <c r="T748" s="419">
        <f>ROUND(+(R748*C748)*S748,4)</f>
        <v>0</v>
      </c>
      <c r="U748" s="419">
        <f>ROUND(+J748+M748+T748,4)</f>
        <v>0</v>
      </c>
      <c r="V748" s="235"/>
    </row>
    <row r="749" spans="1:22" ht="15.75" x14ac:dyDescent="0.25">
      <c r="A749" s="231"/>
      <c r="B749" s="232"/>
      <c r="C749" s="400"/>
      <c r="D749" s="233"/>
      <c r="E749" s="405"/>
      <c r="F749" s="405"/>
      <c r="G749" s="405"/>
      <c r="H749" s="408">
        <f>ROUND(+E749+F749+G749,4)</f>
        <v>0</v>
      </c>
      <c r="I749" s="234"/>
      <c r="J749" s="411"/>
      <c r="K749" s="411"/>
      <c r="L749" s="414">
        <v>0.1</v>
      </c>
      <c r="M749" s="414">
        <f>ROUND(+L749*C749,4)</f>
        <v>0</v>
      </c>
      <c r="N749" s="414"/>
      <c r="O749" s="414"/>
      <c r="P749" s="414"/>
      <c r="Q749" s="419">
        <f>ROUND(+N749+O749+P749,4)</f>
        <v>0</v>
      </c>
      <c r="R749" s="419">
        <f>ROUND(IF(+Q749-H749&lt;=0,0,Q749-H749),4)</f>
        <v>0</v>
      </c>
      <c r="S749" s="423">
        <v>0.5</v>
      </c>
      <c r="T749" s="419">
        <f>ROUND(+(R749*C749)*S749,4)</f>
        <v>0</v>
      </c>
      <c r="U749" s="419">
        <f>ROUND(+J749+M749+T749,4)</f>
        <v>0</v>
      </c>
      <c r="V749" s="235"/>
    </row>
    <row r="750" spans="1:22" ht="15.75" x14ac:dyDescent="0.25">
      <c r="A750" s="231"/>
      <c r="B750" s="232"/>
      <c r="C750" s="400"/>
      <c r="D750" s="233"/>
      <c r="E750" s="405"/>
      <c r="F750" s="405"/>
      <c r="G750" s="405"/>
      <c r="H750" s="408">
        <f>ROUND(+E750+F750+G750,4)</f>
        <v>0</v>
      </c>
      <c r="I750" s="234"/>
      <c r="J750" s="411"/>
      <c r="K750" s="411"/>
      <c r="L750" s="414">
        <v>0.1</v>
      </c>
      <c r="M750" s="414">
        <f>ROUND(+L750*C750,4)</f>
        <v>0</v>
      </c>
      <c r="N750" s="414"/>
      <c r="O750" s="414"/>
      <c r="P750" s="414"/>
      <c r="Q750" s="419">
        <f>ROUND(+N750+O750+P750,4)</f>
        <v>0</v>
      </c>
      <c r="R750" s="419">
        <f>ROUND(IF(+Q750-H750&lt;=0,0,Q750-H750),4)</f>
        <v>0</v>
      </c>
      <c r="S750" s="423">
        <v>0.5</v>
      </c>
      <c r="T750" s="419">
        <f>ROUND(+(R750*C750)*S750,4)</f>
        <v>0</v>
      </c>
      <c r="U750" s="419">
        <f>ROUND(+J750+M750+T750,4)</f>
        <v>0</v>
      </c>
      <c r="V750" s="235"/>
    </row>
    <row r="751" spans="1:22" ht="15.75" x14ac:dyDescent="0.25">
      <c r="A751" s="231"/>
      <c r="B751" s="232"/>
      <c r="C751" s="400"/>
      <c r="D751" s="233"/>
      <c r="E751" s="405"/>
      <c r="F751" s="405"/>
      <c r="G751" s="405"/>
      <c r="H751" s="408">
        <f>ROUND(+E751+F751+G751,4)</f>
        <v>0</v>
      </c>
      <c r="I751" s="234"/>
      <c r="J751" s="411"/>
      <c r="K751" s="411"/>
      <c r="L751" s="414">
        <v>0.1</v>
      </c>
      <c r="M751" s="414">
        <f>ROUND(+L751*C751,4)</f>
        <v>0</v>
      </c>
      <c r="N751" s="414"/>
      <c r="O751" s="414"/>
      <c r="P751" s="414"/>
      <c r="Q751" s="419">
        <f>ROUND(+N751+O751+P751,4)</f>
        <v>0</v>
      </c>
      <c r="R751" s="419">
        <f>ROUND(IF(+Q751-H751&lt;=0,0,Q751-H751),4)</f>
        <v>0</v>
      </c>
      <c r="S751" s="423">
        <v>0.5</v>
      </c>
      <c r="T751" s="419">
        <f>ROUND(+(R751*C751)*S751,4)</f>
        <v>0</v>
      </c>
      <c r="U751" s="419">
        <f>ROUND(+J751+M751+T751,4)</f>
        <v>0</v>
      </c>
      <c r="V751" s="235"/>
    </row>
    <row r="752" spans="1:22" ht="15.75" x14ac:dyDescent="0.25">
      <c r="A752" s="231"/>
      <c r="B752" s="232"/>
      <c r="C752" s="400"/>
      <c r="D752" s="233"/>
      <c r="E752" s="405"/>
      <c r="F752" s="405"/>
      <c r="G752" s="405"/>
      <c r="H752" s="408">
        <f>ROUND(+E752+F752+G752,4)</f>
        <v>0</v>
      </c>
      <c r="I752" s="234"/>
      <c r="J752" s="411"/>
      <c r="K752" s="411"/>
      <c r="L752" s="414">
        <v>0.1</v>
      </c>
      <c r="M752" s="414">
        <f>ROUND(+L752*C752,4)</f>
        <v>0</v>
      </c>
      <c r="N752" s="414"/>
      <c r="O752" s="414"/>
      <c r="P752" s="414"/>
      <c r="Q752" s="419">
        <f>ROUND(+N752+O752+P752,4)</f>
        <v>0</v>
      </c>
      <c r="R752" s="419">
        <f>ROUND(IF(+Q752-H752&lt;=0,0,Q752-H752),4)</f>
        <v>0</v>
      </c>
      <c r="S752" s="423">
        <v>0.5</v>
      </c>
      <c r="T752" s="419">
        <f>ROUND(+(R752*C752)*S752,4)</f>
        <v>0</v>
      </c>
      <c r="U752" s="419">
        <f>ROUND(+J752+M752+T752,4)</f>
        <v>0</v>
      </c>
      <c r="V752" s="235"/>
    </row>
    <row r="753" spans="1:22" ht="15.75" x14ac:dyDescent="0.25">
      <c r="A753" s="231"/>
      <c r="B753" s="232"/>
      <c r="C753" s="400"/>
      <c r="D753" s="233"/>
      <c r="E753" s="405"/>
      <c r="F753" s="405"/>
      <c r="G753" s="405"/>
      <c r="H753" s="408">
        <f>ROUND(+E753+F753+G753,4)</f>
        <v>0</v>
      </c>
      <c r="I753" s="234"/>
      <c r="J753" s="411"/>
      <c r="K753" s="411"/>
      <c r="L753" s="414">
        <v>0.1</v>
      </c>
      <c r="M753" s="414">
        <f>ROUND(+L753*C753,4)</f>
        <v>0</v>
      </c>
      <c r="N753" s="414"/>
      <c r="O753" s="414"/>
      <c r="P753" s="414"/>
      <c r="Q753" s="419">
        <f>ROUND(+N753+O753+P753,4)</f>
        <v>0</v>
      </c>
      <c r="R753" s="419">
        <f>ROUND(IF(+Q753-H753&lt;=0,0,Q753-H753),4)</f>
        <v>0</v>
      </c>
      <c r="S753" s="423">
        <v>0.5</v>
      </c>
      <c r="T753" s="419">
        <f>ROUND(+(R753*C753)*S753,4)</f>
        <v>0</v>
      </c>
      <c r="U753" s="419">
        <f>ROUND(+J753+M753+T753,4)</f>
        <v>0</v>
      </c>
      <c r="V753" s="235"/>
    </row>
    <row r="754" spans="1:22" ht="15.75" x14ac:dyDescent="0.25">
      <c r="A754" s="231"/>
      <c r="B754" s="232"/>
      <c r="C754" s="400"/>
      <c r="D754" s="233"/>
      <c r="E754" s="405"/>
      <c r="F754" s="405"/>
      <c r="G754" s="405"/>
      <c r="H754" s="408">
        <f>ROUND(+E754+F754+G754,4)</f>
        <v>0</v>
      </c>
      <c r="I754" s="234"/>
      <c r="J754" s="411"/>
      <c r="K754" s="411"/>
      <c r="L754" s="414">
        <v>0.1</v>
      </c>
      <c r="M754" s="414">
        <f>ROUND(+L754*C754,4)</f>
        <v>0</v>
      </c>
      <c r="N754" s="414"/>
      <c r="O754" s="414"/>
      <c r="P754" s="414"/>
      <c r="Q754" s="419">
        <f>ROUND(+N754+O754+P754,4)</f>
        <v>0</v>
      </c>
      <c r="R754" s="419">
        <f>ROUND(IF(+Q754-H754&lt;=0,0,Q754-H754),4)</f>
        <v>0</v>
      </c>
      <c r="S754" s="423">
        <v>0.5</v>
      </c>
      <c r="T754" s="419">
        <f>ROUND(+(R754*C754)*S754,4)</f>
        <v>0</v>
      </c>
      <c r="U754" s="419">
        <f>ROUND(+J754+M754+T754,4)</f>
        <v>0</v>
      </c>
      <c r="V754" s="235"/>
    </row>
    <row r="755" spans="1:22" ht="15.75" x14ac:dyDescent="0.25">
      <c r="A755" s="231"/>
      <c r="B755" s="232"/>
      <c r="C755" s="400"/>
      <c r="D755" s="233"/>
      <c r="E755" s="405"/>
      <c r="F755" s="405"/>
      <c r="G755" s="405"/>
      <c r="H755" s="408">
        <f>ROUND(+E755+F755+G755,4)</f>
        <v>0</v>
      </c>
      <c r="I755" s="234"/>
      <c r="J755" s="411"/>
      <c r="K755" s="411"/>
      <c r="L755" s="414">
        <v>0.1</v>
      </c>
      <c r="M755" s="414">
        <f>ROUND(+L755*C755,4)</f>
        <v>0</v>
      </c>
      <c r="N755" s="414"/>
      <c r="O755" s="414"/>
      <c r="P755" s="414"/>
      <c r="Q755" s="419">
        <f>ROUND(+N755+O755+P755,4)</f>
        <v>0</v>
      </c>
      <c r="R755" s="419">
        <f>ROUND(IF(+Q755-H755&lt;=0,0,Q755-H755),4)</f>
        <v>0</v>
      </c>
      <c r="S755" s="423">
        <v>0.5</v>
      </c>
      <c r="T755" s="419">
        <f>ROUND(+(R755*C755)*S755,4)</f>
        <v>0</v>
      </c>
      <c r="U755" s="419">
        <f>ROUND(+J755+M755+T755,4)</f>
        <v>0</v>
      </c>
      <c r="V755" s="235"/>
    </row>
    <row r="756" spans="1:22" ht="15.75" x14ac:dyDescent="0.25">
      <c r="A756" s="231"/>
      <c r="B756" s="232"/>
      <c r="C756" s="400"/>
      <c r="D756" s="233"/>
      <c r="E756" s="405"/>
      <c r="F756" s="405"/>
      <c r="G756" s="405"/>
      <c r="H756" s="408">
        <f>ROUND(+E756+F756+G756,4)</f>
        <v>0</v>
      </c>
      <c r="I756" s="234"/>
      <c r="J756" s="411"/>
      <c r="K756" s="411"/>
      <c r="L756" s="414">
        <v>0.1</v>
      </c>
      <c r="M756" s="414">
        <f>ROUND(+L756*C756,4)</f>
        <v>0</v>
      </c>
      <c r="N756" s="414"/>
      <c r="O756" s="414"/>
      <c r="P756" s="414"/>
      <c r="Q756" s="419">
        <f>ROUND(+N756+O756+P756,4)</f>
        <v>0</v>
      </c>
      <c r="R756" s="419">
        <f>ROUND(IF(+Q756-H756&lt;=0,0,Q756-H756),4)</f>
        <v>0</v>
      </c>
      <c r="S756" s="423">
        <v>0.5</v>
      </c>
      <c r="T756" s="419">
        <f>ROUND(+(R756*C756)*S756,4)</f>
        <v>0</v>
      </c>
      <c r="U756" s="419">
        <f>ROUND(+J756+M756+T756,4)</f>
        <v>0</v>
      </c>
      <c r="V756" s="235"/>
    </row>
    <row r="757" spans="1:22" ht="15.75" x14ac:dyDescent="0.25">
      <c r="A757" s="231"/>
      <c r="B757" s="232"/>
      <c r="C757" s="400"/>
      <c r="D757" s="233"/>
      <c r="E757" s="405"/>
      <c r="F757" s="405"/>
      <c r="G757" s="405"/>
      <c r="H757" s="408">
        <f>ROUND(+E757+F757+G757,4)</f>
        <v>0</v>
      </c>
      <c r="I757" s="234"/>
      <c r="J757" s="411"/>
      <c r="K757" s="411"/>
      <c r="L757" s="414">
        <v>0.1</v>
      </c>
      <c r="M757" s="414">
        <f>ROUND(+L757*C757,4)</f>
        <v>0</v>
      </c>
      <c r="N757" s="414"/>
      <c r="O757" s="414"/>
      <c r="P757" s="414"/>
      <c r="Q757" s="419">
        <f>ROUND(+N757+O757+P757,4)</f>
        <v>0</v>
      </c>
      <c r="R757" s="419">
        <f>ROUND(IF(+Q757-H757&lt;=0,0,Q757-H757),4)</f>
        <v>0</v>
      </c>
      <c r="S757" s="423">
        <v>0.5</v>
      </c>
      <c r="T757" s="419">
        <f>ROUND(+(R757*C757)*S757,4)</f>
        <v>0</v>
      </c>
      <c r="U757" s="419">
        <f>ROUND(+J757+M757+T757,4)</f>
        <v>0</v>
      </c>
      <c r="V757" s="235"/>
    </row>
    <row r="758" spans="1:22" ht="15.75" x14ac:dyDescent="0.25">
      <c r="A758" s="231"/>
      <c r="B758" s="232"/>
      <c r="C758" s="400"/>
      <c r="D758" s="233"/>
      <c r="E758" s="405"/>
      <c r="F758" s="405"/>
      <c r="G758" s="405"/>
      <c r="H758" s="408">
        <f>ROUND(+E758+F758+G758,4)</f>
        <v>0</v>
      </c>
      <c r="I758" s="234"/>
      <c r="J758" s="411"/>
      <c r="K758" s="411"/>
      <c r="L758" s="414">
        <v>0.1</v>
      </c>
      <c r="M758" s="414">
        <f>ROUND(+L758*C758,4)</f>
        <v>0</v>
      </c>
      <c r="N758" s="414"/>
      <c r="O758" s="414"/>
      <c r="P758" s="414"/>
      <c r="Q758" s="419">
        <f>ROUND(+N758+O758+P758,4)</f>
        <v>0</v>
      </c>
      <c r="R758" s="419">
        <f>ROUND(IF(+Q758-H758&lt;=0,0,Q758-H758),4)</f>
        <v>0</v>
      </c>
      <c r="S758" s="423">
        <v>0.5</v>
      </c>
      <c r="T758" s="419">
        <f>ROUND(+(R758*C758)*S758,4)</f>
        <v>0</v>
      </c>
      <c r="U758" s="419">
        <f>ROUND(+J758+M758+T758,4)</f>
        <v>0</v>
      </c>
      <c r="V758" s="235"/>
    </row>
    <row r="759" spans="1:22" ht="15.75" x14ac:dyDescent="0.25">
      <c r="A759" s="231"/>
      <c r="B759" s="232"/>
      <c r="C759" s="400"/>
      <c r="D759" s="233"/>
      <c r="E759" s="405"/>
      <c r="F759" s="405"/>
      <c r="G759" s="405"/>
      <c r="H759" s="408">
        <f>ROUND(+E759+F759+G759,4)</f>
        <v>0</v>
      </c>
      <c r="I759" s="234"/>
      <c r="J759" s="411"/>
      <c r="K759" s="411"/>
      <c r="L759" s="414">
        <v>0.1</v>
      </c>
      <c r="M759" s="414">
        <f>ROUND(+L759*C759,4)</f>
        <v>0</v>
      </c>
      <c r="N759" s="414"/>
      <c r="O759" s="414"/>
      <c r="P759" s="414"/>
      <c r="Q759" s="419">
        <f>ROUND(+N759+O759+P759,4)</f>
        <v>0</v>
      </c>
      <c r="R759" s="419">
        <f>ROUND(IF(+Q759-H759&lt;=0,0,Q759-H759),4)</f>
        <v>0</v>
      </c>
      <c r="S759" s="423">
        <v>0.5</v>
      </c>
      <c r="T759" s="419">
        <f>ROUND(+(R759*C759)*S759,4)</f>
        <v>0</v>
      </c>
      <c r="U759" s="419">
        <f>ROUND(+J759+M759+T759,4)</f>
        <v>0</v>
      </c>
      <c r="V759" s="235"/>
    </row>
    <row r="760" spans="1:22" ht="15.75" x14ac:dyDescent="0.25">
      <c r="A760" s="231"/>
      <c r="B760" s="232"/>
      <c r="C760" s="400"/>
      <c r="D760" s="233"/>
      <c r="E760" s="405"/>
      <c r="F760" s="405"/>
      <c r="G760" s="405"/>
      <c r="H760" s="408">
        <f>ROUND(+E760+F760+G760,4)</f>
        <v>0</v>
      </c>
      <c r="I760" s="234"/>
      <c r="J760" s="411"/>
      <c r="K760" s="411"/>
      <c r="L760" s="414">
        <v>0.1</v>
      </c>
      <c r="M760" s="414">
        <f>ROUND(+L760*C760,4)</f>
        <v>0</v>
      </c>
      <c r="N760" s="414"/>
      <c r="O760" s="414"/>
      <c r="P760" s="414"/>
      <c r="Q760" s="419">
        <f>ROUND(+N760+O760+P760,4)</f>
        <v>0</v>
      </c>
      <c r="R760" s="419">
        <f>ROUND(IF(+Q760-H760&lt;=0,0,Q760-H760),4)</f>
        <v>0</v>
      </c>
      <c r="S760" s="423">
        <v>0.5</v>
      </c>
      <c r="T760" s="419">
        <f>ROUND(+(R760*C760)*S760,4)</f>
        <v>0</v>
      </c>
      <c r="U760" s="419">
        <f>ROUND(+J760+M760+T760,4)</f>
        <v>0</v>
      </c>
      <c r="V760" s="235"/>
    </row>
    <row r="761" spans="1:22" ht="15.75" x14ac:dyDescent="0.25">
      <c r="A761" s="231"/>
      <c r="B761" s="232"/>
      <c r="C761" s="400"/>
      <c r="D761" s="233"/>
      <c r="E761" s="405"/>
      <c r="F761" s="405"/>
      <c r="G761" s="405"/>
      <c r="H761" s="408">
        <f>ROUND(+E761+F761+G761,4)</f>
        <v>0</v>
      </c>
      <c r="I761" s="234"/>
      <c r="J761" s="411"/>
      <c r="K761" s="411"/>
      <c r="L761" s="414">
        <v>0.1</v>
      </c>
      <c r="M761" s="414">
        <f>ROUND(+L761*C761,4)</f>
        <v>0</v>
      </c>
      <c r="N761" s="414"/>
      <c r="O761" s="414"/>
      <c r="P761" s="414"/>
      <c r="Q761" s="419">
        <f>ROUND(+N761+O761+P761,4)</f>
        <v>0</v>
      </c>
      <c r="R761" s="419">
        <f>ROUND(IF(+Q761-H761&lt;=0,0,Q761-H761),4)</f>
        <v>0</v>
      </c>
      <c r="S761" s="423">
        <v>0.5</v>
      </c>
      <c r="T761" s="419">
        <f>ROUND(+(R761*C761)*S761,4)</f>
        <v>0</v>
      </c>
      <c r="U761" s="419">
        <f>ROUND(+J761+M761+T761,4)</f>
        <v>0</v>
      </c>
      <c r="V761" s="235"/>
    </row>
    <row r="762" spans="1:22" ht="15.75" x14ac:dyDescent="0.25">
      <c r="A762" s="231"/>
      <c r="B762" s="232"/>
      <c r="C762" s="400"/>
      <c r="D762" s="233"/>
      <c r="E762" s="405"/>
      <c r="F762" s="405"/>
      <c r="G762" s="405"/>
      <c r="H762" s="408">
        <f>ROUND(+E762+F762+G762,4)</f>
        <v>0</v>
      </c>
      <c r="I762" s="234"/>
      <c r="J762" s="411"/>
      <c r="K762" s="411"/>
      <c r="L762" s="414">
        <v>0.1</v>
      </c>
      <c r="M762" s="414">
        <f>ROUND(+L762*C762,4)</f>
        <v>0</v>
      </c>
      <c r="N762" s="414"/>
      <c r="O762" s="414"/>
      <c r="P762" s="414"/>
      <c r="Q762" s="419">
        <f>ROUND(+N762+O762+P762,4)</f>
        <v>0</v>
      </c>
      <c r="R762" s="419">
        <f>ROUND(IF(+Q762-H762&lt;=0,0,Q762-H762),4)</f>
        <v>0</v>
      </c>
      <c r="S762" s="423">
        <v>0.5</v>
      </c>
      <c r="T762" s="419">
        <f>ROUND(+(R762*C762)*S762,4)</f>
        <v>0</v>
      </c>
      <c r="U762" s="419">
        <f>ROUND(+J762+M762+T762,4)</f>
        <v>0</v>
      </c>
      <c r="V762" s="235"/>
    </row>
    <row r="763" spans="1:22" ht="15.75" x14ac:dyDescent="0.25">
      <c r="A763" s="231"/>
      <c r="B763" s="232"/>
      <c r="C763" s="400"/>
      <c r="D763" s="233"/>
      <c r="E763" s="405"/>
      <c r="F763" s="405"/>
      <c r="G763" s="405"/>
      <c r="H763" s="408">
        <f>ROUND(+E763+F763+G763,4)</f>
        <v>0</v>
      </c>
      <c r="I763" s="234"/>
      <c r="J763" s="411"/>
      <c r="K763" s="411"/>
      <c r="L763" s="414">
        <v>0.1</v>
      </c>
      <c r="M763" s="414">
        <f>ROUND(+L763*C763,4)</f>
        <v>0</v>
      </c>
      <c r="N763" s="414"/>
      <c r="O763" s="414"/>
      <c r="P763" s="414"/>
      <c r="Q763" s="419">
        <f>ROUND(+N763+O763+P763,4)</f>
        <v>0</v>
      </c>
      <c r="R763" s="419">
        <f>ROUND(IF(+Q763-H763&lt;=0,0,Q763-H763),4)</f>
        <v>0</v>
      </c>
      <c r="S763" s="423">
        <v>0.5</v>
      </c>
      <c r="T763" s="419">
        <f>ROUND(+(R763*C763)*S763,4)</f>
        <v>0</v>
      </c>
      <c r="U763" s="419">
        <f>ROUND(+J763+M763+T763,4)</f>
        <v>0</v>
      </c>
      <c r="V763" s="235"/>
    </row>
    <row r="764" spans="1:22" ht="15.75" x14ac:dyDescent="0.25">
      <c r="A764" s="231"/>
      <c r="B764" s="232"/>
      <c r="C764" s="400"/>
      <c r="D764" s="233"/>
      <c r="E764" s="405"/>
      <c r="F764" s="405"/>
      <c r="G764" s="405"/>
      <c r="H764" s="408">
        <f>ROUND(+E764+F764+G764,4)</f>
        <v>0</v>
      </c>
      <c r="I764" s="234"/>
      <c r="J764" s="411"/>
      <c r="K764" s="411"/>
      <c r="L764" s="414">
        <v>0.1</v>
      </c>
      <c r="M764" s="414">
        <f>ROUND(+L764*C764,4)</f>
        <v>0</v>
      </c>
      <c r="N764" s="414"/>
      <c r="O764" s="414"/>
      <c r="P764" s="414"/>
      <c r="Q764" s="419">
        <f>ROUND(+N764+O764+P764,4)</f>
        <v>0</v>
      </c>
      <c r="R764" s="419">
        <f>ROUND(IF(+Q764-H764&lt;=0,0,Q764-H764),4)</f>
        <v>0</v>
      </c>
      <c r="S764" s="423">
        <v>0.5</v>
      </c>
      <c r="T764" s="419">
        <f>ROUND(+(R764*C764)*S764,4)</f>
        <v>0</v>
      </c>
      <c r="U764" s="419">
        <f>ROUND(+J764+M764+T764,4)</f>
        <v>0</v>
      </c>
      <c r="V764" s="235"/>
    </row>
    <row r="765" spans="1:22" ht="15.75" x14ac:dyDescent="0.25">
      <c r="A765" s="231"/>
      <c r="B765" s="232"/>
      <c r="C765" s="400"/>
      <c r="D765" s="233"/>
      <c r="E765" s="405"/>
      <c r="F765" s="405"/>
      <c r="G765" s="405"/>
      <c r="H765" s="408">
        <f>ROUND(+E765+F765+G765,4)</f>
        <v>0</v>
      </c>
      <c r="I765" s="234"/>
      <c r="J765" s="411"/>
      <c r="K765" s="411"/>
      <c r="L765" s="414">
        <v>0.1</v>
      </c>
      <c r="M765" s="414">
        <f>ROUND(+L765*C765,4)</f>
        <v>0</v>
      </c>
      <c r="N765" s="414"/>
      <c r="O765" s="414"/>
      <c r="P765" s="414"/>
      <c r="Q765" s="419">
        <f>ROUND(+N765+O765+P765,4)</f>
        <v>0</v>
      </c>
      <c r="R765" s="419">
        <f>ROUND(IF(+Q765-H765&lt;=0,0,Q765-H765),4)</f>
        <v>0</v>
      </c>
      <c r="S765" s="423">
        <v>0.5</v>
      </c>
      <c r="T765" s="419">
        <f>ROUND(+(R765*C765)*S765,4)</f>
        <v>0</v>
      </c>
      <c r="U765" s="419">
        <f>ROUND(+J765+M765+T765,4)</f>
        <v>0</v>
      </c>
      <c r="V765" s="235"/>
    </row>
    <row r="766" spans="1:22" ht="15.75" x14ac:dyDescent="0.25">
      <c r="A766" s="231"/>
      <c r="B766" s="232"/>
      <c r="C766" s="400"/>
      <c r="D766" s="233"/>
      <c r="E766" s="405"/>
      <c r="F766" s="405"/>
      <c r="G766" s="405"/>
      <c r="H766" s="408">
        <f>ROUND(+E766+F766+G766,4)</f>
        <v>0</v>
      </c>
      <c r="I766" s="234"/>
      <c r="J766" s="411"/>
      <c r="K766" s="411"/>
      <c r="L766" s="414">
        <v>0.1</v>
      </c>
      <c r="M766" s="414">
        <f>ROUND(+L766*C766,4)</f>
        <v>0</v>
      </c>
      <c r="N766" s="414"/>
      <c r="O766" s="414"/>
      <c r="P766" s="414"/>
      <c r="Q766" s="419">
        <f>ROUND(+N766+O766+P766,4)</f>
        <v>0</v>
      </c>
      <c r="R766" s="419">
        <f>ROUND(IF(+Q766-H766&lt;=0,0,Q766-H766),4)</f>
        <v>0</v>
      </c>
      <c r="S766" s="423">
        <v>0.5</v>
      </c>
      <c r="T766" s="419">
        <f>ROUND(+(R766*C766)*S766,4)</f>
        <v>0</v>
      </c>
      <c r="U766" s="419">
        <f>ROUND(+J766+M766+T766,4)</f>
        <v>0</v>
      </c>
      <c r="V766" s="235"/>
    </row>
    <row r="767" spans="1:22" ht="15.75" x14ac:dyDescent="0.25">
      <c r="A767" s="231"/>
      <c r="B767" s="232"/>
      <c r="C767" s="400"/>
      <c r="D767" s="233"/>
      <c r="E767" s="405"/>
      <c r="F767" s="405"/>
      <c r="G767" s="405"/>
      <c r="H767" s="408">
        <f>ROUND(+E767+F767+G767,4)</f>
        <v>0</v>
      </c>
      <c r="I767" s="234"/>
      <c r="J767" s="411"/>
      <c r="K767" s="411"/>
      <c r="L767" s="414">
        <v>0.1</v>
      </c>
      <c r="M767" s="414">
        <f>ROUND(+L767*C767,4)</f>
        <v>0</v>
      </c>
      <c r="N767" s="414"/>
      <c r="O767" s="414"/>
      <c r="P767" s="414"/>
      <c r="Q767" s="419">
        <f>ROUND(+N767+O767+P767,4)</f>
        <v>0</v>
      </c>
      <c r="R767" s="419">
        <f>ROUND(IF(+Q767-H767&lt;=0,0,Q767-H767),4)</f>
        <v>0</v>
      </c>
      <c r="S767" s="423">
        <v>0.5</v>
      </c>
      <c r="T767" s="419">
        <f>ROUND(+(R767*C767)*S767,4)</f>
        <v>0</v>
      </c>
      <c r="U767" s="419">
        <f>ROUND(+J767+M767+T767,4)</f>
        <v>0</v>
      </c>
      <c r="V767" s="235"/>
    </row>
    <row r="768" spans="1:22" ht="15.75" x14ac:dyDescent="0.25">
      <c r="A768" s="231"/>
      <c r="B768" s="232"/>
      <c r="C768" s="400"/>
      <c r="D768" s="233"/>
      <c r="E768" s="405"/>
      <c r="F768" s="405"/>
      <c r="G768" s="405"/>
      <c r="H768" s="408">
        <f>ROUND(+E768+F768+G768,4)</f>
        <v>0</v>
      </c>
      <c r="I768" s="234"/>
      <c r="J768" s="411"/>
      <c r="K768" s="411"/>
      <c r="L768" s="414">
        <v>0.1</v>
      </c>
      <c r="M768" s="414">
        <f>ROUND(+L768*C768,4)</f>
        <v>0</v>
      </c>
      <c r="N768" s="414"/>
      <c r="O768" s="414"/>
      <c r="P768" s="414"/>
      <c r="Q768" s="419">
        <f>ROUND(+N768+O768+P768,4)</f>
        <v>0</v>
      </c>
      <c r="R768" s="419">
        <f>ROUND(IF(+Q768-H768&lt;=0,0,Q768-H768),4)</f>
        <v>0</v>
      </c>
      <c r="S768" s="423">
        <v>0.5</v>
      </c>
      <c r="T768" s="419">
        <f>ROUND(+(R768*C768)*S768,4)</f>
        <v>0</v>
      </c>
      <c r="U768" s="419">
        <f>ROUND(+J768+M768+T768,4)</f>
        <v>0</v>
      </c>
      <c r="V768" s="235"/>
    </row>
    <row r="769" spans="1:22" ht="15.75" x14ac:dyDescent="0.25">
      <c r="A769" s="231"/>
      <c r="B769" s="232"/>
      <c r="C769" s="400"/>
      <c r="D769" s="233"/>
      <c r="E769" s="405"/>
      <c r="F769" s="405"/>
      <c r="G769" s="405"/>
      <c r="H769" s="408">
        <f>ROUND(+E769+F769+G769,4)</f>
        <v>0</v>
      </c>
      <c r="I769" s="234"/>
      <c r="J769" s="411"/>
      <c r="K769" s="411"/>
      <c r="L769" s="414">
        <v>0.1</v>
      </c>
      <c r="M769" s="414">
        <f>ROUND(+L769*C769,4)</f>
        <v>0</v>
      </c>
      <c r="N769" s="414"/>
      <c r="O769" s="414"/>
      <c r="P769" s="414"/>
      <c r="Q769" s="419">
        <f>ROUND(+N769+O769+P769,4)</f>
        <v>0</v>
      </c>
      <c r="R769" s="419">
        <f>ROUND(IF(+Q769-H769&lt;=0,0,Q769-H769),4)</f>
        <v>0</v>
      </c>
      <c r="S769" s="423">
        <v>0.5</v>
      </c>
      <c r="T769" s="419">
        <f>ROUND(+(R769*C769)*S769,4)</f>
        <v>0</v>
      </c>
      <c r="U769" s="419">
        <f>ROUND(+J769+M769+T769,4)</f>
        <v>0</v>
      </c>
      <c r="V769" s="235"/>
    </row>
    <row r="770" spans="1:22" ht="15.75" x14ac:dyDescent="0.25">
      <c r="A770" s="231"/>
      <c r="B770" s="232"/>
      <c r="C770" s="400"/>
      <c r="D770" s="233"/>
      <c r="E770" s="405"/>
      <c r="F770" s="405"/>
      <c r="G770" s="405"/>
      <c r="H770" s="408">
        <f>ROUND(+E770+F770+G770,4)</f>
        <v>0</v>
      </c>
      <c r="I770" s="234"/>
      <c r="J770" s="411"/>
      <c r="K770" s="411"/>
      <c r="L770" s="414">
        <v>0.1</v>
      </c>
      <c r="M770" s="414">
        <f>ROUND(+L770*C770,4)</f>
        <v>0</v>
      </c>
      <c r="N770" s="414"/>
      <c r="O770" s="414"/>
      <c r="P770" s="414"/>
      <c r="Q770" s="419">
        <f>ROUND(+N770+O770+P770,4)</f>
        <v>0</v>
      </c>
      <c r="R770" s="419">
        <f>ROUND(IF(+Q770-H770&lt;=0,0,Q770-H770),4)</f>
        <v>0</v>
      </c>
      <c r="S770" s="423">
        <v>0.5</v>
      </c>
      <c r="T770" s="419">
        <f>ROUND(+(R770*C770)*S770,4)</f>
        <v>0</v>
      </c>
      <c r="U770" s="419">
        <f>ROUND(+J770+M770+T770,4)</f>
        <v>0</v>
      </c>
      <c r="V770" s="235"/>
    </row>
    <row r="771" spans="1:22" ht="15.75" x14ac:dyDescent="0.25">
      <c r="A771" s="231"/>
      <c r="B771" s="232"/>
      <c r="C771" s="400"/>
      <c r="D771" s="233"/>
      <c r="E771" s="405"/>
      <c r="F771" s="405"/>
      <c r="G771" s="405"/>
      <c r="H771" s="408">
        <f>ROUND(+E771+F771+G771,4)</f>
        <v>0</v>
      </c>
      <c r="I771" s="234"/>
      <c r="J771" s="411"/>
      <c r="K771" s="411"/>
      <c r="L771" s="414">
        <v>0.1</v>
      </c>
      <c r="M771" s="414">
        <f>ROUND(+L771*C771,4)</f>
        <v>0</v>
      </c>
      <c r="N771" s="414"/>
      <c r="O771" s="414"/>
      <c r="P771" s="414"/>
      <c r="Q771" s="419">
        <f>ROUND(+N771+O771+P771,4)</f>
        <v>0</v>
      </c>
      <c r="R771" s="419">
        <f>ROUND(IF(+Q771-H771&lt;=0,0,Q771-H771),4)</f>
        <v>0</v>
      </c>
      <c r="S771" s="423">
        <v>0.5</v>
      </c>
      <c r="T771" s="419">
        <f>ROUND(+(R771*C771)*S771,4)</f>
        <v>0</v>
      </c>
      <c r="U771" s="419">
        <f>ROUND(+J771+M771+T771,4)</f>
        <v>0</v>
      </c>
      <c r="V771" s="235"/>
    </row>
    <row r="772" spans="1:22" ht="15.75" x14ac:dyDescent="0.25">
      <c r="A772" s="231"/>
      <c r="B772" s="232"/>
      <c r="C772" s="400"/>
      <c r="D772" s="233"/>
      <c r="E772" s="405"/>
      <c r="F772" s="405"/>
      <c r="G772" s="405"/>
      <c r="H772" s="408">
        <f>ROUND(+E772+F772+G772,4)</f>
        <v>0</v>
      </c>
      <c r="I772" s="234"/>
      <c r="J772" s="411"/>
      <c r="K772" s="411"/>
      <c r="L772" s="414">
        <v>0.1</v>
      </c>
      <c r="M772" s="414">
        <f>ROUND(+L772*C772,4)</f>
        <v>0</v>
      </c>
      <c r="N772" s="414"/>
      <c r="O772" s="414"/>
      <c r="P772" s="414"/>
      <c r="Q772" s="419">
        <f>ROUND(+N772+O772+P772,4)</f>
        <v>0</v>
      </c>
      <c r="R772" s="419">
        <f>ROUND(IF(+Q772-H772&lt;=0,0,Q772-H772),4)</f>
        <v>0</v>
      </c>
      <c r="S772" s="423">
        <v>0.5</v>
      </c>
      <c r="T772" s="419">
        <f>ROUND(+(R772*C772)*S772,4)</f>
        <v>0</v>
      </c>
      <c r="U772" s="419">
        <f>ROUND(+J772+M772+T772,4)</f>
        <v>0</v>
      </c>
      <c r="V772" s="235"/>
    </row>
    <row r="773" spans="1:22" ht="15.75" x14ac:dyDescent="0.25">
      <c r="A773" s="231"/>
      <c r="B773" s="232"/>
      <c r="C773" s="400"/>
      <c r="D773" s="233"/>
      <c r="E773" s="405"/>
      <c r="F773" s="405"/>
      <c r="G773" s="405"/>
      <c r="H773" s="408">
        <f>ROUND(+E773+F773+G773,4)</f>
        <v>0</v>
      </c>
      <c r="I773" s="234"/>
      <c r="J773" s="411"/>
      <c r="K773" s="411"/>
      <c r="L773" s="414">
        <v>0.1</v>
      </c>
      <c r="M773" s="414">
        <f>ROUND(+L773*C773,4)</f>
        <v>0</v>
      </c>
      <c r="N773" s="414"/>
      <c r="O773" s="414"/>
      <c r="P773" s="414"/>
      <c r="Q773" s="419">
        <f>ROUND(+N773+O773+P773,4)</f>
        <v>0</v>
      </c>
      <c r="R773" s="419">
        <f>ROUND(IF(+Q773-H773&lt;=0,0,Q773-H773),4)</f>
        <v>0</v>
      </c>
      <c r="S773" s="423">
        <v>0.5</v>
      </c>
      <c r="T773" s="419">
        <f>ROUND(+(R773*C773)*S773,4)</f>
        <v>0</v>
      </c>
      <c r="U773" s="419">
        <f>ROUND(+J773+M773+T773,4)</f>
        <v>0</v>
      </c>
      <c r="V773" s="235"/>
    </row>
    <row r="774" spans="1:22" ht="15.75" x14ac:dyDescent="0.25">
      <c r="A774" s="231"/>
      <c r="B774" s="232"/>
      <c r="C774" s="400"/>
      <c r="D774" s="233"/>
      <c r="E774" s="405"/>
      <c r="F774" s="405"/>
      <c r="G774" s="405"/>
      <c r="H774" s="408">
        <f>ROUND(+E774+F774+G774,4)</f>
        <v>0</v>
      </c>
      <c r="I774" s="234"/>
      <c r="J774" s="411"/>
      <c r="K774" s="411"/>
      <c r="L774" s="414">
        <v>0.1</v>
      </c>
      <c r="M774" s="414">
        <f>ROUND(+L774*C774,4)</f>
        <v>0</v>
      </c>
      <c r="N774" s="414"/>
      <c r="O774" s="414"/>
      <c r="P774" s="414"/>
      <c r="Q774" s="419">
        <f>ROUND(+N774+O774+P774,4)</f>
        <v>0</v>
      </c>
      <c r="R774" s="419">
        <f>ROUND(IF(+Q774-H774&lt;=0,0,Q774-H774),4)</f>
        <v>0</v>
      </c>
      <c r="S774" s="423">
        <v>0.5</v>
      </c>
      <c r="T774" s="419">
        <f>ROUND(+(R774*C774)*S774,4)</f>
        <v>0</v>
      </c>
      <c r="U774" s="419">
        <f>ROUND(+J774+M774+T774,4)</f>
        <v>0</v>
      </c>
      <c r="V774" s="235"/>
    </row>
    <row r="775" spans="1:22" ht="15.75" x14ac:dyDescent="0.25">
      <c r="A775" s="231"/>
      <c r="B775" s="232"/>
      <c r="C775" s="400"/>
      <c r="D775" s="233"/>
      <c r="E775" s="405"/>
      <c r="F775" s="405"/>
      <c r="G775" s="405"/>
      <c r="H775" s="408">
        <f>ROUND(+E775+F775+G775,4)</f>
        <v>0</v>
      </c>
      <c r="I775" s="234"/>
      <c r="J775" s="411"/>
      <c r="K775" s="411"/>
      <c r="L775" s="414">
        <v>0.1</v>
      </c>
      <c r="M775" s="414">
        <f>ROUND(+L775*C775,4)</f>
        <v>0</v>
      </c>
      <c r="N775" s="414"/>
      <c r="O775" s="414"/>
      <c r="P775" s="414"/>
      <c r="Q775" s="419">
        <f>ROUND(+N775+O775+P775,4)</f>
        <v>0</v>
      </c>
      <c r="R775" s="419">
        <f>ROUND(IF(+Q775-H775&lt;=0,0,Q775-H775),4)</f>
        <v>0</v>
      </c>
      <c r="S775" s="423">
        <v>0.5</v>
      </c>
      <c r="T775" s="419">
        <f>ROUND(+(R775*C775)*S775,4)</f>
        <v>0</v>
      </c>
      <c r="U775" s="419">
        <f>ROUND(+J775+M775+T775,4)</f>
        <v>0</v>
      </c>
      <c r="V775" s="235"/>
    </row>
    <row r="776" spans="1:22" ht="15.75" x14ac:dyDescent="0.25">
      <c r="A776" s="231"/>
      <c r="B776" s="232"/>
      <c r="C776" s="400"/>
      <c r="D776" s="233"/>
      <c r="E776" s="405"/>
      <c r="F776" s="405"/>
      <c r="G776" s="405"/>
      <c r="H776" s="408">
        <f>ROUND(+E776+F776+G776,4)</f>
        <v>0</v>
      </c>
      <c r="I776" s="234"/>
      <c r="J776" s="411"/>
      <c r="K776" s="411"/>
      <c r="L776" s="414">
        <v>0.1</v>
      </c>
      <c r="M776" s="414">
        <f>ROUND(+L776*C776,4)</f>
        <v>0</v>
      </c>
      <c r="N776" s="414"/>
      <c r="O776" s="414"/>
      <c r="P776" s="414"/>
      <c r="Q776" s="419">
        <f>ROUND(+N776+O776+P776,4)</f>
        <v>0</v>
      </c>
      <c r="R776" s="419">
        <f>ROUND(IF(+Q776-H776&lt;=0,0,Q776-H776),4)</f>
        <v>0</v>
      </c>
      <c r="S776" s="423">
        <v>0.5</v>
      </c>
      <c r="T776" s="419">
        <f>ROUND(+(R776*C776)*S776,4)</f>
        <v>0</v>
      </c>
      <c r="U776" s="419">
        <f>ROUND(+J776+M776+T776,4)</f>
        <v>0</v>
      </c>
      <c r="V776" s="235"/>
    </row>
    <row r="777" spans="1:22" ht="15.75" x14ac:dyDescent="0.25">
      <c r="A777" s="231"/>
      <c r="B777" s="232"/>
      <c r="C777" s="400"/>
      <c r="D777" s="233"/>
      <c r="E777" s="405"/>
      <c r="F777" s="405"/>
      <c r="G777" s="405"/>
      <c r="H777" s="408">
        <f>ROUND(+E777+F777+G777,4)</f>
        <v>0</v>
      </c>
      <c r="I777" s="234"/>
      <c r="J777" s="411"/>
      <c r="K777" s="411"/>
      <c r="L777" s="414">
        <v>0.1</v>
      </c>
      <c r="M777" s="414">
        <f>ROUND(+L777*C777,4)</f>
        <v>0</v>
      </c>
      <c r="N777" s="414"/>
      <c r="O777" s="414"/>
      <c r="P777" s="414"/>
      <c r="Q777" s="419">
        <f>ROUND(+N777+O777+P777,4)</f>
        <v>0</v>
      </c>
      <c r="R777" s="419">
        <f>ROUND(IF(+Q777-H777&lt;=0,0,Q777-H777),4)</f>
        <v>0</v>
      </c>
      <c r="S777" s="423">
        <v>0.5</v>
      </c>
      <c r="T777" s="419">
        <f>ROUND(+(R777*C777)*S777,4)</f>
        <v>0</v>
      </c>
      <c r="U777" s="419">
        <f>ROUND(+J777+M777+T777,4)</f>
        <v>0</v>
      </c>
      <c r="V777" s="235"/>
    </row>
    <row r="778" spans="1:22" ht="15.75" x14ac:dyDescent="0.25">
      <c r="A778" s="231"/>
      <c r="B778" s="232"/>
      <c r="C778" s="400"/>
      <c r="D778" s="233"/>
      <c r="E778" s="405"/>
      <c r="F778" s="405"/>
      <c r="G778" s="405"/>
      <c r="H778" s="408">
        <f>ROUND(+E778+F778+G778,4)</f>
        <v>0</v>
      </c>
      <c r="I778" s="234"/>
      <c r="J778" s="411"/>
      <c r="K778" s="411"/>
      <c r="L778" s="414">
        <v>0.1</v>
      </c>
      <c r="M778" s="414">
        <f>ROUND(+L778*C778,4)</f>
        <v>0</v>
      </c>
      <c r="N778" s="414"/>
      <c r="O778" s="414"/>
      <c r="P778" s="414"/>
      <c r="Q778" s="419">
        <f>ROUND(+N778+O778+P778,4)</f>
        <v>0</v>
      </c>
      <c r="R778" s="419">
        <f>ROUND(IF(+Q778-H778&lt;=0,0,Q778-H778),4)</f>
        <v>0</v>
      </c>
      <c r="S778" s="423">
        <v>0.5</v>
      </c>
      <c r="T778" s="419">
        <f>ROUND(+(R778*C778)*S778,4)</f>
        <v>0</v>
      </c>
      <c r="U778" s="419">
        <f>ROUND(+J778+M778+T778,4)</f>
        <v>0</v>
      </c>
      <c r="V778" s="235"/>
    </row>
    <row r="779" spans="1:22" ht="15.75" x14ac:dyDescent="0.25">
      <c r="A779" s="231"/>
      <c r="B779" s="232"/>
      <c r="C779" s="400"/>
      <c r="D779" s="233"/>
      <c r="E779" s="405"/>
      <c r="F779" s="405"/>
      <c r="G779" s="405"/>
      <c r="H779" s="408">
        <f>ROUND(+E779+F779+G779,4)</f>
        <v>0</v>
      </c>
      <c r="I779" s="234"/>
      <c r="J779" s="411"/>
      <c r="K779" s="411"/>
      <c r="L779" s="414">
        <v>0.1</v>
      </c>
      <c r="M779" s="414">
        <f>ROUND(+L779*C779,4)</f>
        <v>0</v>
      </c>
      <c r="N779" s="414"/>
      <c r="O779" s="414"/>
      <c r="P779" s="414"/>
      <c r="Q779" s="419">
        <f>ROUND(+N779+O779+P779,4)</f>
        <v>0</v>
      </c>
      <c r="R779" s="419">
        <f>ROUND(IF(+Q779-H779&lt;=0,0,Q779-H779),4)</f>
        <v>0</v>
      </c>
      <c r="S779" s="423">
        <v>0.5</v>
      </c>
      <c r="T779" s="419">
        <f>ROUND(+(R779*C779)*S779,4)</f>
        <v>0</v>
      </c>
      <c r="U779" s="419">
        <f>ROUND(+J779+M779+T779,4)</f>
        <v>0</v>
      </c>
      <c r="V779" s="235"/>
    </row>
    <row r="780" spans="1:22" ht="15.75" x14ac:dyDescent="0.25">
      <c r="A780" s="231"/>
      <c r="B780" s="232"/>
      <c r="C780" s="400"/>
      <c r="D780" s="233"/>
      <c r="E780" s="405"/>
      <c r="F780" s="405"/>
      <c r="G780" s="405"/>
      <c r="H780" s="408">
        <f>ROUND(+E780+F780+G780,4)</f>
        <v>0</v>
      </c>
      <c r="I780" s="234"/>
      <c r="J780" s="411"/>
      <c r="K780" s="411"/>
      <c r="L780" s="414">
        <v>0.1</v>
      </c>
      <c r="M780" s="414">
        <f>ROUND(+L780*C780,4)</f>
        <v>0</v>
      </c>
      <c r="N780" s="414"/>
      <c r="O780" s="414"/>
      <c r="P780" s="414"/>
      <c r="Q780" s="419">
        <f>ROUND(+N780+O780+P780,4)</f>
        <v>0</v>
      </c>
      <c r="R780" s="419">
        <f>ROUND(IF(+Q780-H780&lt;=0,0,Q780-H780),4)</f>
        <v>0</v>
      </c>
      <c r="S780" s="423">
        <v>0.5</v>
      </c>
      <c r="T780" s="419">
        <f>ROUND(+(R780*C780)*S780,4)</f>
        <v>0</v>
      </c>
      <c r="U780" s="419">
        <f>ROUND(+J780+M780+T780,4)</f>
        <v>0</v>
      </c>
      <c r="V780" s="235"/>
    </row>
    <row r="781" spans="1:22" ht="15.75" x14ac:dyDescent="0.25">
      <c r="A781" s="231"/>
      <c r="B781" s="232"/>
      <c r="C781" s="400"/>
      <c r="D781" s="233"/>
      <c r="E781" s="405"/>
      <c r="F781" s="405"/>
      <c r="G781" s="405"/>
      <c r="H781" s="408">
        <f>ROUND(+E781+F781+G781,4)</f>
        <v>0</v>
      </c>
      <c r="I781" s="234"/>
      <c r="J781" s="411"/>
      <c r="K781" s="411"/>
      <c r="L781" s="414">
        <v>0.1</v>
      </c>
      <c r="M781" s="414">
        <f>ROUND(+L781*C781,4)</f>
        <v>0</v>
      </c>
      <c r="N781" s="414"/>
      <c r="O781" s="414"/>
      <c r="P781" s="414"/>
      <c r="Q781" s="419">
        <f>ROUND(+N781+O781+P781,4)</f>
        <v>0</v>
      </c>
      <c r="R781" s="419">
        <f>ROUND(IF(+Q781-H781&lt;=0,0,Q781-H781),4)</f>
        <v>0</v>
      </c>
      <c r="S781" s="423">
        <v>0.5</v>
      </c>
      <c r="T781" s="419">
        <f>ROUND(+(R781*C781)*S781,4)</f>
        <v>0</v>
      </c>
      <c r="U781" s="419">
        <f>ROUND(+J781+M781+T781,4)</f>
        <v>0</v>
      </c>
      <c r="V781" s="235"/>
    </row>
    <row r="782" spans="1:22" ht="15.75" x14ac:dyDescent="0.25">
      <c r="A782" s="231"/>
      <c r="B782" s="232"/>
      <c r="C782" s="400"/>
      <c r="D782" s="233"/>
      <c r="E782" s="405"/>
      <c r="F782" s="405"/>
      <c r="G782" s="405"/>
      <c r="H782" s="408">
        <f>ROUND(+E782+F782+G782,4)</f>
        <v>0</v>
      </c>
      <c r="I782" s="234"/>
      <c r="J782" s="411"/>
      <c r="K782" s="411"/>
      <c r="L782" s="414">
        <v>0.1</v>
      </c>
      <c r="M782" s="414">
        <f>ROUND(+L782*C782,4)</f>
        <v>0</v>
      </c>
      <c r="N782" s="414"/>
      <c r="O782" s="414"/>
      <c r="P782" s="414"/>
      <c r="Q782" s="419">
        <f>ROUND(+N782+O782+P782,4)</f>
        <v>0</v>
      </c>
      <c r="R782" s="419">
        <f>ROUND(IF(+Q782-H782&lt;=0,0,Q782-H782),4)</f>
        <v>0</v>
      </c>
      <c r="S782" s="423">
        <v>0.5</v>
      </c>
      <c r="T782" s="419">
        <f>ROUND(+(R782*C782)*S782,4)</f>
        <v>0</v>
      </c>
      <c r="U782" s="419">
        <f>ROUND(+J782+M782+T782,4)</f>
        <v>0</v>
      </c>
      <c r="V782" s="235"/>
    </row>
    <row r="783" spans="1:22" ht="15.75" x14ac:dyDescent="0.25">
      <c r="A783" s="231"/>
      <c r="B783" s="232"/>
      <c r="C783" s="400"/>
      <c r="D783" s="233"/>
      <c r="E783" s="405"/>
      <c r="F783" s="405"/>
      <c r="G783" s="405"/>
      <c r="H783" s="408">
        <f>ROUND(+E783+F783+G783,4)</f>
        <v>0</v>
      </c>
      <c r="I783" s="234"/>
      <c r="J783" s="411"/>
      <c r="K783" s="411"/>
      <c r="L783" s="414">
        <v>0.1</v>
      </c>
      <c r="M783" s="414">
        <f>ROUND(+L783*C783,4)</f>
        <v>0</v>
      </c>
      <c r="N783" s="414"/>
      <c r="O783" s="414"/>
      <c r="P783" s="414"/>
      <c r="Q783" s="419">
        <f>ROUND(+N783+O783+P783,4)</f>
        <v>0</v>
      </c>
      <c r="R783" s="419">
        <f>ROUND(IF(+Q783-H783&lt;=0,0,Q783-H783),4)</f>
        <v>0</v>
      </c>
      <c r="S783" s="423">
        <v>0.5</v>
      </c>
      <c r="T783" s="419">
        <f>ROUND(+(R783*C783)*S783,4)</f>
        <v>0</v>
      </c>
      <c r="U783" s="419">
        <f>ROUND(+J783+M783+T783,4)</f>
        <v>0</v>
      </c>
      <c r="V783" s="235"/>
    </row>
    <row r="784" spans="1:22" ht="15.75" x14ac:dyDescent="0.25">
      <c r="A784" s="231"/>
      <c r="B784" s="232"/>
      <c r="C784" s="400"/>
      <c r="D784" s="233"/>
      <c r="E784" s="405"/>
      <c r="F784" s="405"/>
      <c r="G784" s="405"/>
      <c r="H784" s="408">
        <f>ROUND(+E784+F784+G784,4)</f>
        <v>0</v>
      </c>
      <c r="I784" s="234"/>
      <c r="J784" s="411"/>
      <c r="K784" s="411"/>
      <c r="L784" s="414">
        <v>0.1</v>
      </c>
      <c r="M784" s="414">
        <f>ROUND(+L784*C784,4)</f>
        <v>0</v>
      </c>
      <c r="N784" s="414"/>
      <c r="O784" s="414"/>
      <c r="P784" s="414"/>
      <c r="Q784" s="419">
        <f>ROUND(+N784+O784+P784,4)</f>
        <v>0</v>
      </c>
      <c r="R784" s="419">
        <f>ROUND(IF(+Q784-H784&lt;=0,0,Q784-H784),4)</f>
        <v>0</v>
      </c>
      <c r="S784" s="423">
        <v>0.5</v>
      </c>
      <c r="T784" s="419">
        <f>ROUND(+(R784*C784)*S784,4)</f>
        <v>0</v>
      </c>
      <c r="U784" s="419">
        <f>ROUND(+J784+M784+T784,4)</f>
        <v>0</v>
      </c>
      <c r="V784" s="235"/>
    </row>
    <row r="785" spans="1:22" ht="15.75" x14ac:dyDescent="0.25">
      <c r="A785" s="231"/>
      <c r="B785" s="232"/>
      <c r="C785" s="400"/>
      <c r="D785" s="233"/>
      <c r="E785" s="405"/>
      <c r="F785" s="405"/>
      <c r="G785" s="405"/>
      <c r="H785" s="408">
        <f>ROUND(+E785+F785+G785,4)</f>
        <v>0</v>
      </c>
      <c r="I785" s="234"/>
      <c r="J785" s="411"/>
      <c r="K785" s="411"/>
      <c r="L785" s="414">
        <v>0.1</v>
      </c>
      <c r="M785" s="414">
        <f>ROUND(+L785*C785,4)</f>
        <v>0</v>
      </c>
      <c r="N785" s="414"/>
      <c r="O785" s="414"/>
      <c r="P785" s="414"/>
      <c r="Q785" s="419">
        <f>ROUND(+N785+O785+P785,4)</f>
        <v>0</v>
      </c>
      <c r="R785" s="419">
        <f>ROUND(IF(+Q785-H785&lt;=0,0,Q785-H785),4)</f>
        <v>0</v>
      </c>
      <c r="S785" s="423">
        <v>0.5</v>
      </c>
      <c r="T785" s="419">
        <f>ROUND(+(R785*C785)*S785,4)</f>
        <v>0</v>
      </c>
      <c r="U785" s="419">
        <f>ROUND(+J785+M785+T785,4)</f>
        <v>0</v>
      </c>
      <c r="V785" s="235"/>
    </row>
    <row r="786" spans="1:22" ht="15.75" x14ac:dyDescent="0.25">
      <c r="A786" s="231"/>
      <c r="B786" s="232"/>
      <c r="C786" s="400"/>
      <c r="D786" s="233"/>
      <c r="E786" s="405"/>
      <c r="F786" s="405"/>
      <c r="G786" s="405"/>
      <c r="H786" s="408">
        <f>ROUND(+E786+F786+G786,4)</f>
        <v>0</v>
      </c>
      <c r="I786" s="234"/>
      <c r="J786" s="411"/>
      <c r="K786" s="411"/>
      <c r="L786" s="414">
        <v>0.1</v>
      </c>
      <c r="M786" s="414">
        <f>ROUND(+L786*C786,4)</f>
        <v>0</v>
      </c>
      <c r="N786" s="414"/>
      <c r="O786" s="414"/>
      <c r="P786" s="414"/>
      <c r="Q786" s="419">
        <f>ROUND(+N786+O786+P786,4)</f>
        <v>0</v>
      </c>
      <c r="R786" s="419">
        <f>ROUND(IF(+Q786-H786&lt;=0,0,Q786-H786),4)</f>
        <v>0</v>
      </c>
      <c r="S786" s="423">
        <v>0.5</v>
      </c>
      <c r="T786" s="419">
        <f>ROUND(+(R786*C786)*S786,4)</f>
        <v>0</v>
      </c>
      <c r="U786" s="419">
        <f>ROUND(+J786+M786+T786,4)</f>
        <v>0</v>
      </c>
      <c r="V786" s="235"/>
    </row>
    <row r="787" spans="1:22" ht="15.75" x14ac:dyDescent="0.25">
      <c r="A787" s="231"/>
      <c r="B787" s="232"/>
      <c r="C787" s="400"/>
      <c r="D787" s="233"/>
      <c r="E787" s="405"/>
      <c r="F787" s="405"/>
      <c r="G787" s="405"/>
      <c r="H787" s="408">
        <f>ROUND(+E787+F787+G787,4)</f>
        <v>0</v>
      </c>
      <c r="I787" s="234"/>
      <c r="J787" s="411"/>
      <c r="K787" s="411"/>
      <c r="L787" s="414">
        <v>0.1</v>
      </c>
      <c r="M787" s="414">
        <f>ROUND(+L787*C787,4)</f>
        <v>0</v>
      </c>
      <c r="N787" s="414"/>
      <c r="O787" s="414"/>
      <c r="P787" s="414"/>
      <c r="Q787" s="419">
        <f>ROUND(+N787+O787+P787,4)</f>
        <v>0</v>
      </c>
      <c r="R787" s="419">
        <f>ROUND(IF(+Q787-H787&lt;=0,0,Q787-H787),4)</f>
        <v>0</v>
      </c>
      <c r="S787" s="423">
        <v>0.5</v>
      </c>
      <c r="T787" s="419">
        <f>ROUND(+(R787*C787)*S787,4)</f>
        <v>0</v>
      </c>
      <c r="U787" s="419">
        <f>ROUND(+J787+M787+T787,4)</f>
        <v>0</v>
      </c>
      <c r="V787" s="235"/>
    </row>
    <row r="788" spans="1:22" ht="15.75" x14ac:dyDescent="0.25">
      <c r="A788" s="231"/>
      <c r="B788" s="232"/>
      <c r="C788" s="400"/>
      <c r="D788" s="233"/>
      <c r="E788" s="405"/>
      <c r="F788" s="405"/>
      <c r="G788" s="405"/>
      <c r="H788" s="408">
        <f>ROUND(+E788+F788+G788,4)</f>
        <v>0</v>
      </c>
      <c r="I788" s="234"/>
      <c r="J788" s="411"/>
      <c r="K788" s="411"/>
      <c r="L788" s="414">
        <v>0.1</v>
      </c>
      <c r="M788" s="414">
        <f>ROUND(+L788*C788,4)</f>
        <v>0</v>
      </c>
      <c r="N788" s="414"/>
      <c r="O788" s="414"/>
      <c r="P788" s="414"/>
      <c r="Q788" s="419">
        <f>ROUND(+N788+O788+P788,4)</f>
        <v>0</v>
      </c>
      <c r="R788" s="419">
        <f>ROUND(IF(+Q788-H788&lt;=0,0,Q788-H788),4)</f>
        <v>0</v>
      </c>
      <c r="S788" s="423">
        <v>0.5</v>
      </c>
      <c r="T788" s="419">
        <f>ROUND(+(R788*C788)*S788,4)</f>
        <v>0</v>
      </c>
      <c r="U788" s="419">
        <f>ROUND(+J788+M788+T788,4)</f>
        <v>0</v>
      </c>
      <c r="V788" s="235"/>
    </row>
    <row r="789" spans="1:22" ht="15.75" x14ac:dyDescent="0.25">
      <c r="A789" s="231"/>
      <c r="B789" s="232"/>
      <c r="C789" s="400"/>
      <c r="D789" s="233"/>
      <c r="E789" s="405"/>
      <c r="F789" s="405"/>
      <c r="G789" s="405"/>
      <c r="H789" s="408">
        <f>ROUND(+E789+F789+G789,4)</f>
        <v>0</v>
      </c>
      <c r="I789" s="234"/>
      <c r="J789" s="411"/>
      <c r="K789" s="411"/>
      <c r="L789" s="414">
        <v>0.1</v>
      </c>
      <c r="M789" s="414">
        <f>ROUND(+L789*C789,4)</f>
        <v>0</v>
      </c>
      <c r="N789" s="414"/>
      <c r="O789" s="414"/>
      <c r="P789" s="414"/>
      <c r="Q789" s="419">
        <f>ROUND(+N789+O789+P789,4)</f>
        <v>0</v>
      </c>
      <c r="R789" s="419">
        <f>ROUND(IF(+Q789-H789&lt;=0,0,Q789-H789),4)</f>
        <v>0</v>
      </c>
      <c r="S789" s="423">
        <v>0.5</v>
      </c>
      <c r="T789" s="419">
        <f>ROUND(+(R789*C789)*S789,4)</f>
        <v>0</v>
      </c>
      <c r="U789" s="419">
        <f>ROUND(+J789+M789+T789,4)</f>
        <v>0</v>
      </c>
      <c r="V789" s="235"/>
    </row>
    <row r="790" spans="1:22" ht="15.75" x14ac:dyDescent="0.25">
      <c r="A790" s="231"/>
      <c r="B790" s="232"/>
      <c r="C790" s="400"/>
      <c r="D790" s="233"/>
      <c r="E790" s="405"/>
      <c r="F790" s="405"/>
      <c r="G790" s="405"/>
      <c r="H790" s="408">
        <f>ROUND(+E790+F790+G790,4)</f>
        <v>0</v>
      </c>
      <c r="I790" s="234"/>
      <c r="J790" s="411"/>
      <c r="K790" s="411"/>
      <c r="L790" s="414">
        <v>0.1</v>
      </c>
      <c r="M790" s="414">
        <f>ROUND(+L790*C790,4)</f>
        <v>0</v>
      </c>
      <c r="N790" s="414"/>
      <c r="O790" s="414"/>
      <c r="P790" s="414"/>
      <c r="Q790" s="419">
        <f>ROUND(+N790+O790+P790,4)</f>
        <v>0</v>
      </c>
      <c r="R790" s="419">
        <f>ROUND(IF(+Q790-H790&lt;=0,0,Q790-H790),4)</f>
        <v>0</v>
      </c>
      <c r="S790" s="423">
        <v>0.5</v>
      </c>
      <c r="T790" s="419">
        <f>ROUND(+(R790*C790)*S790,4)</f>
        <v>0</v>
      </c>
      <c r="U790" s="419">
        <f>ROUND(+J790+M790+T790,4)</f>
        <v>0</v>
      </c>
      <c r="V790" s="235"/>
    </row>
    <row r="791" spans="1:22" ht="15.75" x14ac:dyDescent="0.25">
      <c r="A791" s="231"/>
      <c r="B791" s="232"/>
      <c r="C791" s="400"/>
      <c r="D791" s="233"/>
      <c r="E791" s="405"/>
      <c r="F791" s="405"/>
      <c r="G791" s="405"/>
      <c r="H791" s="408">
        <f>ROUND(+E791+F791+G791,4)</f>
        <v>0</v>
      </c>
      <c r="I791" s="234"/>
      <c r="J791" s="411"/>
      <c r="K791" s="411"/>
      <c r="L791" s="414">
        <v>0.1</v>
      </c>
      <c r="M791" s="414">
        <f>ROUND(+L791*C791,4)</f>
        <v>0</v>
      </c>
      <c r="N791" s="414"/>
      <c r="O791" s="414"/>
      <c r="P791" s="414"/>
      <c r="Q791" s="419">
        <f>ROUND(+N791+O791+P791,4)</f>
        <v>0</v>
      </c>
      <c r="R791" s="419">
        <f>ROUND(IF(+Q791-H791&lt;=0,0,Q791-H791),4)</f>
        <v>0</v>
      </c>
      <c r="S791" s="423">
        <v>0.5</v>
      </c>
      <c r="T791" s="419">
        <f>ROUND(+(R791*C791)*S791,4)</f>
        <v>0</v>
      </c>
      <c r="U791" s="419">
        <f>ROUND(+J791+M791+T791,4)</f>
        <v>0</v>
      </c>
      <c r="V791" s="235"/>
    </row>
    <row r="792" spans="1:22" ht="15.75" x14ac:dyDescent="0.25">
      <c r="A792" s="231"/>
      <c r="B792" s="232"/>
      <c r="C792" s="400"/>
      <c r="D792" s="233"/>
      <c r="E792" s="405"/>
      <c r="F792" s="405"/>
      <c r="G792" s="405"/>
      <c r="H792" s="408">
        <f>ROUND(+E792+F792+G792,4)</f>
        <v>0</v>
      </c>
      <c r="I792" s="234"/>
      <c r="J792" s="411"/>
      <c r="K792" s="411"/>
      <c r="L792" s="414">
        <v>0.1</v>
      </c>
      <c r="M792" s="414">
        <f>ROUND(+L792*C792,4)</f>
        <v>0</v>
      </c>
      <c r="N792" s="414"/>
      <c r="O792" s="414"/>
      <c r="P792" s="414"/>
      <c r="Q792" s="419">
        <f>ROUND(+N792+O792+P792,4)</f>
        <v>0</v>
      </c>
      <c r="R792" s="419">
        <f>ROUND(IF(+Q792-H792&lt;=0,0,Q792-H792),4)</f>
        <v>0</v>
      </c>
      <c r="S792" s="423">
        <v>0.5</v>
      </c>
      <c r="T792" s="419">
        <f>ROUND(+(R792*C792)*S792,4)</f>
        <v>0</v>
      </c>
      <c r="U792" s="419">
        <f>ROUND(+J792+M792+T792,4)</f>
        <v>0</v>
      </c>
      <c r="V792" s="235"/>
    </row>
    <row r="793" spans="1:22" ht="15.75" x14ac:dyDescent="0.25">
      <c r="A793" s="231"/>
      <c r="B793" s="232"/>
      <c r="C793" s="400"/>
      <c r="D793" s="233"/>
      <c r="E793" s="405"/>
      <c r="F793" s="405"/>
      <c r="G793" s="405"/>
      <c r="H793" s="408">
        <f>ROUND(+E793+F793+G793,4)</f>
        <v>0</v>
      </c>
      <c r="I793" s="234"/>
      <c r="J793" s="411"/>
      <c r="K793" s="411"/>
      <c r="L793" s="414">
        <v>0.1</v>
      </c>
      <c r="M793" s="414">
        <f>ROUND(+L793*C793,4)</f>
        <v>0</v>
      </c>
      <c r="N793" s="414"/>
      <c r="O793" s="414"/>
      <c r="P793" s="414"/>
      <c r="Q793" s="419">
        <f>ROUND(+N793+O793+P793,4)</f>
        <v>0</v>
      </c>
      <c r="R793" s="419">
        <f>ROUND(IF(+Q793-H793&lt;=0,0,Q793-H793),4)</f>
        <v>0</v>
      </c>
      <c r="S793" s="423">
        <v>0.5</v>
      </c>
      <c r="T793" s="419">
        <f>ROUND(+(R793*C793)*S793,4)</f>
        <v>0</v>
      </c>
      <c r="U793" s="419">
        <f>ROUND(+J793+M793+T793,4)</f>
        <v>0</v>
      </c>
      <c r="V793" s="235"/>
    </row>
    <row r="794" spans="1:22" ht="15.75" x14ac:dyDescent="0.25">
      <c r="A794" s="231"/>
      <c r="B794" s="232"/>
      <c r="C794" s="400"/>
      <c r="D794" s="233"/>
      <c r="E794" s="405"/>
      <c r="F794" s="405"/>
      <c r="G794" s="405"/>
      <c r="H794" s="408">
        <f>ROUND(+E794+F794+G794,4)</f>
        <v>0</v>
      </c>
      <c r="I794" s="234"/>
      <c r="J794" s="411"/>
      <c r="K794" s="411"/>
      <c r="L794" s="414">
        <v>0.1</v>
      </c>
      <c r="M794" s="414">
        <f>ROUND(+L794*C794,4)</f>
        <v>0</v>
      </c>
      <c r="N794" s="414"/>
      <c r="O794" s="414"/>
      <c r="P794" s="414"/>
      <c r="Q794" s="419">
        <f>ROUND(+N794+O794+P794,4)</f>
        <v>0</v>
      </c>
      <c r="R794" s="419">
        <f>ROUND(IF(+Q794-H794&lt;=0,0,Q794-H794),4)</f>
        <v>0</v>
      </c>
      <c r="S794" s="423">
        <v>0.5</v>
      </c>
      <c r="T794" s="419">
        <f>ROUND(+(R794*C794)*S794,4)</f>
        <v>0</v>
      </c>
      <c r="U794" s="419">
        <f>ROUND(+J794+M794+T794,4)</f>
        <v>0</v>
      </c>
      <c r="V794" s="235"/>
    </row>
    <row r="795" spans="1:22" ht="15.75" x14ac:dyDescent="0.25">
      <c r="A795" s="231"/>
      <c r="B795" s="232"/>
      <c r="C795" s="400"/>
      <c r="D795" s="233"/>
      <c r="E795" s="405"/>
      <c r="F795" s="405"/>
      <c r="G795" s="405"/>
      <c r="H795" s="408">
        <f>ROUND(+E795+F795+G795,4)</f>
        <v>0</v>
      </c>
      <c r="I795" s="234"/>
      <c r="J795" s="411"/>
      <c r="K795" s="411"/>
      <c r="L795" s="414">
        <v>0.1</v>
      </c>
      <c r="M795" s="414">
        <f>ROUND(+L795*C795,4)</f>
        <v>0</v>
      </c>
      <c r="N795" s="414"/>
      <c r="O795" s="414"/>
      <c r="P795" s="414"/>
      <c r="Q795" s="419">
        <f>ROUND(+N795+O795+P795,4)</f>
        <v>0</v>
      </c>
      <c r="R795" s="419">
        <f>ROUND(IF(+Q795-H795&lt;=0,0,Q795-H795),4)</f>
        <v>0</v>
      </c>
      <c r="S795" s="423">
        <v>0.5</v>
      </c>
      <c r="T795" s="419">
        <f>ROUND(+(R795*C795)*S795,4)</f>
        <v>0</v>
      </c>
      <c r="U795" s="419">
        <f>ROUND(+J795+M795+T795,4)</f>
        <v>0</v>
      </c>
      <c r="V795" s="235"/>
    </row>
    <row r="796" spans="1:22" ht="15.75" x14ac:dyDescent="0.25">
      <c r="A796" s="231"/>
      <c r="B796" s="232"/>
      <c r="C796" s="400"/>
      <c r="D796" s="233"/>
      <c r="E796" s="405"/>
      <c r="F796" s="405"/>
      <c r="G796" s="405"/>
      <c r="H796" s="408">
        <f>ROUND(+E796+F796+G796,4)</f>
        <v>0</v>
      </c>
      <c r="I796" s="234"/>
      <c r="J796" s="411"/>
      <c r="K796" s="411"/>
      <c r="L796" s="414">
        <v>0.1</v>
      </c>
      <c r="M796" s="414">
        <f>ROUND(+L796*C796,4)</f>
        <v>0</v>
      </c>
      <c r="N796" s="414"/>
      <c r="O796" s="414"/>
      <c r="P796" s="414"/>
      <c r="Q796" s="419">
        <f>ROUND(+N796+O796+P796,4)</f>
        <v>0</v>
      </c>
      <c r="R796" s="419">
        <f>ROUND(IF(+Q796-H796&lt;=0,0,Q796-H796),4)</f>
        <v>0</v>
      </c>
      <c r="S796" s="423">
        <v>0.5</v>
      </c>
      <c r="T796" s="419">
        <f>ROUND(+(R796*C796)*S796,4)</f>
        <v>0</v>
      </c>
      <c r="U796" s="419">
        <f>ROUND(+J796+M796+T796,4)</f>
        <v>0</v>
      </c>
      <c r="V796" s="235"/>
    </row>
    <row r="797" spans="1:22" ht="15.75" x14ac:dyDescent="0.25">
      <c r="A797" s="231"/>
      <c r="B797" s="232"/>
      <c r="C797" s="400"/>
      <c r="D797" s="233"/>
      <c r="E797" s="405"/>
      <c r="F797" s="405"/>
      <c r="G797" s="405"/>
      <c r="H797" s="408">
        <f>ROUND(+E797+F797+G797,4)</f>
        <v>0</v>
      </c>
      <c r="I797" s="234"/>
      <c r="J797" s="411"/>
      <c r="K797" s="411"/>
      <c r="L797" s="414">
        <v>0.1</v>
      </c>
      <c r="M797" s="414">
        <f>ROUND(+L797*C797,4)</f>
        <v>0</v>
      </c>
      <c r="N797" s="414"/>
      <c r="O797" s="414"/>
      <c r="P797" s="414"/>
      <c r="Q797" s="419">
        <f>ROUND(+N797+O797+P797,4)</f>
        <v>0</v>
      </c>
      <c r="R797" s="419">
        <f>ROUND(IF(+Q797-H797&lt;=0,0,Q797-H797),4)</f>
        <v>0</v>
      </c>
      <c r="S797" s="423">
        <v>0.5</v>
      </c>
      <c r="T797" s="419">
        <f>ROUND(+(R797*C797)*S797,4)</f>
        <v>0</v>
      </c>
      <c r="U797" s="419">
        <f>ROUND(+J797+M797+T797,4)</f>
        <v>0</v>
      </c>
      <c r="V797" s="235"/>
    </row>
    <row r="798" spans="1:22" ht="15.75" x14ac:dyDescent="0.25">
      <c r="A798" s="231"/>
      <c r="B798" s="232"/>
      <c r="C798" s="400"/>
      <c r="D798" s="233"/>
      <c r="E798" s="405"/>
      <c r="F798" s="405"/>
      <c r="G798" s="405"/>
      <c r="H798" s="408">
        <f>ROUND(+E798+F798+G798,4)</f>
        <v>0</v>
      </c>
      <c r="I798" s="234"/>
      <c r="J798" s="411"/>
      <c r="K798" s="411"/>
      <c r="L798" s="414">
        <v>0.1</v>
      </c>
      <c r="M798" s="414">
        <f>ROUND(+L798*C798,4)</f>
        <v>0</v>
      </c>
      <c r="N798" s="414"/>
      <c r="O798" s="414"/>
      <c r="P798" s="414"/>
      <c r="Q798" s="419">
        <f>ROUND(+N798+O798+P798,4)</f>
        <v>0</v>
      </c>
      <c r="R798" s="419">
        <f>ROUND(IF(+Q798-H798&lt;=0,0,Q798-H798),4)</f>
        <v>0</v>
      </c>
      <c r="S798" s="423">
        <v>0.5</v>
      </c>
      <c r="T798" s="419">
        <f>ROUND(+(R798*C798)*S798,4)</f>
        <v>0</v>
      </c>
      <c r="U798" s="419">
        <f>ROUND(+J798+M798+T798,4)</f>
        <v>0</v>
      </c>
      <c r="V798" s="235"/>
    </row>
    <row r="799" spans="1:22" ht="15.75" x14ac:dyDescent="0.25">
      <c r="A799" s="231"/>
      <c r="B799" s="232"/>
      <c r="C799" s="400"/>
      <c r="D799" s="233"/>
      <c r="E799" s="405"/>
      <c r="F799" s="405"/>
      <c r="G799" s="405"/>
      <c r="H799" s="408">
        <f>ROUND(+E799+F799+G799,4)</f>
        <v>0</v>
      </c>
      <c r="I799" s="234"/>
      <c r="J799" s="411"/>
      <c r="K799" s="411"/>
      <c r="L799" s="414">
        <v>0.1</v>
      </c>
      <c r="M799" s="414">
        <f>ROUND(+L799*C799,4)</f>
        <v>0</v>
      </c>
      <c r="N799" s="414"/>
      <c r="O799" s="414"/>
      <c r="P799" s="414"/>
      <c r="Q799" s="419">
        <f>ROUND(+N799+O799+P799,4)</f>
        <v>0</v>
      </c>
      <c r="R799" s="419">
        <f>ROUND(IF(+Q799-H799&lt;=0,0,Q799-H799),4)</f>
        <v>0</v>
      </c>
      <c r="S799" s="423">
        <v>0.5</v>
      </c>
      <c r="T799" s="419">
        <f>ROUND(+(R799*C799)*S799,4)</f>
        <v>0</v>
      </c>
      <c r="U799" s="419">
        <f>ROUND(+J799+M799+T799,4)</f>
        <v>0</v>
      </c>
      <c r="V799" s="235"/>
    </row>
    <row r="800" spans="1:22" ht="15.75" x14ac:dyDescent="0.25">
      <c r="A800" s="231"/>
      <c r="B800" s="232"/>
      <c r="C800" s="400"/>
      <c r="D800" s="233"/>
      <c r="E800" s="405"/>
      <c r="F800" s="405"/>
      <c r="G800" s="405"/>
      <c r="H800" s="408">
        <f>ROUND(+E800+F800+G800,4)</f>
        <v>0</v>
      </c>
      <c r="I800" s="234"/>
      <c r="J800" s="411"/>
      <c r="K800" s="411"/>
      <c r="L800" s="414">
        <v>0.1</v>
      </c>
      <c r="M800" s="414">
        <f>ROUND(+L800*C800,4)</f>
        <v>0</v>
      </c>
      <c r="N800" s="414"/>
      <c r="O800" s="414"/>
      <c r="P800" s="414"/>
      <c r="Q800" s="419">
        <f>ROUND(+N800+O800+P800,4)</f>
        <v>0</v>
      </c>
      <c r="R800" s="419">
        <f>ROUND(IF(+Q800-H800&lt;=0,0,Q800-H800),4)</f>
        <v>0</v>
      </c>
      <c r="S800" s="423">
        <v>0.5</v>
      </c>
      <c r="T800" s="419">
        <f>ROUND(+(R800*C800)*S800,4)</f>
        <v>0</v>
      </c>
      <c r="U800" s="419">
        <f>ROUND(+J800+M800+T800,4)</f>
        <v>0</v>
      </c>
      <c r="V800" s="235"/>
    </row>
    <row r="801" spans="1:22" ht="15.75" x14ac:dyDescent="0.25">
      <c r="A801" s="231"/>
      <c r="B801" s="232"/>
      <c r="C801" s="400"/>
      <c r="D801" s="233"/>
      <c r="E801" s="405"/>
      <c r="F801" s="405"/>
      <c r="G801" s="405"/>
      <c r="H801" s="408">
        <f>ROUND(+E801+F801+G801,4)</f>
        <v>0</v>
      </c>
      <c r="I801" s="234"/>
      <c r="J801" s="411"/>
      <c r="K801" s="411"/>
      <c r="L801" s="414">
        <v>0.1</v>
      </c>
      <c r="M801" s="414">
        <f>ROUND(+L801*C801,4)</f>
        <v>0</v>
      </c>
      <c r="N801" s="414"/>
      <c r="O801" s="414"/>
      <c r="P801" s="414"/>
      <c r="Q801" s="419">
        <f>ROUND(+N801+O801+P801,4)</f>
        <v>0</v>
      </c>
      <c r="R801" s="419">
        <f>ROUND(IF(+Q801-H801&lt;=0,0,Q801-H801),4)</f>
        <v>0</v>
      </c>
      <c r="S801" s="423">
        <v>0.5</v>
      </c>
      <c r="T801" s="419">
        <f>ROUND(+(R801*C801)*S801,4)</f>
        <v>0</v>
      </c>
      <c r="U801" s="419">
        <f>ROUND(+J801+M801+T801,4)</f>
        <v>0</v>
      </c>
      <c r="V801" s="235"/>
    </row>
    <row r="802" spans="1:22" ht="15.75" x14ac:dyDescent="0.25">
      <c r="A802" s="231"/>
      <c r="B802" s="232"/>
      <c r="C802" s="400"/>
      <c r="D802" s="233"/>
      <c r="E802" s="405"/>
      <c r="F802" s="405"/>
      <c r="G802" s="405"/>
      <c r="H802" s="408">
        <f>ROUND(+E802+F802+G802,4)</f>
        <v>0</v>
      </c>
      <c r="I802" s="234"/>
      <c r="J802" s="411"/>
      <c r="K802" s="411"/>
      <c r="L802" s="414">
        <v>0.1</v>
      </c>
      <c r="M802" s="414">
        <f>ROUND(+L802*C802,4)</f>
        <v>0</v>
      </c>
      <c r="N802" s="414"/>
      <c r="O802" s="414"/>
      <c r="P802" s="414"/>
      <c r="Q802" s="419">
        <f>ROUND(+N802+O802+P802,4)</f>
        <v>0</v>
      </c>
      <c r="R802" s="419">
        <f>ROUND(IF(+Q802-H802&lt;=0,0,Q802-H802),4)</f>
        <v>0</v>
      </c>
      <c r="S802" s="423">
        <v>0.5</v>
      </c>
      <c r="T802" s="419">
        <f>ROUND(+(R802*C802)*S802,4)</f>
        <v>0</v>
      </c>
      <c r="U802" s="419">
        <f>ROUND(+J802+M802+T802,4)</f>
        <v>0</v>
      </c>
      <c r="V802" s="235"/>
    </row>
    <row r="803" spans="1:22" ht="15.75" x14ac:dyDescent="0.25">
      <c r="A803" s="231"/>
      <c r="B803" s="232"/>
      <c r="C803" s="400"/>
      <c r="D803" s="233"/>
      <c r="E803" s="405"/>
      <c r="F803" s="405"/>
      <c r="G803" s="405"/>
      <c r="H803" s="408">
        <f>ROUND(+E803+F803+G803,4)</f>
        <v>0</v>
      </c>
      <c r="I803" s="234"/>
      <c r="J803" s="411"/>
      <c r="K803" s="411"/>
      <c r="L803" s="414">
        <v>0.1</v>
      </c>
      <c r="M803" s="414">
        <f>ROUND(+L803*C803,4)</f>
        <v>0</v>
      </c>
      <c r="N803" s="414"/>
      <c r="O803" s="414"/>
      <c r="P803" s="414"/>
      <c r="Q803" s="419">
        <f>ROUND(+N803+O803+P803,4)</f>
        <v>0</v>
      </c>
      <c r="R803" s="419">
        <f>ROUND(IF(+Q803-H803&lt;=0,0,Q803-H803),4)</f>
        <v>0</v>
      </c>
      <c r="S803" s="423">
        <v>0.5</v>
      </c>
      <c r="T803" s="419">
        <f>ROUND(+(R803*C803)*S803,4)</f>
        <v>0</v>
      </c>
      <c r="U803" s="419">
        <f>ROUND(+J803+M803+T803,4)</f>
        <v>0</v>
      </c>
      <c r="V803" s="235"/>
    </row>
    <row r="804" spans="1:22" ht="15.75" x14ac:dyDescent="0.25">
      <c r="A804" s="231"/>
      <c r="B804" s="232"/>
      <c r="C804" s="400"/>
      <c r="D804" s="233"/>
      <c r="E804" s="405"/>
      <c r="F804" s="405"/>
      <c r="G804" s="405"/>
      <c r="H804" s="408">
        <f>ROUND(+E804+F804+G804,4)</f>
        <v>0</v>
      </c>
      <c r="I804" s="234"/>
      <c r="J804" s="411"/>
      <c r="K804" s="411"/>
      <c r="L804" s="414">
        <v>0.1</v>
      </c>
      <c r="M804" s="414">
        <f>ROUND(+L804*C804,4)</f>
        <v>0</v>
      </c>
      <c r="N804" s="414"/>
      <c r="O804" s="414"/>
      <c r="P804" s="414"/>
      <c r="Q804" s="419">
        <f>ROUND(+N804+O804+P804,4)</f>
        <v>0</v>
      </c>
      <c r="R804" s="419">
        <f>ROUND(IF(+Q804-H804&lt;=0,0,Q804-H804),4)</f>
        <v>0</v>
      </c>
      <c r="S804" s="423">
        <v>0.5</v>
      </c>
      <c r="T804" s="419">
        <f>ROUND(+(R804*C804)*S804,4)</f>
        <v>0</v>
      </c>
      <c r="U804" s="419">
        <f>ROUND(+J804+M804+T804,4)</f>
        <v>0</v>
      </c>
      <c r="V804" s="235"/>
    </row>
    <row r="805" spans="1:22" ht="15.75" x14ac:dyDescent="0.25">
      <c r="A805" s="231"/>
      <c r="B805" s="232"/>
      <c r="C805" s="400"/>
      <c r="D805" s="233"/>
      <c r="E805" s="405"/>
      <c r="F805" s="405"/>
      <c r="G805" s="405"/>
      <c r="H805" s="408">
        <f>ROUND(+E805+F805+G805,4)</f>
        <v>0</v>
      </c>
      <c r="I805" s="234"/>
      <c r="J805" s="411"/>
      <c r="K805" s="411"/>
      <c r="L805" s="414">
        <v>0.1</v>
      </c>
      <c r="M805" s="414">
        <f>ROUND(+L805*C805,4)</f>
        <v>0</v>
      </c>
      <c r="N805" s="414"/>
      <c r="O805" s="414"/>
      <c r="P805" s="414"/>
      <c r="Q805" s="419">
        <f>ROUND(+N805+O805+P805,4)</f>
        <v>0</v>
      </c>
      <c r="R805" s="419">
        <f>ROUND(IF(+Q805-H805&lt;=0,0,Q805-H805),4)</f>
        <v>0</v>
      </c>
      <c r="S805" s="423">
        <v>0.5</v>
      </c>
      <c r="T805" s="419">
        <f>ROUND(+(R805*C805)*S805,4)</f>
        <v>0</v>
      </c>
      <c r="U805" s="419">
        <f>ROUND(+J805+M805+T805,4)</f>
        <v>0</v>
      </c>
      <c r="V805" s="235"/>
    </row>
    <row r="806" spans="1:22" ht="15.75" x14ac:dyDescent="0.25">
      <c r="A806" s="231"/>
      <c r="B806" s="232"/>
      <c r="C806" s="400"/>
      <c r="D806" s="233"/>
      <c r="E806" s="405"/>
      <c r="F806" s="405"/>
      <c r="G806" s="405"/>
      <c r="H806" s="408">
        <f>ROUND(+E806+F806+G806,4)</f>
        <v>0</v>
      </c>
      <c r="I806" s="234"/>
      <c r="J806" s="411"/>
      <c r="K806" s="411"/>
      <c r="L806" s="414">
        <v>0.1</v>
      </c>
      <c r="M806" s="414">
        <f>ROUND(+L806*C806,4)</f>
        <v>0</v>
      </c>
      <c r="N806" s="414"/>
      <c r="O806" s="414"/>
      <c r="P806" s="414"/>
      <c r="Q806" s="419">
        <f>ROUND(+N806+O806+P806,4)</f>
        <v>0</v>
      </c>
      <c r="R806" s="419">
        <f>ROUND(IF(+Q806-H806&lt;=0,0,Q806-H806),4)</f>
        <v>0</v>
      </c>
      <c r="S806" s="423">
        <v>0.5</v>
      </c>
      <c r="T806" s="419">
        <f>ROUND(+(R806*C806)*S806,4)</f>
        <v>0</v>
      </c>
      <c r="U806" s="419">
        <f>ROUND(+J806+M806+T806,4)</f>
        <v>0</v>
      </c>
      <c r="V806" s="235"/>
    </row>
    <row r="807" spans="1:22" ht="15.75" x14ac:dyDescent="0.25">
      <c r="A807" s="231"/>
      <c r="B807" s="232"/>
      <c r="C807" s="400"/>
      <c r="D807" s="233"/>
      <c r="E807" s="405"/>
      <c r="F807" s="405"/>
      <c r="G807" s="405"/>
      <c r="H807" s="408">
        <f>ROUND(+E807+F807+G807,4)</f>
        <v>0</v>
      </c>
      <c r="I807" s="234"/>
      <c r="J807" s="411"/>
      <c r="K807" s="411"/>
      <c r="L807" s="414">
        <v>0.1</v>
      </c>
      <c r="M807" s="414">
        <f>ROUND(+L807*C807,4)</f>
        <v>0</v>
      </c>
      <c r="N807" s="414"/>
      <c r="O807" s="414"/>
      <c r="P807" s="414"/>
      <c r="Q807" s="419">
        <f>ROUND(+N807+O807+P807,4)</f>
        <v>0</v>
      </c>
      <c r="R807" s="419">
        <f>ROUND(IF(+Q807-H807&lt;=0,0,Q807-H807),4)</f>
        <v>0</v>
      </c>
      <c r="S807" s="423">
        <v>0.5</v>
      </c>
      <c r="T807" s="419">
        <f>ROUND(+(R807*C807)*S807,4)</f>
        <v>0</v>
      </c>
      <c r="U807" s="419">
        <f>ROUND(+J807+M807+T807,4)</f>
        <v>0</v>
      </c>
      <c r="V807" s="235"/>
    </row>
    <row r="808" spans="1:22" ht="15.75" x14ac:dyDescent="0.25">
      <c r="A808" s="231"/>
      <c r="B808" s="232"/>
      <c r="C808" s="400"/>
      <c r="D808" s="233"/>
      <c r="E808" s="405"/>
      <c r="F808" s="405"/>
      <c r="G808" s="405"/>
      <c r="H808" s="408">
        <f>ROUND(+E808+F808+G808,4)</f>
        <v>0</v>
      </c>
      <c r="I808" s="234"/>
      <c r="J808" s="411"/>
      <c r="K808" s="411"/>
      <c r="L808" s="414">
        <v>0.1</v>
      </c>
      <c r="M808" s="414">
        <f>ROUND(+L808*C808,4)</f>
        <v>0</v>
      </c>
      <c r="N808" s="414"/>
      <c r="O808" s="414"/>
      <c r="P808" s="414"/>
      <c r="Q808" s="419">
        <f>ROUND(+N808+O808+P808,4)</f>
        <v>0</v>
      </c>
      <c r="R808" s="419">
        <f>ROUND(IF(+Q808-H808&lt;=0,0,Q808-H808),4)</f>
        <v>0</v>
      </c>
      <c r="S808" s="423">
        <v>0.5</v>
      </c>
      <c r="T808" s="419">
        <f>ROUND(+(R808*C808)*S808,4)</f>
        <v>0</v>
      </c>
      <c r="U808" s="419">
        <f>ROUND(+J808+M808+T808,4)</f>
        <v>0</v>
      </c>
      <c r="V808" s="235"/>
    </row>
    <row r="809" spans="1:22" ht="15.75" x14ac:dyDescent="0.25">
      <c r="A809" s="231"/>
      <c r="B809" s="232"/>
      <c r="C809" s="400"/>
      <c r="D809" s="233"/>
      <c r="E809" s="405"/>
      <c r="F809" s="405"/>
      <c r="G809" s="405"/>
      <c r="H809" s="408">
        <f>ROUND(+E809+F809+G809,4)</f>
        <v>0</v>
      </c>
      <c r="I809" s="234"/>
      <c r="J809" s="411"/>
      <c r="K809" s="411"/>
      <c r="L809" s="414">
        <v>0.1</v>
      </c>
      <c r="M809" s="414">
        <f>ROUND(+L809*C809,4)</f>
        <v>0</v>
      </c>
      <c r="N809" s="414"/>
      <c r="O809" s="414"/>
      <c r="P809" s="414"/>
      <c r="Q809" s="419">
        <f>ROUND(+N809+O809+P809,4)</f>
        <v>0</v>
      </c>
      <c r="R809" s="419">
        <f>ROUND(IF(+Q809-H809&lt;=0,0,Q809-H809),4)</f>
        <v>0</v>
      </c>
      <c r="S809" s="423">
        <v>0.5</v>
      </c>
      <c r="T809" s="419">
        <f>ROUND(+(R809*C809)*S809,4)</f>
        <v>0</v>
      </c>
      <c r="U809" s="419">
        <f>ROUND(+J809+M809+T809,4)</f>
        <v>0</v>
      </c>
      <c r="V809" s="235"/>
    </row>
    <row r="810" spans="1:22" ht="15.75" x14ac:dyDescent="0.25">
      <c r="A810" s="231"/>
      <c r="B810" s="232"/>
      <c r="C810" s="400"/>
      <c r="D810" s="233"/>
      <c r="E810" s="405"/>
      <c r="F810" s="405"/>
      <c r="G810" s="405"/>
      <c r="H810" s="408">
        <f>ROUND(+E810+F810+G810,4)</f>
        <v>0</v>
      </c>
      <c r="I810" s="234"/>
      <c r="J810" s="411"/>
      <c r="K810" s="411"/>
      <c r="L810" s="414">
        <v>0.1</v>
      </c>
      <c r="M810" s="414">
        <f>ROUND(+L810*C810,4)</f>
        <v>0</v>
      </c>
      <c r="N810" s="414"/>
      <c r="O810" s="414"/>
      <c r="P810" s="414"/>
      <c r="Q810" s="419">
        <f>ROUND(+N810+O810+P810,4)</f>
        <v>0</v>
      </c>
      <c r="R810" s="419">
        <f>ROUND(IF(+Q810-H810&lt;=0,0,Q810-H810),4)</f>
        <v>0</v>
      </c>
      <c r="S810" s="423">
        <v>0.5</v>
      </c>
      <c r="T810" s="419">
        <f>ROUND(+(R810*C810)*S810,4)</f>
        <v>0</v>
      </c>
      <c r="U810" s="419">
        <f>ROUND(+J810+M810+T810,4)</f>
        <v>0</v>
      </c>
      <c r="V810" s="235"/>
    </row>
    <row r="811" spans="1:22" ht="15.75" x14ac:dyDescent="0.25">
      <c r="A811" s="231"/>
      <c r="B811" s="232"/>
      <c r="C811" s="400"/>
      <c r="D811" s="233"/>
      <c r="E811" s="405"/>
      <c r="F811" s="405"/>
      <c r="G811" s="405"/>
      <c r="H811" s="408">
        <f>ROUND(+E811+F811+G811,4)</f>
        <v>0</v>
      </c>
      <c r="I811" s="234"/>
      <c r="J811" s="411"/>
      <c r="K811" s="411"/>
      <c r="L811" s="414">
        <v>0.1</v>
      </c>
      <c r="M811" s="414">
        <f>ROUND(+L811*C811,4)</f>
        <v>0</v>
      </c>
      <c r="N811" s="414"/>
      <c r="O811" s="414"/>
      <c r="P811" s="414"/>
      <c r="Q811" s="419">
        <f>ROUND(+N811+O811+P811,4)</f>
        <v>0</v>
      </c>
      <c r="R811" s="419">
        <f>ROUND(IF(+Q811-H811&lt;=0,0,Q811-H811),4)</f>
        <v>0</v>
      </c>
      <c r="S811" s="423">
        <v>0.5</v>
      </c>
      <c r="T811" s="419">
        <f>ROUND(+(R811*C811)*S811,4)</f>
        <v>0</v>
      </c>
      <c r="U811" s="419">
        <f>ROUND(+J811+M811+T811,4)</f>
        <v>0</v>
      </c>
      <c r="V811" s="235"/>
    </row>
    <row r="812" spans="1:22" ht="15.75" x14ac:dyDescent="0.25">
      <c r="A812" s="231"/>
      <c r="B812" s="232"/>
      <c r="C812" s="400"/>
      <c r="D812" s="233"/>
      <c r="E812" s="405"/>
      <c r="F812" s="405"/>
      <c r="G812" s="405"/>
      <c r="H812" s="408">
        <f>ROUND(+E812+F812+G812,4)</f>
        <v>0</v>
      </c>
      <c r="I812" s="234"/>
      <c r="J812" s="411"/>
      <c r="K812" s="411"/>
      <c r="L812" s="414">
        <v>0.1</v>
      </c>
      <c r="M812" s="414">
        <f>ROUND(+L812*C812,4)</f>
        <v>0</v>
      </c>
      <c r="N812" s="414"/>
      <c r="O812" s="414"/>
      <c r="P812" s="414"/>
      <c r="Q812" s="419">
        <f>ROUND(+N812+O812+P812,4)</f>
        <v>0</v>
      </c>
      <c r="R812" s="419">
        <f>ROUND(IF(+Q812-H812&lt;=0,0,Q812-H812),4)</f>
        <v>0</v>
      </c>
      <c r="S812" s="423">
        <v>0.5</v>
      </c>
      <c r="T812" s="419">
        <f>ROUND(+(R812*C812)*S812,4)</f>
        <v>0</v>
      </c>
      <c r="U812" s="419">
        <f>ROUND(+J812+M812+T812,4)</f>
        <v>0</v>
      </c>
      <c r="V812" s="235"/>
    </row>
    <row r="813" spans="1:22" ht="15.75" x14ac:dyDescent="0.25">
      <c r="A813" s="231"/>
      <c r="B813" s="232"/>
      <c r="C813" s="400"/>
      <c r="D813" s="233"/>
      <c r="E813" s="405"/>
      <c r="F813" s="405"/>
      <c r="G813" s="405"/>
      <c r="H813" s="408">
        <f>ROUND(+E813+F813+G813,4)</f>
        <v>0</v>
      </c>
      <c r="I813" s="234"/>
      <c r="J813" s="411"/>
      <c r="K813" s="411"/>
      <c r="L813" s="414">
        <v>0.1</v>
      </c>
      <c r="M813" s="414">
        <f>ROUND(+L813*C813,4)</f>
        <v>0</v>
      </c>
      <c r="N813" s="414"/>
      <c r="O813" s="414"/>
      <c r="P813" s="414"/>
      <c r="Q813" s="419">
        <f>ROUND(+N813+O813+P813,4)</f>
        <v>0</v>
      </c>
      <c r="R813" s="419">
        <f>ROUND(IF(+Q813-H813&lt;=0,0,Q813-H813),4)</f>
        <v>0</v>
      </c>
      <c r="S813" s="423">
        <v>0.5</v>
      </c>
      <c r="T813" s="419">
        <f>ROUND(+(R813*C813)*S813,4)</f>
        <v>0</v>
      </c>
      <c r="U813" s="419">
        <f>ROUND(+J813+M813+T813,4)</f>
        <v>0</v>
      </c>
      <c r="V813" s="235"/>
    </row>
    <row r="814" spans="1:22" ht="15.75" x14ac:dyDescent="0.25">
      <c r="A814" s="231"/>
      <c r="B814" s="232"/>
      <c r="C814" s="400"/>
      <c r="D814" s="233"/>
      <c r="E814" s="405"/>
      <c r="F814" s="405"/>
      <c r="G814" s="405"/>
      <c r="H814" s="408">
        <f>ROUND(+E814+F814+G814,4)</f>
        <v>0</v>
      </c>
      <c r="I814" s="234"/>
      <c r="J814" s="411"/>
      <c r="K814" s="411"/>
      <c r="L814" s="414">
        <v>0.1</v>
      </c>
      <c r="M814" s="414">
        <f>ROUND(+L814*C814,4)</f>
        <v>0</v>
      </c>
      <c r="N814" s="414"/>
      <c r="O814" s="414"/>
      <c r="P814" s="414"/>
      <c r="Q814" s="419">
        <f>ROUND(+N814+O814+P814,4)</f>
        <v>0</v>
      </c>
      <c r="R814" s="419">
        <f>ROUND(IF(+Q814-H814&lt;=0,0,Q814-H814),4)</f>
        <v>0</v>
      </c>
      <c r="S814" s="423">
        <v>0.5</v>
      </c>
      <c r="T814" s="419">
        <f>ROUND(+(R814*C814)*S814,4)</f>
        <v>0</v>
      </c>
      <c r="U814" s="419">
        <f>ROUND(+J814+M814+T814,4)</f>
        <v>0</v>
      </c>
      <c r="V814" s="235"/>
    </row>
    <row r="815" spans="1:22" ht="15.75" x14ac:dyDescent="0.25">
      <c r="A815" s="231"/>
      <c r="B815" s="232"/>
      <c r="C815" s="400"/>
      <c r="D815" s="233"/>
      <c r="E815" s="405"/>
      <c r="F815" s="405"/>
      <c r="G815" s="405"/>
      <c r="H815" s="408">
        <f>ROUND(+E815+F815+G815,4)</f>
        <v>0</v>
      </c>
      <c r="I815" s="234"/>
      <c r="J815" s="411"/>
      <c r="K815" s="411"/>
      <c r="L815" s="414">
        <v>0.1</v>
      </c>
      <c r="M815" s="414">
        <f>ROUND(+L815*C815,4)</f>
        <v>0</v>
      </c>
      <c r="N815" s="414"/>
      <c r="O815" s="414"/>
      <c r="P815" s="414"/>
      <c r="Q815" s="419">
        <f>ROUND(+N815+O815+P815,4)</f>
        <v>0</v>
      </c>
      <c r="R815" s="419">
        <f>ROUND(IF(+Q815-H815&lt;=0,0,Q815-H815),4)</f>
        <v>0</v>
      </c>
      <c r="S815" s="423">
        <v>0.5</v>
      </c>
      <c r="T815" s="419">
        <f>ROUND(+(R815*C815)*S815,4)</f>
        <v>0</v>
      </c>
      <c r="U815" s="419">
        <f>ROUND(+J815+M815+T815,4)</f>
        <v>0</v>
      </c>
      <c r="V815" s="235"/>
    </row>
    <row r="816" spans="1:22" ht="15.75" x14ac:dyDescent="0.25">
      <c r="A816" s="231"/>
      <c r="B816" s="232"/>
      <c r="C816" s="400"/>
      <c r="D816" s="233"/>
      <c r="E816" s="405"/>
      <c r="F816" s="405"/>
      <c r="G816" s="405"/>
      <c r="H816" s="408">
        <f>ROUND(+E816+F816+G816,4)</f>
        <v>0</v>
      </c>
      <c r="I816" s="234"/>
      <c r="J816" s="411"/>
      <c r="K816" s="411"/>
      <c r="L816" s="414">
        <v>0.1</v>
      </c>
      <c r="M816" s="414">
        <f>ROUND(+L816*C816,4)</f>
        <v>0</v>
      </c>
      <c r="N816" s="414"/>
      <c r="O816" s="414"/>
      <c r="P816" s="414"/>
      <c r="Q816" s="419">
        <f>ROUND(+N816+O816+P816,4)</f>
        <v>0</v>
      </c>
      <c r="R816" s="419">
        <f>ROUND(IF(+Q816-H816&lt;=0,0,Q816-H816),4)</f>
        <v>0</v>
      </c>
      <c r="S816" s="423">
        <v>0.5</v>
      </c>
      <c r="T816" s="419">
        <f>ROUND(+(R816*C816)*S816,4)</f>
        <v>0</v>
      </c>
      <c r="U816" s="419">
        <f>ROUND(+J816+M816+T816,4)</f>
        <v>0</v>
      </c>
      <c r="V816" s="235"/>
    </row>
    <row r="817" spans="1:22" ht="15.75" x14ac:dyDescent="0.25">
      <c r="A817" s="231"/>
      <c r="B817" s="232"/>
      <c r="C817" s="400"/>
      <c r="D817" s="233"/>
      <c r="E817" s="405"/>
      <c r="F817" s="405"/>
      <c r="G817" s="405"/>
      <c r="H817" s="408">
        <f>ROUND(+E817+F817+G817,4)</f>
        <v>0</v>
      </c>
      <c r="I817" s="234"/>
      <c r="J817" s="411"/>
      <c r="K817" s="411"/>
      <c r="L817" s="414">
        <v>0.1</v>
      </c>
      <c r="M817" s="414">
        <f>ROUND(+L817*C817,4)</f>
        <v>0</v>
      </c>
      <c r="N817" s="414"/>
      <c r="O817" s="414"/>
      <c r="P817" s="414"/>
      <c r="Q817" s="419">
        <f>ROUND(+N817+O817+P817,4)</f>
        <v>0</v>
      </c>
      <c r="R817" s="419">
        <f>ROUND(IF(+Q817-H817&lt;=0,0,Q817-H817),4)</f>
        <v>0</v>
      </c>
      <c r="S817" s="423">
        <v>0.5</v>
      </c>
      <c r="T817" s="419">
        <f>ROUND(+(R817*C817)*S817,4)</f>
        <v>0</v>
      </c>
      <c r="U817" s="419">
        <f>ROUND(+J817+M817+T817,4)</f>
        <v>0</v>
      </c>
      <c r="V817" s="235"/>
    </row>
    <row r="818" spans="1:22" ht="15.75" x14ac:dyDescent="0.25">
      <c r="A818" s="231"/>
      <c r="B818" s="232"/>
      <c r="C818" s="400"/>
      <c r="D818" s="233"/>
      <c r="E818" s="405"/>
      <c r="F818" s="405"/>
      <c r="G818" s="405"/>
      <c r="H818" s="408">
        <f>ROUND(+E818+F818+G818,4)</f>
        <v>0</v>
      </c>
      <c r="I818" s="234"/>
      <c r="J818" s="411"/>
      <c r="K818" s="411"/>
      <c r="L818" s="414">
        <v>0.1</v>
      </c>
      <c r="M818" s="414">
        <f>ROUND(+L818*C818,4)</f>
        <v>0</v>
      </c>
      <c r="N818" s="414"/>
      <c r="O818" s="414"/>
      <c r="P818" s="414"/>
      <c r="Q818" s="419">
        <f>ROUND(+N818+O818+P818,4)</f>
        <v>0</v>
      </c>
      <c r="R818" s="419">
        <f>ROUND(IF(+Q818-H818&lt;=0,0,Q818-H818),4)</f>
        <v>0</v>
      </c>
      <c r="S818" s="423">
        <v>0.5</v>
      </c>
      <c r="T818" s="419">
        <f>ROUND(+(R818*C818)*S818,4)</f>
        <v>0</v>
      </c>
      <c r="U818" s="419">
        <f>ROUND(+J818+M818+T818,4)</f>
        <v>0</v>
      </c>
      <c r="V818" s="235"/>
    </row>
    <row r="819" spans="1:22" ht="15.75" x14ac:dyDescent="0.25">
      <c r="A819" s="231"/>
      <c r="B819" s="232"/>
      <c r="C819" s="400"/>
      <c r="D819" s="233"/>
      <c r="E819" s="405"/>
      <c r="F819" s="405"/>
      <c r="G819" s="405"/>
      <c r="H819" s="408">
        <f>ROUND(+E819+F819+G819,4)</f>
        <v>0</v>
      </c>
      <c r="I819" s="234"/>
      <c r="J819" s="411"/>
      <c r="K819" s="411"/>
      <c r="L819" s="414">
        <v>0.1</v>
      </c>
      <c r="M819" s="414">
        <f>ROUND(+L819*C819,4)</f>
        <v>0</v>
      </c>
      <c r="N819" s="414"/>
      <c r="O819" s="414"/>
      <c r="P819" s="414"/>
      <c r="Q819" s="419">
        <f>ROUND(+N819+O819+P819,4)</f>
        <v>0</v>
      </c>
      <c r="R819" s="419">
        <f>ROUND(IF(+Q819-H819&lt;=0,0,Q819-H819),4)</f>
        <v>0</v>
      </c>
      <c r="S819" s="423">
        <v>0.5</v>
      </c>
      <c r="T819" s="419">
        <f>ROUND(+(R819*C819)*S819,4)</f>
        <v>0</v>
      </c>
      <c r="U819" s="419">
        <f>ROUND(+J819+M819+T819,4)</f>
        <v>0</v>
      </c>
      <c r="V819" s="235"/>
    </row>
    <row r="820" spans="1:22" ht="15.75" x14ac:dyDescent="0.25">
      <c r="A820" s="231"/>
      <c r="B820" s="232"/>
      <c r="C820" s="400"/>
      <c r="D820" s="233"/>
      <c r="E820" s="405"/>
      <c r="F820" s="405"/>
      <c r="G820" s="405"/>
      <c r="H820" s="408">
        <f>ROUND(+E820+F820+G820,4)</f>
        <v>0</v>
      </c>
      <c r="I820" s="234"/>
      <c r="J820" s="411"/>
      <c r="K820" s="411"/>
      <c r="L820" s="414">
        <v>0.1</v>
      </c>
      <c r="M820" s="414">
        <f>ROUND(+L820*C820,4)</f>
        <v>0</v>
      </c>
      <c r="N820" s="414"/>
      <c r="O820" s="414"/>
      <c r="P820" s="414"/>
      <c r="Q820" s="419">
        <f>ROUND(+N820+O820+P820,4)</f>
        <v>0</v>
      </c>
      <c r="R820" s="419">
        <f>ROUND(IF(+Q820-H820&lt;=0,0,Q820-H820),4)</f>
        <v>0</v>
      </c>
      <c r="S820" s="423">
        <v>0.5</v>
      </c>
      <c r="T820" s="419">
        <f>ROUND(+(R820*C820)*S820,4)</f>
        <v>0</v>
      </c>
      <c r="U820" s="419">
        <f>ROUND(+J820+M820+T820,4)</f>
        <v>0</v>
      </c>
      <c r="V820" s="235"/>
    </row>
    <row r="821" spans="1:22" ht="15.75" x14ac:dyDescent="0.25">
      <c r="A821" s="231"/>
      <c r="B821" s="232"/>
      <c r="C821" s="400"/>
      <c r="D821" s="233"/>
      <c r="E821" s="405"/>
      <c r="F821" s="405"/>
      <c r="G821" s="405"/>
      <c r="H821" s="408">
        <f>ROUND(+E821+F821+G821,4)</f>
        <v>0</v>
      </c>
      <c r="I821" s="234"/>
      <c r="J821" s="411"/>
      <c r="K821" s="411"/>
      <c r="L821" s="414">
        <v>0.1</v>
      </c>
      <c r="M821" s="414">
        <f>ROUND(+L821*C821,4)</f>
        <v>0</v>
      </c>
      <c r="N821" s="414"/>
      <c r="O821" s="414"/>
      <c r="P821" s="414"/>
      <c r="Q821" s="419">
        <f>ROUND(+N821+O821+P821,4)</f>
        <v>0</v>
      </c>
      <c r="R821" s="419">
        <f>ROUND(IF(+Q821-H821&lt;=0,0,Q821-H821),4)</f>
        <v>0</v>
      </c>
      <c r="S821" s="423">
        <v>0.5</v>
      </c>
      <c r="T821" s="419">
        <f>ROUND(+(R821*C821)*S821,4)</f>
        <v>0</v>
      </c>
      <c r="U821" s="419">
        <f>ROUND(+J821+M821+T821,4)</f>
        <v>0</v>
      </c>
      <c r="V821" s="235"/>
    </row>
    <row r="822" spans="1:22" ht="15.75" x14ac:dyDescent="0.25">
      <c r="A822" s="231"/>
      <c r="B822" s="232"/>
      <c r="C822" s="400"/>
      <c r="D822" s="233"/>
      <c r="E822" s="405"/>
      <c r="F822" s="405"/>
      <c r="G822" s="405"/>
      <c r="H822" s="408">
        <f>ROUND(+E822+F822+G822,4)</f>
        <v>0</v>
      </c>
      <c r="I822" s="234"/>
      <c r="J822" s="411"/>
      <c r="K822" s="411"/>
      <c r="L822" s="414">
        <v>0.1</v>
      </c>
      <c r="M822" s="414">
        <f>ROUND(+L822*C822,4)</f>
        <v>0</v>
      </c>
      <c r="N822" s="414"/>
      <c r="O822" s="414"/>
      <c r="P822" s="414"/>
      <c r="Q822" s="419">
        <f>ROUND(+N822+O822+P822,4)</f>
        <v>0</v>
      </c>
      <c r="R822" s="419">
        <f>ROUND(IF(+Q822-H822&lt;=0,0,Q822-H822),4)</f>
        <v>0</v>
      </c>
      <c r="S822" s="423">
        <v>0.5</v>
      </c>
      <c r="T822" s="419">
        <f>ROUND(+(R822*C822)*S822,4)</f>
        <v>0</v>
      </c>
      <c r="U822" s="419">
        <f>ROUND(+J822+M822+T822,4)</f>
        <v>0</v>
      </c>
      <c r="V822" s="235"/>
    </row>
    <row r="823" spans="1:22" ht="15.75" x14ac:dyDescent="0.25">
      <c r="A823" s="231"/>
      <c r="B823" s="232"/>
      <c r="C823" s="400"/>
      <c r="D823" s="233"/>
      <c r="E823" s="405"/>
      <c r="F823" s="405"/>
      <c r="G823" s="405"/>
      <c r="H823" s="408">
        <f>ROUND(+E823+F823+G823,4)</f>
        <v>0</v>
      </c>
      <c r="I823" s="234"/>
      <c r="J823" s="411"/>
      <c r="K823" s="411"/>
      <c r="L823" s="414">
        <v>0.1</v>
      </c>
      <c r="M823" s="414">
        <f>ROUND(+L823*C823,4)</f>
        <v>0</v>
      </c>
      <c r="N823" s="414"/>
      <c r="O823" s="414"/>
      <c r="P823" s="414"/>
      <c r="Q823" s="419">
        <f>ROUND(+N823+O823+P823,4)</f>
        <v>0</v>
      </c>
      <c r="R823" s="419">
        <f>ROUND(IF(+Q823-H823&lt;=0,0,Q823-H823),4)</f>
        <v>0</v>
      </c>
      <c r="S823" s="423">
        <v>0.5</v>
      </c>
      <c r="T823" s="419">
        <f>ROUND(+(R823*C823)*S823,4)</f>
        <v>0</v>
      </c>
      <c r="U823" s="419">
        <f>ROUND(+J823+M823+T823,4)</f>
        <v>0</v>
      </c>
      <c r="V823" s="235"/>
    </row>
    <row r="824" spans="1:22" ht="15.75" x14ac:dyDescent="0.25">
      <c r="A824" s="231"/>
      <c r="B824" s="232"/>
      <c r="C824" s="400"/>
      <c r="D824" s="233"/>
      <c r="E824" s="405"/>
      <c r="F824" s="405"/>
      <c r="G824" s="405"/>
      <c r="H824" s="408">
        <f>ROUND(+E824+F824+G824,4)</f>
        <v>0</v>
      </c>
      <c r="I824" s="234"/>
      <c r="J824" s="411"/>
      <c r="K824" s="411"/>
      <c r="L824" s="414">
        <v>0.1</v>
      </c>
      <c r="M824" s="414">
        <f>ROUND(+L824*C824,4)</f>
        <v>0</v>
      </c>
      <c r="N824" s="414"/>
      <c r="O824" s="414"/>
      <c r="P824" s="414"/>
      <c r="Q824" s="419">
        <f>ROUND(+N824+O824+P824,4)</f>
        <v>0</v>
      </c>
      <c r="R824" s="419">
        <f>ROUND(IF(+Q824-H824&lt;=0,0,Q824-H824),4)</f>
        <v>0</v>
      </c>
      <c r="S824" s="423">
        <v>0.5</v>
      </c>
      <c r="T824" s="419">
        <f>ROUND(+(R824*C824)*S824,4)</f>
        <v>0</v>
      </c>
      <c r="U824" s="419">
        <f>ROUND(+J824+M824+T824,4)</f>
        <v>0</v>
      </c>
      <c r="V824" s="235"/>
    </row>
    <row r="825" spans="1:22" ht="15.75" x14ac:dyDescent="0.25">
      <c r="A825" s="231"/>
      <c r="B825" s="232"/>
      <c r="C825" s="400"/>
      <c r="D825" s="233"/>
      <c r="E825" s="405"/>
      <c r="F825" s="405"/>
      <c r="G825" s="405"/>
      <c r="H825" s="408">
        <f>ROUND(+E825+F825+G825,4)</f>
        <v>0</v>
      </c>
      <c r="I825" s="234"/>
      <c r="J825" s="411"/>
      <c r="K825" s="411"/>
      <c r="L825" s="414">
        <v>0.1</v>
      </c>
      <c r="M825" s="414">
        <f>ROUND(+L825*C825,4)</f>
        <v>0</v>
      </c>
      <c r="N825" s="414"/>
      <c r="O825" s="414"/>
      <c r="P825" s="414"/>
      <c r="Q825" s="419">
        <f>ROUND(+N825+O825+P825,4)</f>
        <v>0</v>
      </c>
      <c r="R825" s="419">
        <f>ROUND(IF(+Q825-H825&lt;=0,0,Q825-H825),4)</f>
        <v>0</v>
      </c>
      <c r="S825" s="423">
        <v>0.5</v>
      </c>
      <c r="T825" s="419">
        <f>ROUND(+(R825*C825)*S825,4)</f>
        <v>0</v>
      </c>
      <c r="U825" s="419">
        <f>ROUND(+J825+M825+T825,4)</f>
        <v>0</v>
      </c>
      <c r="V825" s="235"/>
    </row>
    <row r="826" spans="1:22" ht="15.75" x14ac:dyDescent="0.25">
      <c r="A826" s="231"/>
      <c r="B826" s="232"/>
      <c r="C826" s="400"/>
      <c r="D826" s="233"/>
      <c r="E826" s="405"/>
      <c r="F826" s="405"/>
      <c r="G826" s="405"/>
      <c r="H826" s="408">
        <f>ROUND(+E826+F826+G826,4)</f>
        <v>0</v>
      </c>
      <c r="I826" s="234"/>
      <c r="J826" s="411"/>
      <c r="K826" s="411"/>
      <c r="L826" s="414">
        <v>0.1</v>
      </c>
      <c r="M826" s="414">
        <f>ROUND(+L826*C826,4)</f>
        <v>0</v>
      </c>
      <c r="N826" s="414"/>
      <c r="O826" s="414"/>
      <c r="P826" s="414"/>
      <c r="Q826" s="419">
        <f>ROUND(+N826+O826+P826,4)</f>
        <v>0</v>
      </c>
      <c r="R826" s="419">
        <f>ROUND(IF(+Q826-H826&lt;=0,0,Q826-H826),4)</f>
        <v>0</v>
      </c>
      <c r="S826" s="423">
        <v>0.5</v>
      </c>
      <c r="T826" s="419">
        <f>ROUND(+(R826*C826)*S826,4)</f>
        <v>0</v>
      </c>
      <c r="U826" s="419">
        <f>ROUND(+J826+M826+T826,4)</f>
        <v>0</v>
      </c>
      <c r="V826" s="235"/>
    </row>
    <row r="827" spans="1:22" ht="15.75" x14ac:dyDescent="0.25">
      <c r="A827" s="231"/>
      <c r="B827" s="232"/>
      <c r="C827" s="400"/>
      <c r="D827" s="233"/>
      <c r="E827" s="405"/>
      <c r="F827" s="405"/>
      <c r="G827" s="405"/>
      <c r="H827" s="408">
        <f>ROUND(+E827+F827+G827,4)</f>
        <v>0</v>
      </c>
      <c r="I827" s="234"/>
      <c r="J827" s="411"/>
      <c r="K827" s="411"/>
      <c r="L827" s="414">
        <v>0.1</v>
      </c>
      <c r="M827" s="414">
        <f>ROUND(+L827*C827,4)</f>
        <v>0</v>
      </c>
      <c r="N827" s="414"/>
      <c r="O827" s="414"/>
      <c r="P827" s="414"/>
      <c r="Q827" s="419">
        <f>ROUND(+N827+O827+P827,4)</f>
        <v>0</v>
      </c>
      <c r="R827" s="419">
        <f>ROUND(IF(+Q827-H827&lt;=0,0,Q827-H827),4)</f>
        <v>0</v>
      </c>
      <c r="S827" s="423">
        <v>0.5</v>
      </c>
      <c r="T827" s="419">
        <f>ROUND(+(R827*C827)*S827,4)</f>
        <v>0</v>
      </c>
      <c r="U827" s="419">
        <f>ROUND(+J827+M827+T827,4)</f>
        <v>0</v>
      </c>
      <c r="V827" s="235"/>
    </row>
    <row r="828" spans="1:22" ht="15.75" x14ac:dyDescent="0.25">
      <c r="A828" s="231"/>
      <c r="B828" s="232"/>
      <c r="C828" s="400"/>
      <c r="D828" s="233"/>
      <c r="E828" s="405"/>
      <c r="F828" s="405"/>
      <c r="G828" s="405"/>
      <c r="H828" s="408">
        <f>ROUND(+E828+F828+G828,4)</f>
        <v>0</v>
      </c>
      <c r="I828" s="234"/>
      <c r="J828" s="411"/>
      <c r="K828" s="411"/>
      <c r="L828" s="414">
        <v>0.1</v>
      </c>
      <c r="M828" s="414">
        <f>ROUND(+L828*C828,4)</f>
        <v>0</v>
      </c>
      <c r="N828" s="414"/>
      <c r="O828" s="414"/>
      <c r="P828" s="414"/>
      <c r="Q828" s="419">
        <f>ROUND(+N828+O828+P828,4)</f>
        <v>0</v>
      </c>
      <c r="R828" s="419">
        <f>ROUND(IF(+Q828-H828&lt;=0,0,Q828-H828),4)</f>
        <v>0</v>
      </c>
      <c r="S828" s="423">
        <v>0.5</v>
      </c>
      <c r="T828" s="419">
        <f>ROUND(+(R828*C828)*S828,4)</f>
        <v>0</v>
      </c>
      <c r="U828" s="419">
        <f>ROUND(+J828+M828+T828,4)</f>
        <v>0</v>
      </c>
      <c r="V828" s="235"/>
    </row>
    <row r="829" spans="1:22" ht="15.75" x14ac:dyDescent="0.25">
      <c r="A829" s="231"/>
      <c r="B829" s="232"/>
      <c r="C829" s="400"/>
      <c r="D829" s="233"/>
      <c r="E829" s="405"/>
      <c r="F829" s="405"/>
      <c r="G829" s="405"/>
      <c r="H829" s="408">
        <f>ROUND(+E829+F829+G829,4)</f>
        <v>0</v>
      </c>
      <c r="I829" s="234"/>
      <c r="J829" s="411"/>
      <c r="K829" s="411"/>
      <c r="L829" s="414">
        <v>0.1</v>
      </c>
      <c r="M829" s="414">
        <f>ROUND(+L829*C829,4)</f>
        <v>0</v>
      </c>
      <c r="N829" s="414"/>
      <c r="O829" s="414"/>
      <c r="P829" s="414"/>
      <c r="Q829" s="419">
        <f>ROUND(+N829+O829+P829,4)</f>
        <v>0</v>
      </c>
      <c r="R829" s="419">
        <f>ROUND(IF(+Q829-H829&lt;=0,0,Q829-H829),4)</f>
        <v>0</v>
      </c>
      <c r="S829" s="423">
        <v>0.5</v>
      </c>
      <c r="T829" s="419">
        <f>ROUND(+(R829*C829)*S829,4)</f>
        <v>0</v>
      </c>
      <c r="U829" s="419">
        <f>ROUND(+J829+M829+T829,4)</f>
        <v>0</v>
      </c>
      <c r="V829" s="235"/>
    </row>
    <row r="830" spans="1:22" ht="15.75" x14ac:dyDescent="0.25">
      <c r="A830" s="231"/>
      <c r="B830" s="232"/>
      <c r="C830" s="400"/>
      <c r="D830" s="233"/>
      <c r="E830" s="405"/>
      <c r="F830" s="405"/>
      <c r="G830" s="405"/>
      <c r="H830" s="408">
        <f>ROUND(+E830+F830+G830,4)</f>
        <v>0</v>
      </c>
      <c r="I830" s="234"/>
      <c r="J830" s="411"/>
      <c r="K830" s="411"/>
      <c r="L830" s="414">
        <v>0.1</v>
      </c>
      <c r="M830" s="414">
        <f>ROUND(+L830*C830,4)</f>
        <v>0</v>
      </c>
      <c r="N830" s="414"/>
      <c r="O830" s="414"/>
      <c r="P830" s="414"/>
      <c r="Q830" s="419">
        <f>ROUND(+N830+O830+P830,4)</f>
        <v>0</v>
      </c>
      <c r="R830" s="419">
        <f>ROUND(IF(+Q830-H830&lt;=0,0,Q830-H830),4)</f>
        <v>0</v>
      </c>
      <c r="S830" s="423">
        <v>0.5</v>
      </c>
      <c r="T830" s="419">
        <f>ROUND(+(R830*C830)*S830,4)</f>
        <v>0</v>
      </c>
      <c r="U830" s="419">
        <f>ROUND(+J830+M830+T830,4)</f>
        <v>0</v>
      </c>
      <c r="V830" s="235"/>
    </row>
    <row r="831" spans="1:22" ht="15.75" x14ac:dyDescent="0.25">
      <c r="A831" s="231"/>
      <c r="B831" s="232"/>
      <c r="C831" s="400"/>
      <c r="D831" s="233"/>
      <c r="E831" s="405"/>
      <c r="F831" s="405"/>
      <c r="G831" s="405"/>
      <c r="H831" s="408">
        <f>ROUND(+E831+F831+G831,4)</f>
        <v>0</v>
      </c>
      <c r="I831" s="234"/>
      <c r="J831" s="411"/>
      <c r="K831" s="411"/>
      <c r="L831" s="414">
        <v>0.1</v>
      </c>
      <c r="M831" s="414">
        <f>ROUND(+L831*C831,4)</f>
        <v>0</v>
      </c>
      <c r="N831" s="414"/>
      <c r="O831" s="414"/>
      <c r="P831" s="414"/>
      <c r="Q831" s="419">
        <f>ROUND(+N831+O831+P831,4)</f>
        <v>0</v>
      </c>
      <c r="R831" s="419">
        <f>ROUND(IF(+Q831-H831&lt;=0,0,Q831-H831),4)</f>
        <v>0</v>
      </c>
      <c r="S831" s="423">
        <v>0.5</v>
      </c>
      <c r="T831" s="419">
        <f>ROUND(+(R831*C831)*S831,4)</f>
        <v>0</v>
      </c>
      <c r="U831" s="419">
        <f>ROUND(+J831+M831+T831,4)</f>
        <v>0</v>
      </c>
      <c r="V831" s="235"/>
    </row>
    <row r="832" spans="1:22" ht="15.75" x14ac:dyDescent="0.25">
      <c r="A832" s="231"/>
      <c r="B832" s="232"/>
      <c r="C832" s="400"/>
      <c r="D832" s="233"/>
      <c r="E832" s="405"/>
      <c r="F832" s="405"/>
      <c r="G832" s="405"/>
      <c r="H832" s="408">
        <f>ROUND(+E832+F832+G832,4)</f>
        <v>0</v>
      </c>
      <c r="I832" s="234"/>
      <c r="J832" s="411"/>
      <c r="K832" s="411"/>
      <c r="L832" s="414">
        <v>0.1</v>
      </c>
      <c r="M832" s="414">
        <f>ROUND(+L832*C832,4)</f>
        <v>0</v>
      </c>
      <c r="N832" s="414"/>
      <c r="O832" s="414"/>
      <c r="P832" s="414"/>
      <c r="Q832" s="419">
        <f>ROUND(+N832+O832+P832,4)</f>
        <v>0</v>
      </c>
      <c r="R832" s="419">
        <f>ROUND(IF(+Q832-H832&lt;=0,0,Q832-H832),4)</f>
        <v>0</v>
      </c>
      <c r="S832" s="423">
        <v>0.5</v>
      </c>
      <c r="T832" s="419">
        <f>ROUND(+(R832*C832)*S832,4)</f>
        <v>0</v>
      </c>
      <c r="U832" s="419">
        <f>ROUND(+J832+M832+T832,4)</f>
        <v>0</v>
      </c>
      <c r="V832" s="235"/>
    </row>
    <row r="833" spans="1:22" ht="15.75" x14ac:dyDescent="0.25">
      <c r="A833" s="231"/>
      <c r="B833" s="232"/>
      <c r="C833" s="400"/>
      <c r="D833" s="233"/>
      <c r="E833" s="405"/>
      <c r="F833" s="405"/>
      <c r="G833" s="405"/>
      <c r="H833" s="408">
        <f>ROUND(+E833+F833+G833,4)</f>
        <v>0</v>
      </c>
      <c r="I833" s="234"/>
      <c r="J833" s="411"/>
      <c r="K833" s="411"/>
      <c r="L833" s="414">
        <v>0.1</v>
      </c>
      <c r="M833" s="414">
        <f>ROUND(+L833*C833,4)</f>
        <v>0</v>
      </c>
      <c r="N833" s="414"/>
      <c r="O833" s="414"/>
      <c r="P833" s="414"/>
      <c r="Q833" s="419">
        <f>ROUND(+N833+O833+P833,4)</f>
        <v>0</v>
      </c>
      <c r="R833" s="419">
        <f>ROUND(IF(+Q833-H833&lt;=0,0,Q833-H833),4)</f>
        <v>0</v>
      </c>
      <c r="S833" s="423">
        <v>0.5</v>
      </c>
      <c r="T833" s="419">
        <f>ROUND(+(R833*C833)*S833,4)</f>
        <v>0</v>
      </c>
      <c r="U833" s="419">
        <f>ROUND(+J833+M833+T833,4)</f>
        <v>0</v>
      </c>
      <c r="V833" s="235"/>
    </row>
    <row r="834" spans="1:22" ht="15.75" x14ac:dyDescent="0.25">
      <c r="A834" s="231"/>
      <c r="B834" s="232"/>
      <c r="C834" s="400"/>
      <c r="D834" s="233"/>
      <c r="E834" s="405"/>
      <c r="F834" s="405"/>
      <c r="G834" s="405"/>
      <c r="H834" s="408">
        <f>ROUND(+E834+F834+G834,4)</f>
        <v>0</v>
      </c>
      <c r="I834" s="234"/>
      <c r="J834" s="411"/>
      <c r="K834" s="411"/>
      <c r="L834" s="414">
        <v>0.1</v>
      </c>
      <c r="M834" s="414">
        <f>ROUND(+L834*C834,4)</f>
        <v>0</v>
      </c>
      <c r="N834" s="414"/>
      <c r="O834" s="414"/>
      <c r="P834" s="414"/>
      <c r="Q834" s="419">
        <f>ROUND(+N834+O834+P834,4)</f>
        <v>0</v>
      </c>
      <c r="R834" s="419">
        <f>ROUND(IF(+Q834-H834&lt;=0,0,Q834-H834),4)</f>
        <v>0</v>
      </c>
      <c r="S834" s="423">
        <v>0.5</v>
      </c>
      <c r="T834" s="419">
        <f>ROUND(+(R834*C834)*S834,4)</f>
        <v>0</v>
      </c>
      <c r="U834" s="419">
        <f>ROUND(+J834+M834+T834,4)</f>
        <v>0</v>
      </c>
      <c r="V834" s="235"/>
    </row>
    <row r="835" spans="1:22" ht="15.75" x14ac:dyDescent="0.25">
      <c r="A835" s="231"/>
      <c r="B835" s="232"/>
      <c r="C835" s="400"/>
      <c r="D835" s="233"/>
      <c r="E835" s="405"/>
      <c r="F835" s="405"/>
      <c r="G835" s="405"/>
      <c r="H835" s="408">
        <f>ROUND(+E835+F835+G835,4)</f>
        <v>0</v>
      </c>
      <c r="I835" s="234"/>
      <c r="J835" s="411"/>
      <c r="K835" s="411"/>
      <c r="L835" s="414">
        <v>0.1</v>
      </c>
      <c r="M835" s="414">
        <f>ROUND(+L835*C835,4)</f>
        <v>0</v>
      </c>
      <c r="N835" s="414"/>
      <c r="O835" s="414"/>
      <c r="P835" s="414"/>
      <c r="Q835" s="419">
        <f>ROUND(+N835+O835+P835,4)</f>
        <v>0</v>
      </c>
      <c r="R835" s="419">
        <f>ROUND(IF(+Q835-H835&lt;=0,0,Q835-H835),4)</f>
        <v>0</v>
      </c>
      <c r="S835" s="423">
        <v>0.5</v>
      </c>
      <c r="T835" s="419">
        <f>ROUND(+(R835*C835)*S835,4)</f>
        <v>0</v>
      </c>
      <c r="U835" s="419">
        <f>ROUND(+J835+M835+T835,4)</f>
        <v>0</v>
      </c>
      <c r="V835" s="235"/>
    </row>
    <row r="836" spans="1:22" ht="15.75" x14ac:dyDescent="0.25">
      <c r="A836" s="231"/>
      <c r="B836" s="232"/>
      <c r="C836" s="400"/>
      <c r="D836" s="233"/>
      <c r="E836" s="405"/>
      <c r="F836" s="405"/>
      <c r="G836" s="405"/>
      <c r="H836" s="408">
        <f>ROUND(+E836+F836+G836,4)</f>
        <v>0</v>
      </c>
      <c r="I836" s="234"/>
      <c r="J836" s="411"/>
      <c r="K836" s="411"/>
      <c r="L836" s="414">
        <v>0.1</v>
      </c>
      <c r="M836" s="414">
        <f>ROUND(+L836*C836,4)</f>
        <v>0</v>
      </c>
      <c r="N836" s="414"/>
      <c r="O836" s="414"/>
      <c r="P836" s="414"/>
      <c r="Q836" s="419">
        <f>ROUND(+N836+O836+P836,4)</f>
        <v>0</v>
      </c>
      <c r="R836" s="419">
        <f>ROUND(IF(+Q836-H836&lt;=0,0,Q836-H836),4)</f>
        <v>0</v>
      </c>
      <c r="S836" s="423">
        <v>0.5</v>
      </c>
      <c r="T836" s="419">
        <f>ROUND(+(R836*C836)*S836,4)</f>
        <v>0</v>
      </c>
      <c r="U836" s="419">
        <f>ROUND(+J836+M836+T836,4)</f>
        <v>0</v>
      </c>
      <c r="V836" s="235"/>
    </row>
    <row r="837" spans="1:22" ht="15.75" x14ac:dyDescent="0.25">
      <c r="A837" s="231"/>
      <c r="B837" s="232"/>
      <c r="C837" s="400"/>
      <c r="D837" s="233"/>
      <c r="E837" s="405"/>
      <c r="F837" s="405"/>
      <c r="G837" s="405"/>
      <c r="H837" s="408">
        <f>ROUND(+E837+F837+G837,4)</f>
        <v>0</v>
      </c>
      <c r="I837" s="234"/>
      <c r="J837" s="411"/>
      <c r="K837" s="411"/>
      <c r="L837" s="414">
        <v>0.1</v>
      </c>
      <c r="M837" s="414">
        <f>ROUND(+L837*C837,4)</f>
        <v>0</v>
      </c>
      <c r="N837" s="414"/>
      <c r="O837" s="414"/>
      <c r="P837" s="414"/>
      <c r="Q837" s="419">
        <f>ROUND(+N837+O837+P837,4)</f>
        <v>0</v>
      </c>
      <c r="R837" s="419">
        <f>ROUND(IF(+Q837-H837&lt;=0,0,Q837-H837),4)</f>
        <v>0</v>
      </c>
      <c r="S837" s="423">
        <v>0.5</v>
      </c>
      <c r="T837" s="419">
        <f>ROUND(+(R837*C837)*S837,4)</f>
        <v>0</v>
      </c>
      <c r="U837" s="419">
        <f>ROUND(+J837+M837+T837,4)</f>
        <v>0</v>
      </c>
      <c r="V837" s="235"/>
    </row>
    <row r="838" spans="1:22" ht="15.75" x14ac:dyDescent="0.25">
      <c r="A838" s="231"/>
      <c r="B838" s="232"/>
      <c r="C838" s="400"/>
      <c r="D838" s="233"/>
      <c r="E838" s="405"/>
      <c r="F838" s="405"/>
      <c r="G838" s="405"/>
      <c r="H838" s="408">
        <f>ROUND(+E838+F838+G838,4)</f>
        <v>0</v>
      </c>
      <c r="I838" s="234"/>
      <c r="J838" s="411"/>
      <c r="K838" s="411"/>
      <c r="L838" s="414">
        <v>0.1</v>
      </c>
      <c r="M838" s="414">
        <f>ROUND(+L838*C838,4)</f>
        <v>0</v>
      </c>
      <c r="N838" s="414"/>
      <c r="O838" s="414"/>
      <c r="P838" s="414"/>
      <c r="Q838" s="419">
        <f>ROUND(+N838+O838+P838,4)</f>
        <v>0</v>
      </c>
      <c r="R838" s="419">
        <f>ROUND(IF(+Q838-H838&lt;=0,0,Q838-H838),4)</f>
        <v>0</v>
      </c>
      <c r="S838" s="423">
        <v>0.5</v>
      </c>
      <c r="T838" s="419">
        <f>ROUND(+(R838*C838)*S838,4)</f>
        <v>0</v>
      </c>
      <c r="U838" s="419">
        <f>ROUND(+J838+M838+T838,4)</f>
        <v>0</v>
      </c>
      <c r="V838" s="235"/>
    </row>
    <row r="839" spans="1:22" ht="15.75" x14ac:dyDescent="0.25">
      <c r="A839" s="231"/>
      <c r="B839" s="232"/>
      <c r="C839" s="400"/>
      <c r="D839" s="233"/>
      <c r="E839" s="405"/>
      <c r="F839" s="405"/>
      <c r="G839" s="405"/>
      <c r="H839" s="408">
        <f>ROUND(+E839+F839+G839,4)</f>
        <v>0</v>
      </c>
      <c r="I839" s="234"/>
      <c r="J839" s="411"/>
      <c r="K839" s="411"/>
      <c r="L839" s="414">
        <v>0.1</v>
      </c>
      <c r="M839" s="414">
        <f>ROUND(+L839*C839,4)</f>
        <v>0</v>
      </c>
      <c r="N839" s="414"/>
      <c r="O839" s="414"/>
      <c r="P839" s="414"/>
      <c r="Q839" s="419">
        <f>ROUND(+N839+O839+P839,4)</f>
        <v>0</v>
      </c>
      <c r="R839" s="419">
        <f>ROUND(IF(+Q839-H839&lt;=0,0,Q839-H839),4)</f>
        <v>0</v>
      </c>
      <c r="S839" s="423">
        <v>0.5</v>
      </c>
      <c r="T839" s="419">
        <f>ROUND(+(R839*C839)*S839,4)</f>
        <v>0</v>
      </c>
      <c r="U839" s="419">
        <f>ROUND(+J839+M839+T839,4)</f>
        <v>0</v>
      </c>
      <c r="V839" s="235"/>
    </row>
    <row r="840" spans="1:22" ht="15.75" x14ac:dyDescent="0.25">
      <c r="A840" s="231"/>
      <c r="B840" s="232"/>
      <c r="C840" s="400"/>
      <c r="D840" s="233"/>
      <c r="E840" s="405"/>
      <c r="F840" s="405"/>
      <c r="G840" s="405"/>
      <c r="H840" s="408">
        <f>ROUND(+E840+F840+G840,4)</f>
        <v>0</v>
      </c>
      <c r="I840" s="234"/>
      <c r="J840" s="411"/>
      <c r="K840" s="411"/>
      <c r="L840" s="414">
        <v>0.1</v>
      </c>
      <c r="M840" s="414">
        <f>ROUND(+L840*C840,4)</f>
        <v>0</v>
      </c>
      <c r="N840" s="414"/>
      <c r="O840" s="414"/>
      <c r="P840" s="414"/>
      <c r="Q840" s="419">
        <f>ROUND(+N840+O840+P840,4)</f>
        <v>0</v>
      </c>
      <c r="R840" s="419">
        <f>ROUND(IF(+Q840-H840&lt;=0,0,Q840-H840),4)</f>
        <v>0</v>
      </c>
      <c r="S840" s="423">
        <v>0.5</v>
      </c>
      <c r="T840" s="419">
        <f>ROUND(+(R840*C840)*S840,4)</f>
        <v>0</v>
      </c>
      <c r="U840" s="419">
        <f>ROUND(+J840+M840+T840,4)</f>
        <v>0</v>
      </c>
      <c r="V840" s="235"/>
    </row>
    <row r="841" spans="1:22" ht="15.75" x14ac:dyDescent="0.25">
      <c r="A841" s="231"/>
      <c r="B841" s="232"/>
      <c r="C841" s="400"/>
      <c r="D841" s="233"/>
      <c r="E841" s="405"/>
      <c r="F841" s="405"/>
      <c r="G841" s="405"/>
      <c r="H841" s="408">
        <f>ROUND(+E841+F841+G841,4)</f>
        <v>0</v>
      </c>
      <c r="I841" s="234"/>
      <c r="J841" s="411"/>
      <c r="K841" s="411"/>
      <c r="L841" s="414">
        <v>0.1</v>
      </c>
      <c r="M841" s="414">
        <f>ROUND(+L841*C841,4)</f>
        <v>0</v>
      </c>
      <c r="N841" s="414"/>
      <c r="O841" s="414"/>
      <c r="P841" s="414"/>
      <c r="Q841" s="419">
        <f>ROUND(+N841+O841+P841,4)</f>
        <v>0</v>
      </c>
      <c r="R841" s="419">
        <f>ROUND(IF(+Q841-H841&lt;=0,0,Q841-H841),4)</f>
        <v>0</v>
      </c>
      <c r="S841" s="423">
        <v>0.5</v>
      </c>
      <c r="T841" s="419">
        <f>ROUND(+(R841*C841)*S841,4)</f>
        <v>0</v>
      </c>
      <c r="U841" s="419">
        <f>ROUND(+J841+M841+T841,4)</f>
        <v>0</v>
      </c>
      <c r="V841" s="235"/>
    </row>
    <row r="842" spans="1:22" ht="15.75" x14ac:dyDescent="0.25">
      <c r="A842" s="231"/>
      <c r="B842" s="232"/>
      <c r="C842" s="400"/>
      <c r="D842" s="233"/>
      <c r="E842" s="405"/>
      <c r="F842" s="405"/>
      <c r="G842" s="405"/>
      <c r="H842" s="408">
        <f>ROUND(+E842+F842+G842,4)</f>
        <v>0</v>
      </c>
      <c r="I842" s="234"/>
      <c r="J842" s="411"/>
      <c r="K842" s="411"/>
      <c r="L842" s="414">
        <v>0.1</v>
      </c>
      <c r="M842" s="414">
        <f>ROUND(+L842*C842,4)</f>
        <v>0</v>
      </c>
      <c r="N842" s="414"/>
      <c r="O842" s="414"/>
      <c r="P842" s="414"/>
      <c r="Q842" s="419">
        <f>ROUND(+N842+O842+P842,4)</f>
        <v>0</v>
      </c>
      <c r="R842" s="419">
        <f>ROUND(IF(+Q842-H842&lt;=0,0,Q842-H842),4)</f>
        <v>0</v>
      </c>
      <c r="S842" s="423">
        <v>0.5</v>
      </c>
      <c r="T842" s="419">
        <f>ROUND(+(R842*C842)*S842,4)</f>
        <v>0</v>
      </c>
      <c r="U842" s="419">
        <f>ROUND(+J842+M842+T842,4)</f>
        <v>0</v>
      </c>
      <c r="V842" s="235"/>
    </row>
    <row r="843" spans="1:22" ht="15.75" x14ac:dyDescent="0.25">
      <c r="A843" s="231"/>
      <c r="B843" s="232"/>
      <c r="C843" s="400"/>
      <c r="D843" s="233"/>
      <c r="E843" s="405"/>
      <c r="F843" s="405"/>
      <c r="G843" s="405"/>
      <c r="H843" s="408">
        <f>ROUND(+E843+F843+G843,4)</f>
        <v>0</v>
      </c>
      <c r="I843" s="234"/>
      <c r="J843" s="411"/>
      <c r="K843" s="411"/>
      <c r="L843" s="414">
        <v>0.1</v>
      </c>
      <c r="M843" s="414">
        <f>ROUND(+L843*C843,4)</f>
        <v>0</v>
      </c>
      <c r="N843" s="414"/>
      <c r="O843" s="414"/>
      <c r="P843" s="414"/>
      <c r="Q843" s="419">
        <f>ROUND(+N843+O843+P843,4)</f>
        <v>0</v>
      </c>
      <c r="R843" s="419">
        <f>ROUND(IF(+Q843-H843&lt;=0,0,Q843-H843),4)</f>
        <v>0</v>
      </c>
      <c r="S843" s="423">
        <v>0.5</v>
      </c>
      <c r="T843" s="419">
        <f>ROUND(+(R843*C843)*S843,4)</f>
        <v>0</v>
      </c>
      <c r="U843" s="419">
        <f>ROUND(+J843+M843+T843,4)</f>
        <v>0</v>
      </c>
      <c r="V843" s="235"/>
    </row>
    <row r="844" spans="1:22" ht="15.75" x14ac:dyDescent="0.25">
      <c r="A844" s="231"/>
      <c r="B844" s="232"/>
      <c r="C844" s="400"/>
      <c r="D844" s="233"/>
      <c r="E844" s="405"/>
      <c r="F844" s="405"/>
      <c r="G844" s="405"/>
      <c r="H844" s="408">
        <f>ROUND(+E844+F844+G844,4)</f>
        <v>0</v>
      </c>
      <c r="I844" s="234"/>
      <c r="J844" s="411"/>
      <c r="K844" s="411"/>
      <c r="L844" s="414">
        <v>0.1</v>
      </c>
      <c r="M844" s="414">
        <f>ROUND(+L844*C844,4)</f>
        <v>0</v>
      </c>
      <c r="N844" s="414"/>
      <c r="O844" s="414"/>
      <c r="P844" s="414"/>
      <c r="Q844" s="419">
        <f>ROUND(+N844+O844+P844,4)</f>
        <v>0</v>
      </c>
      <c r="R844" s="419">
        <f>ROUND(IF(+Q844-H844&lt;=0,0,Q844-H844),4)</f>
        <v>0</v>
      </c>
      <c r="S844" s="423">
        <v>0.5</v>
      </c>
      <c r="T844" s="419">
        <f>ROUND(+(R844*C844)*S844,4)</f>
        <v>0</v>
      </c>
      <c r="U844" s="419">
        <f>ROUND(+J844+M844+T844,4)</f>
        <v>0</v>
      </c>
      <c r="V844" s="235"/>
    </row>
    <row r="845" spans="1:22" ht="15.75" x14ac:dyDescent="0.25">
      <c r="A845" s="231"/>
      <c r="B845" s="232"/>
      <c r="C845" s="400"/>
      <c r="D845" s="233"/>
      <c r="E845" s="405"/>
      <c r="F845" s="405"/>
      <c r="G845" s="405"/>
      <c r="H845" s="408">
        <f>ROUND(+E845+F845+G845,4)</f>
        <v>0</v>
      </c>
      <c r="I845" s="234"/>
      <c r="J845" s="411"/>
      <c r="K845" s="411"/>
      <c r="L845" s="414">
        <v>0.1</v>
      </c>
      <c r="M845" s="414">
        <f>ROUND(+L845*C845,4)</f>
        <v>0</v>
      </c>
      <c r="N845" s="414"/>
      <c r="O845" s="414"/>
      <c r="P845" s="414"/>
      <c r="Q845" s="419">
        <f>ROUND(+N845+O845+P845,4)</f>
        <v>0</v>
      </c>
      <c r="R845" s="419">
        <f>ROUND(IF(+Q845-H845&lt;=0,0,Q845-H845),4)</f>
        <v>0</v>
      </c>
      <c r="S845" s="423">
        <v>0.5</v>
      </c>
      <c r="T845" s="419">
        <f>ROUND(+(R845*C845)*S845,4)</f>
        <v>0</v>
      </c>
      <c r="U845" s="419">
        <f>ROUND(+J845+M845+T845,4)</f>
        <v>0</v>
      </c>
      <c r="V845" s="235"/>
    </row>
    <row r="846" spans="1:22" ht="15.75" x14ac:dyDescent="0.25">
      <c r="A846" s="231"/>
      <c r="B846" s="232"/>
      <c r="C846" s="400"/>
      <c r="D846" s="233"/>
      <c r="E846" s="405"/>
      <c r="F846" s="405"/>
      <c r="G846" s="405"/>
      <c r="H846" s="408">
        <f>ROUND(+E846+F846+G846,4)</f>
        <v>0</v>
      </c>
      <c r="I846" s="234"/>
      <c r="J846" s="411"/>
      <c r="K846" s="411"/>
      <c r="L846" s="414">
        <v>0.1</v>
      </c>
      <c r="M846" s="414">
        <f>ROUND(+L846*C846,4)</f>
        <v>0</v>
      </c>
      <c r="N846" s="414"/>
      <c r="O846" s="414"/>
      <c r="P846" s="414"/>
      <c r="Q846" s="419">
        <f>ROUND(+N846+O846+P846,4)</f>
        <v>0</v>
      </c>
      <c r="R846" s="419">
        <f>ROUND(IF(+Q846-H846&lt;=0,0,Q846-H846),4)</f>
        <v>0</v>
      </c>
      <c r="S846" s="423">
        <v>0.5</v>
      </c>
      <c r="T846" s="419">
        <f>ROUND(+(R846*C846)*S846,4)</f>
        <v>0</v>
      </c>
      <c r="U846" s="419">
        <f>ROUND(+J846+M846+T846,4)</f>
        <v>0</v>
      </c>
      <c r="V846" s="235"/>
    </row>
    <row r="847" spans="1:22" ht="15.75" x14ac:dyDescent="0.25">
      <c r="A847" s="231"/>
      <c r="B847" s="232"/>
      <c r="C847" s="400"/>
      <c r="D847" s="233"/>
      <c r="E847" s="405"/>
      <c r="F847" s="405"/>
      <c r="G847" s="405"/>
      <c r="H847" s="408">
        <f>ROUND(+E847+F847+G847,4)</f>
        <v>0</v>
      </c>
      <c r="I847" s="234"/>
      <c r="J847" s="411"/>
      <c r="K847" s="411"/>
      <c r="L847" s="414">
        <v>0.1</v>
      </c>
      <c r="M847" s="414">
        <f>ROUND(+L847*C847,4)</f>
        <v>0</v>
      </c>
      <c r="N847" s="414"/>
      <c r="O847" s="414"/>
      <c r="P847" s="414"/>
      <c r="Q847" s="419">
        <f>ROUND(+N847+O847+P847,4)</f>
        <v>0</v>
      </c>
      <c r="R847" s="419">
        <f>ROUND(IF(+Q847-H847&lt;=0,0,Q847-H847),4)</f>
        <v>0</v>
      </c>
      <c r="S847" s="423">
        <v>0.5</v>
      </c>
      <c r="T847" s="419">
        <f>ROUND(+(R847*C847)*S847,4)</f>
        <v>0</v>
      </c>
      <c r="U847" s="419">
        <f>ROUND(+J847+M847+T847,4)</f>
        <v>0</v>
      </c>
      <c r="V847" s="235"/>
    </row>
    <row r="848" spans="1:22" ht="15.75" x14ac:dyDescent="0.25">
      <c r="A848" s="231"/>
      <c r="B848" s="232"/>
      <c r="C848" s="400"/>
      <c r="D848" s="233"/>
      <c r="E848" s="405"/>
      <c r="F848" s="405"/>
      <c r="G848" s="405"/>
      <c r="H848" s="408">
        <f>ROUND(+E848+F848+G848,4)</f>
        <v>0</v>
      </c>
      <c r="I848" s="234"/>
      <c r="J848" s="411"/>
      <c r="K848" s="411"/>
      <c r="L848" s="414">
        <v>0.1</v>
      </c>
      <c r="M848" s="414">
        <f>ROUND(+L848*C848,4)</f>
        <v>0</v>
      </c>
      <c r="N848" s="414"/>
      <c r="O848" s="414"/>
      <c r="P848" s="414"/>
      <c r="Q848" s="419">
        <f>ROUND(+N848+O848+P848,4)</f>
        <v>0</v>
      </c>
      <c r="R848" s="419">
        <f>ROUND(IF(+Q848-H848&lt;=0,0,Q848-H848),4)</f>
        <v>0</v>
      </c>
      <c r="S848" s="423">
        <v>0.5</v>
      </c>
      <c r="T848" s="419">
        <f>ROUND(+(R848*C848)*S848,4)</f>
        <v>0</v>
      </c>
      <c r="U848" s="419">
        <f>ROUND(+J848+M848+T848,4)</f>
        <v>0</v>
      </c>
      <c r="V848" s="235"/>
    </row>
    <row r="849" spans="1:22" ht="15.75" x14ac:dyDescent="0.25">
      <c r="A849" s="231"/>
      <c r="B849" s="232"/>
      <c r="C849" s="400"/>
      <c r="D849" s="233"/>
      <c r="E849" s="405"/>
      <c r="F849" s="405"/>
      <c r="G849" s="405"/>
      <c r="H849" s="408">
        <f>ROUND(+E849+F849+G849,4)</f>
        <v>0</v>
      </c>
      <c r="I849" s="234"/>
      <c r="J849" s="411"/>
      <c r="K849" s="411"/>
      <c r="L849" s="414">
        <v>0.1</v>
      </c>
      <c r="M849" s="414">
        <f>ROUND(+L849*C849,4)</f>
        <v>0</v>
      </c>
      <c r="N849" s="414"/>
      <c r="O849" s="414"/>
      <c r="P849" s="414"/>
      <c r="Q849" s="419">
        <f>ROUND(+N849+O849+P849,4)</f>
        <v>0</v>
      </c>
      <c r="R849" s="419">
        <f>ROUND(IF(+Q849-H849&lt;=0,0,Q849-H849),4)</f>
        <v>0</v>
      </c>
      <c r="S849" s="423">
        <v>0.5</v>
      </c>
      <c r="T849" s="419">
        <f>ROUND(+(R849*C849)*S849,4)</f>
        <v>0</v>
      </c>
      <c r="U849" s="419">
        <f>ROUND(+J849+M849+T849,4)</f>
        <v>0</v>
      </c>
      <c r="V849" s="235"/>
    </row>
    <row r="850" spans="1:22" ht="15.75" x14ac:dyDescent="0.25">
      <c r="A850" s="231"/>
      <c r="B850" s="232"/>
      <c r="C850" s="400"/>
      <c r="D850" s="233"/>
      <c r="E850" s="405"/>
      <c r="F850" s="405"/>
      <c r="G850" s="405"/>
      <c r="H850" s="408">
        <f>ROUND(+E850+F850+G850,4)</f>
        <v>0</v>
      </c>
      <c r="I850" s="234"/>
      <c r="J850" s="411"/>
      <c r="K850" s="411"/>
      <c r="L850" s="414">
        <v>0.1</v>
      </c>
      <c r="M850" s="414">
        <f>ROUND(+L850*C850,4)</f>
        <v>0</v>
      </c>
      <c r="N850" s="414"/>
      <c r="O850" s="414"/>
      <c r="P850" s="414"/>
      <c r="Q850" s="419">
        <f>ROUND(+N850+O850+P850,4)</f>
        <v>0</v>
      </c>
      <c r="R850" s="419">
        <f>ROUND(IF(+Q850-H850&lt;=0,0,Q850-H850),4)</f>
        <v>0</v>
      </c>
      <c r="S850" s="423">
        <v>0.5</v>
      </c>
      <c r="T850" s="419">
        <f>ROUND(+(R850*C850)*S850,4)</f>
        <v>0</v>
      </c>
      <c r="U850" s="419">
        <f>ROUND(+J850+M850+T850,4)</f>
        <v>0</v>
      </c>
      <c r="V850" s="235"/>
    </row>
    <row r="851" spans="1:22" ht="15.75" x14ac:dyDescent="0.25">
      <c r="A851" s="231"/>
      <c r="B851" s="232"/>
      <c r="C851" s="400"/>
      <c r="D851" s="233"/>
      <c r="E851" s="405"/>
      <c r="F851" s="405"/>
      <c r="G851" s="405"/>
      <c r="H851" s="408">
        <f>ROUND(+E851+F851+G851,4)</f>
        <v>0</v>
      </c>
      <c r="I851" s="234"/>
      <c r="J851" s="411"/>
      <c r="K851" s="411"/>
      <c r="L851" s="414">
        <v>0.1</v>
      </c>
      <c r="M851" s="414">
        <f>ROUND(+L851*C851,4)</f>
        <v>0</v>
      </c>
      <c r="N851" s="414"/>
      <c r="O851" s="414"/>
      <c r="P851" s="414"/>
      <c r="Q851" s="419">
        <f>ROUND(+N851+O851+P851,4)</f>
        <v>0</v>
      </c>
      <c r="R851" s="419">
        <f>ROUND(IF(+Q851-H851&lt;=0,0,Q851-H851),4)</f>
        <v>0</v>
      </c>
      <c r="S851" s="423">
        <v>0.5</v>
      </c>
      <c r="T851" s="419">
        <f>ROUND(+(R851*C851)*S851,4)</f>
        <v>0</v>
      </c>
      <c r="U851" s="419">
        <f>ROUND(+J851+M851+T851,4)</f>
        <v>0</v>
      </c>
      <c r="V851" s="235"/>
    </row>
    <row r="852" spans="1:22" ht="15.75" x14ac:dyDescent="0.25">
      <c r="A852" s="231"/>
      <c r="B852" s="232"/>
      <c r="C852" s="400"/>
      <c r="D852" s="233"/>
      <c r="E852" s="405"/>
      <c r="F852" s="405"/>
      <c r="G852" s="405"/>
      <c r="H852" s="408">
        <f>ROUND(+E852+F852+G852,4)</f>
        <v>0</v>
      </c>
      <c r="I852" s="234"/>
      <c r="J852" s="411"/>
      <c r="K852" s="411"/>
      <c r="L852" s="414">
        <v>0.1</v>
      </c>
      <c r="M852" s="414">
        <f>ROUND(+L852*C852,4)</f>
        <v>0</v>
      </c>
      <c r="N852" s="414"/>
      <c r="O852" s="414"/>
      <c r="P852" s="414"/>
      <c r="Q852" s="419">
        <f>ROUND(+N852+O852+P852,4)</f>
        <v>0</v>
      </c>
      <c r="R852" s="419">
        <f>ROUND(IF(+Q852-H852&lt;=0,0,Q852-H852),4)</f>
        <v>0</v>
      </c>
      <c r="S852" s="423">
        <v>0.5</v>
      </c>
      <c r="T852" s="419">
        <f>ROUND(+(R852*C852)*S852,4)</f>
        <v>0</v>
      </c>
      <c r="U852" s="419">
        <f>ROUND(+J852+M852+T852,4)</f>
        <v>0</v>
      </c>
      <c r="V852" s="235"/>
    </row>
    <row r="853" spans="1:22" ht="15.75" x14ac:dyDescent="0.25">
      <c r="A853" s="231"/>
      <c r="B853" s="232"/>
      <c r="C853" s="400"/>
      <c r="D853" s="233"/>
      <c r="E853" s="405"/>
      <c r="F853" s="405"/>
      <c r="G853" s="405"/>
      <c r="H853" s="408">
        <f>ROUND(+E853+F853+G853,4)</f>
        <v>0</v>
      </c>
      <c r="I853" s="234"/>
      <c r="J853" s="411"/>
      <c r="K853" s="411"/>
      <c r="L853" s="414">
        <v>0.1</v>
      </c>
      <c r="M853" s="414">
        <f>ROUND(+L853*C853,4)</f>
        <v>0</v>
      </c>
      <c r="N853" s="414"/>
      <c r="O853" s="414"/>
      <c r="P853" s="414"/>
      <c r="Q853" s="419">
        <f>ROUND(+N853+O853+P853,4)</f>
        <v>0</v>
      </c>
      <c r="R853" s="419">
        <f>ROUND(IF(+Q853-H853&lt;=0,0,Q853-H853),4)</f>
        <v>0</v>
      </c>
      <c r="S853" s="423">
        <v>0.5</v>
      </c>
      <c r="T853" s="419">
        <f>ROUND(+(R853*C853)*S853,4)</f>
        <v>0</v>
      </c>
      <c r="U853" s="419">
        <f>ROUND(+J853+M853+T853,4)</f>
        <v>0</v>
      </c>
      <c r="V853" s="235"/>
    </row>
    <row r="854" spans="1:22" ht="15.75" x14ac:dyDescent="0.25">
      <c r="A854" s="231"/>
      <c r="B854" s="232"/>
      <c r="C854" s="400"/>
      <c r="D854" s="233"/>
      <c r="E854" s="405"/>
      <c r="F854" s="405"/>
      <c r="G854" s="405"/>
      <c r="H854" s="408">
        <f>ROUND(+E854+F854+G854,4)</f>
        <v>0</v>
      </c>
      <c r="I854" s="234"/>
      <c r="J854" s="411"/>
      <c r="K854" s="411"/>
      <c r="L854" s="414">
        <v>0.1</v>
      </c>
      <c r="M854" s="414">
        <f>ROUND(+L854*C854,4)</f>
        <v>0</v>
      </c>
      <c r="N854" s="414"/>
      <c r="O854" s="414"/>
      <c r="P854" s="414"/>
      <c r="Q854" s="419">
        <f>ROUND(+N854+O854+P854,4)</f>
        <v>0</v>
      </c>
      <c r="R854" s="419">
        <f>ROUND(IF(+Q854-H854&lt;=0,0,Q854-H854),4)</f>
        <v>0</v>
      </c>
      <c r="S854" s="423">
        <v>0.5</v>
      </c>
      <c r="T854" s="419">
        <f>ROUND(+(R854*C854)*S854,4)</f>
        <v>0</v>
      </c>
      <c r="U854" s="419">
        <f>ROUND(+J854+M854+T854,4)</f>
        <v>0</v>
      </c>
      <c r="V854" s="235"/>
    </row>
    <row r="855" spans="1:22" ht="15.75" x14ac:dyDescent="0.25">
      <c r="A855" s="231"/>
      <c r="B855" s="232"/>
      <c r="C855" s="400"/>
      <c r="D855" s="233"/>
      <c r="E855" s="405"/>
      <c r="F855" s="405"/>
      <c r="G855" s="405"/>
      <c r="H855" s="408">
        <f>ROUND(+E855+F855+G855,4)</f>
        <v>0</v>
      </c>
      <c r="I855" s="234"/>
      <c r="J855" s="411"/>
      <c r="K855" s="411"/>
      <c r="L855" s="414">
        <v>0.1</v>
      </c>
      <c r="M855" s="414">
        <f>ROUND(+L855*C855,4)</f>
        <v>0</v>
      </c>
      <c r="N855" s="414"/>
      <c r="O855" s="414"/>
      <c r="P855" s="414"/>
      <c r="Q855" s="419">
        <f>ROUND(+N855+O855+P855,4)</f>
        <v>0</v>
      </c>
      <c r="R855" s="419">
        <f>ROUND(IF(+Q855-H855&lt;=0,0,Q855-H855),4)</f>
        <v>0</v>
      </c>
      <c r="S855" s="423">
        <v>0.5</v>
      </c>
      <c r="T855" s="419">
        <f>ROUND(+(R855*C855)*S855,4)</f>
        <v>0</v>
      </c>
      <c r="U855" s="419">
        <f>ROUND(+J855+M855+T855,4)</f>
        <v>0</v>
      </c>
      <c r="V855" s="235"/>
    </row>
    <row r="856" spans="1:22" ht="15.75" x14ac:dyDescent="0.25">
      <c r="A856" s="231"/>
      <c r="B856" s="232"/>
      <c r="C856" s="400"/>
      <c r="D856" s="233"/>
      <c r="E856" s="405"/>
      <c r="F856" s="405"/>
      <c r="G856" s="405"/>
      <c r="H856" s="408">
        <f>ROUND(+E856+F856+G856,4)</f>
        <v>0</v>
      </c>
      <c r="I856" s="234"/>
      <c r="J856" s="411"/>
      <c r="K856" s="411"/>
      <c r="L856" s="414">
        <v>0.1</v>
      </c>
      <c r="M856" s="414">
        <f>ROUND(+L856*C856,4)</f>
        <v>0</v>
      </c>
      <c r="N856" s="414"/>
      <c r="O856" s="414"/>
      <c r="P856" s="414"/>
      <c r="Q856" s="419">
        <f>ROUND(+N856+O856+P856,4)</f>
        <v>0</v>
      </c>
      <c r="R856" s="419">
        <f>ROUND(IF(+Q856-H856&lt;=0,0,Q856-H856),4)</f>
        <v>0</v>
      </c>
      <c r="S856" s="423">
        <v>0.5</v>
      </c>
      <c r="T856" s="419">
        <f>ROUND(+(R856*C856)*S856,4)</f>
        <v>0</v>
      </c>
      <c r="U856" s="419">
        <f>ROUND(+J856+M856+T856,4)</f>
        <v>0</v>
      </c>
      <c r="V856" s="235"/>
    </row>
    <row r="857" spans="1:22" ht="15.75" x14ac:dyDescent="0.25">
      <c r="A857" s="231"/>
      <c r="B857" s="232"/>
      <c r="C857" s="400"/>
      <c r="D857" s="233"/>
      <c r="E857" s="405"/>
      <c r="F857" s="405"/>
      <c r="G857" s="405"/>
      <c r="H857" s="408">
        <f>ROUND(+E857+F857+G857,4)</f>
        <v>0</v>
      </c>
      <c r="I857" s="234"/>
      <c r="J857" s="411"/>
      <c r="K857" s="411"/>
      <c r="L857" s="414">
        <v>0.1</v>
      </c>
      <c r="M857" s="414">
        <f>ROUND(+L857*C857,4)</f>
        <v>0</v>
      </c>
      <c r="N857" s="414"/>
      <c r="O857" s="414"/>
      <c r="P857" s="414"/>
      <c r="Q857" s="419">
        <f>ROUND(+N857+O857+P857,4)</f>
        <v>0</v>
      </c>
      <c r="R857" s="419">
        <f>ROUND(IF(+Q857-H857&lt;=0,0,Q857-H857),4)</f>
        <v>0</v>
      </c>
      <c r="S857" s="423">
        <v>0.5</v>
      </c>
      <c r="T857" s="419">
        <f>ROUND(+(R857*C857)*S857,4)</f>
        <v>0</v>
      </c>
      <c r="U857" s="419">
        <f>ROUND(+J857+M857+T857,4)</f>
        <v>0</v>
      </c>
      <c r="V857" s="235"/>
    </row>
    <row r="858" spans="1:22" ht="15.75" x14ac:dyDescent="0.25">
      <c r="A858" s="231"/>
      <c r="B858" s="232"/>
      <c r="C858" s="400"/>
      <c r="D858" s="233"/>
      <c r="E858" s="405"/>
      <c r="F858" s="405"/>
      <c r="G858" s="405"/>
      <c r="H858" s="408">
        <f>ROUND(+E858+F858+G858,4)</f>
        <v>0</v>
      </c>
      <c r="I858" s="234"/>
      <c r="J858" s="411"/>
      <c r="K858" s="411"/>
      <c r="L858" s="414">
        <v>0.1</v>
      </c>
      <c r="M858" s="414">
        <f>ROUND(+L858*C858,4)</f>
        <v>0</v>
      </c>
      <c r="N858" s="414"/>
      <c r="O858" s="414"/>
      <c r="P858" s="414"/>
      <c r="Q858" s="419">
        <f>ROUND(+N858+O858+P858,4)</f>
        <v>0</v>
      </c>
      <c r="R858" s="419">
        <f>ROUND(IF(+Q858-H858&lt;=0,0,Q858-H858),4)</f>
        <v>0</v>
      </c>
      <c r="S858" s="423">
        <v>0.5</v>
      </c>
      <c r="T858" s="419">
        <f>ROUND(+(R858*C858)*S858,4)</f>
        <v>0</v>
      </c>
      <c r="U858" s="419">
        <f>ROUND(+J858+M858+T858,4)</f>
        <v>0</v>
      </c>
      <c r="V858" s="235"/>
    </row>
    <row r="859" spans="1:22" ht="15.75" x14ac:dyDescent="0.25">
      <c r="A859" s="231"/>
      <c r="B859" s="232"/>
      <c r="C859" s="400"/>
      <c r="D859" s="233"/>
      <c r="E859" s="405"/>
      <c r="F859" s="405"/>
      <c r="G859" s="405"/>
      <c r="H859" s="408">
        <f>ROUND(+E859+F859+G859,4)</f>
        <v>0</v>
      </c>
      <c r="I859" s="234"/>
      <c r="J859" s="411"/>
      <c r="K859" s="411"/>
      <c r="L859" s="414">
        <v>0.1</v>
      </c>
      <c r="M859" s="414">
        <f>ROUND(+L859*C859,4)</f>
        <v>0</v>
      </c>
      <c r="N859" s="414"/>
      <c r="O859" s="414"/>
      <c r="P859" s="414"/>
      <c r="Q859" s="419">
        <f>ROUND(+N859+O859+P859,4)</f>
        <v>0</v>
      </c>
      <c r="R859" s="419">
        <f>ROUND(IF(+Q859-H859&lt;=0,0,Q859-H859),4)</f>
        <v>0</v>
      </c>
      <c r="S859" s="423">
        <v>0.5</v>
      </c>
      <c r="T859" s="419">
        <f>ROUND(+(R859*C859)*S859,4)</f>
        <v>0</v>
      </c>
      <c r="U859" s="419">
        <f>ROUND(+J859+M859+T859,4)</f>
        <v>0</v>
      </c>
      <c r="V859" s="235"/>
    </row>
    <row r="860" spans="1:22" ht="15.75" x14ac:dyDescent="0.25">
      <c r="A860" s="231"/>
      <c r="B860" s="232"/>
      <c r="C860" s="400"/>
      <c r="D860" s="233"/>
      <c r="E860" s="405"/>
      <c r="F860" s="405"/>
      <c r="G860" s="405"/>
      <c r="H860" s="408">
        <f>ROUND(+E860+F860+G860,4)</f>
        <v>0</v>
      </c>
      <c r="I860" s="234"/>
      <c r="J860" s="411"/>
      <c r="K860" s="411"/>
      <c r="L860" s="414">
        <v>0.1</v>
      </c>
      <c r="M860" s="414">
        <f>ROUND(+L860*C860,4)</f>
        <v>0</v>
      </c>
      <c r="N860" s="414"/>
      <c r="O860" s="414"/>
      <c r="P860" s="414"/>
      <c r="Q860" s="419">
        <f>ROUND(+N860+O860+P860,4)</f>
        <v>0</v>
      </c>
      <c r="R860" s="419">
        <f>ROUND(IF(+Q860-H860&lt;=0,0,Q860-H860),4)</f>
        <v>0</v>
      </c>
      <c r="S860" s="423">
        <v>0.5</v>
      </c>
      <c r="T860" s="419">
        <f>ROUND(+(R860*C860)*S860,4)</f>
        <v>0</v>
      </c>
      <c r="U860" s="419">
        <f>ROUND(+J860+M860+T860,4)</f>
        <v>0</v>
      </c>
      <c r="V860" s="235"/>
    </row>
    <row r="861" spans="1:22" ht="15.75" x14ac:dyDescent="0.25">
      <c r="A861" s="231"/>
      <c r="B861" s="232"/>
      <c r="C861" s="400"/>
      <c r="D861" s="233"/>
      <c r="E861" s="405"/>
      <c r="F861" s="405"/>
      <c r="G861" s="405"/>
      <c r="H861" s="408">
        <f>ROUND(+E861+F861+G861,4)</f>
        <v>0</v>
      </c>
      <c r="I861" s="234"/>
      <c r="J861" s="411"/>
      <c r="K861" s="411"/>
      <c r="L861" s="414">
        <v>0.1</v>
      </c>
      <c r="M861" s="414">
        <f>ROUND(+L861*C861,4)</f>
        <v>0</v>
      </c>
      <c r="N861" s="414"/>
      <c r="O861" s="414"/>
      <c r="P861" s="414"/>
      <c r="Q861" s="419">
        <f>ROUND(+N861+O861+P861,4)</f>
        <v>0</v>
      </c>
      <c r="R861" s="419">
        <f>ROUND(IF(+Q861-H861&lt;=0,0,Q861-H861),4)</f>
        <v>0</v>
      </c>
      <c r="S861" s="423">
        <v>0.5</v>
      </c>
      <c r="T861" s="419">
        <f>ROUND(+(R861*C861)*S861,4)</f>
        <v>0</v>
      </c>
      <c r="U861" s="419">
        <f>ROUND(+J861+M861+T861,4)</f>
        <v>0</v>
      </c>
      <c r="V861" s="235"/>
    </row>
    <row r="862" spans="1:22" ht="15.75" x14ac:dyDescent="0.25">
      <c r="A862" s="231"/>
      <c r="B862" s="232"/>
      <c r="C862" s="400"/>
      <c r="D862" s="233"/>
      <c r="E862" s="405"/>
      <c r="F862" s="405"/>
      <c r="G862" s="405"/>
      <c r="H862" s="408">
        <f>ROUND(+E862+F862+G862,4)</f>
        <v>0</v>
      </c>
      <c r="I862" s="234"/>
      <c r="J862" s="411"/>
      <c r="K862" s="411"/>
      <c r="L862" s="414">
        <v>0.1</v>
      </c>
      <c r="M862" s="414">
        <f>ROUND(+L862*C862,4)</f>
        <v>0</v>
      </c>
      <c r="N862" s="414"/>
      <c r="O862" s="414"/>
      <c r="P862" s="414"/>
      <c r="Q862" s="419">
        <f>ROUND(+N862+O862+P862,4)</f>
        <v>0</v>
      </c>
      <c r="R862" s="419">
        <f>ROUND(IF(+Q862-H862&lt;=0,0,Q862-H862),4)</f>
        <v>0</v>
      </c>
      <c r="S862" s="423">
        <v>0.5</v>
      </c>
      <c r="T862" s="419">
        <f>ROUND(+(R862*C862)*S862,4)</f>
        <v>0</v>
      </c>
      <c r="U862" s="419">
        <f>ROUND(+J862+M862+T862,4)</f>
        <v>0</v>
      </c>
      <c r="V862" s="235"/>
    </row>
    <row r="863" spans="1:22" ht="15.75" x14ac:dyDescent="0.25">
      <c r="A863" s="231"/>
      <c r="B863" s="232"/>
      <c r="C863" s="400"/>
      <c r="D863" s="233"/>
      <c r="E863" s="405"/>
      <c r="F863" s="405"/>
      <c r="G863" s="405"/>
      <c r="H863" s="408">
        <f>ROUND(+E863+F863+G863,4)</f>
        <v>0</v>
      </c>
      <c r="I863" s="234"/>
      <c r="J863" s="411"/>
      <c r="K863" s="411"/>
      <c r="L863" s="414">
        <v>0.1</v>
      </c>
      <c r="M863" s="414">
        <f>ROUND(+L863*C863,4)</f>
        <v>0</v>
      </c>
      <c r="N863" s="414"/>
      <c r="O863" s="414"/>
      <c r="P863" s="414"/>
      <c r="Q863" s="419">
        <f>ROUND(+N863+O863+P863,4)</f>
        <v>0</v>
      </c>
      <c r="R863" s="419">
        <f>ROUND(IF(+Q863-H863&lt;=0,0,Q863-H863),4)</f>
        <v>0</v>
      </c>
      <c r="S863" s="423">
        <v>0.5</v>
      </c>
      <c r="T863" s="419">
        <f>ROUND(+(R863*C863)*S863,4)</f>
        <v>0</v>
      </c>
      <c r="U863" s="419">
        <f>ROUND(+J863+M863+T863,4)</f>
        <v>0</v>
      </c>
      <c r="V863" s="235"/>
    </row>
    <row r="864" spans="1:22" ht="15.75" x14ac:dyDescent="0.25">
      <c r="A864" s="231"/>
      <c r="B864" s="232"/>
      <c r="C864" s="400"/>
      <c r="D864" s="233"/>
      <c r="E864" s="405"/>
      <c r="F864" s="405"/>
      <c r="G864" s="405"/>
      <c r="H864" s="408">
        <f>ROUND(+E864+F864+G864,4)</f>
        <v>0</v>
      </c>
      <c r="I864" s="234"/>
      <c r="J864" s="411"/>
      <c r="K864" s="411"/>
      <c r="L864" s="414">
        <v>0.1</v>
      </c>
      <c r="M864" s="414">
        <f>ROUND(+L864*C864,4)</f>
        <v>0</v>
      </c>
      <c r="N864" s="414"/>
      <c r="O864" s="414"/>
      <c r="P864" s="414"/>
      <c r="Q864" s="419">
        <f>ROUND(+N864+O864+P864,4)</f>
        <v>0</v>
      </c>
      <c r="R864" s="419">
        <f>ROUND(IF(+Q864-H864&lt;=0,0,Q864-H864),4)</f>
        <v>0</v>
      </c>
      <c r="S864" s="423">
        <v>0.5</v>
      </c>
      <c r="T864" s="419">
        <f>ROUND(+(R864*C864)*S864,4)</f>
        <v>0</v>
      </c>
      <c r="U864" s="419">
        <f>ROUND(+J864+M864+T864,4)</f>
        <v>0</v>
      </c>
      <c r="V864" s="235"/>
    </row>
    <row r="865" spans="1:22" ht="15.75" x14ac:dyDescent="0.25">
      <c r="A865" s="231"/>
      <c r="B865" s="232"/>
      <c r="C865" s="400"/>
      <c r="D865" s="233"/>
      <c r="E865" s="405"/>
      <c r="F865" s="405"/>
      <c r="G865" s="405"/>
      <c r="H865" s="408">
        <f>ROUND(+E865+F865+G865,4)</f>
        <v>0</v>
      </c>
      <c r="I865" s="234"/>
      <c r="J865" s="411"/>
      <c r="K865" s="411"/>
      <c r="L865" s="414">
        <v>0.1</v>
      </c>
      <c r="M865" s="414">
        <f>ROUND(+L865*C865,4)</f>
        <v>0</v>
      </c>
      <c r="N865" s="414"/>
      <c r="O865" s="414"/>
      <c r="P865" s="414"/>
      <c r="Q865" s="419">
        <f>ROUND(+N865+O865+P865,4)</f>
        <v>0</v>
      </c>
      <c r="R865" s="419">
        <f>ROUND(IF(+Q865-H865&lt;=0,0,Q865-H865),4)</f>
        <v>0</v>
      </c>
      <c r="S865" s="423">
        <v>0.5</v>
      </c>
      <c r="T865" s="419">
        <f>ROUND(+(R865*C865)*S865,4)</f>
        <v>0</v>
      </c>
      <c r="U865" s="419">
        <f>ROUND(+J865+M865+T865,4)</f>
        <v>0</v>
      </c>
      <c r="V865" s="235"/>
    </row>
    <row r="866" spans="1:22" ht="15.75" x14ac:dyDescent="0.25">
      <c r="A866" s="231"/>
      <c r="B866" s="232"/>
      <c r="C866" s="400"/>
      <c r="D866" s="233"/>
      <c r="E866" s="405"/>
      <c r="F866" s="405"/>
      <c r="G866" s="405"/>
      <c r="H866" s="408">
        <f>ROUND(+E866+F866+G866,4)</f>
        <v>0</v>
      </c>
      <c r="I866" s="234"/>
      <c r="J866" s="411"/>
      <c r="K866" s="411"/>
      <c r="L866" s="414">
        <v>0.1</v>
      </c>
      <c r="M866" s="414">
        <f>ROUND(+L866*C866,4)</f>
        <v>0</v>
      </c>
      <c r="N866" s="414"/>
      <c r="O866" s="414"/>
      <c r="P866" s="414"/>
      <c r="Q866" s="419">
        <f>ROUND(+N866+O866+P866,4)</f>
        <v>0</v>
      </c>
      <c r="R866" s="419">
        <f>ROUND(IF(+Q866-H866&lt;=0,0,Q866-H866),4)</f>
        <v>0</v>
      </c>
      <c r="S866" s="423">
        <v>0.5</v>
      </c>
      <c r="T866" s="419">
        <f>ROUND(+(R866*C866)*S866,4)</f>
        <v>0</v>
      </c>
      <c r="U866" s="419">
        <f>ROUND(+J866+M866+T866,4)</f>
        <v>0</v>
      </c>
      <c r="V866" s="235"/>
    </row>
    <row r="867" spans="1:22" ht="15.75" x14ac:dyDescent="0.25">
      <c r="A867" s="231"/>
      <c r="B867" s="232"/>
      <c r="C867" s="400"/>
      <c r="D867" s="233"/>
      <c r="E867" s="405"/>
      <c r="F867" s="405"/>
      <c r="G867" s="405"/>
      <c r="H867" s="408">
        <f>ROUND(+E867+F867+G867,4)</f>
        <v>0</v>
      </c>
      <c r="I867" s="234"/>
      <c r="J867" s="411"/>
      <c r="K867" s="411"/>
      <c r="L867" s="414">
        <v>0.1</v>
      </c>
      <c r="M867" s="414">
        <f>ROUND(+L867*C867,4)</f>
        <v>0</v>
      </c>
      <c r="N867" s="414"/>
      <c r="O867" s="414"/>
      <c r="P867" s="414"/>
      <c r="Q867" s="419">
        <f>ROUND(+N867+O867+P867,4)</f>
        <v>0</v>
      </c>
      <c r="R867" s="419">
        <f>ROUND(IF(+Q867-H867&lt;=0,0,Q867-H867),4)</f>
        <v>0</v>
      </c>
      <c r="S867" s="423">
        <v>0.5</v>
      </c>
      <c r="T867" s="419">
        <f>ROUND(+(R867*C867)*S867,4)</f>
        <v>0</v>
      </c>
      <c r="U867" s="419">
        <f>ROUND(+J867+M867+T867,4)</f>
        <v>0</v>
      </c>
      <c r="V867" s="235"/>
    </row>
    <row r="868" spans="1:22" ht="15.75" x14ac:dyDescent="0.25">
      <c r="A868" s="231"/>
      <c r="B868" s="232"/>
      <c r="C868" s="400"/>
      <c r="D868" s="233"/>
      <c r="E868" s="405"/>
      <c r="F868" s="405"/>
      <c r="G868" s="405"/>
      <c r="H868" s="408">
        <f>ROUND(+E868+F868+G868,4)</f>
        <v>0</v>
      </c>
      <c r="I868" s="234"/>
      <c r="J868" s="411"/>
      <c r="K868" s="411"/>
      <c r="L868" s="414">
        <v>0.1</v>
      </c>
      <c r="M868" s="414">
        <f>ROUND(+L868*C868,4)</f>
        <v>0</v>
      </c>
      <c r="N868" s="414"/>
      <c r="O868" s="414"/>
      <c r="P868" s="414"/>
      <c r="Q868" s="419">
        <f>ROUND(+N868+O868+P868,4)</f>
        <v>0</v>
      </c>
      <c r="R868" s="419">
        <f>ROUND(IF(+Q868-H868&lt;=0,0,Q868-H868),4)</f>
        <v>0</v>
      </c>
      <c r="S868" s="423">
        <v>0.5</v>
      </c>
      <c r="T868" s="419">
        <f>ROUND(+(R868*C868)*S868,4)</f>
        <v>0</v>
      </c>
      <c r="U868" s="419">
        <f>ROUND(+J868+M868+T868,4)</f>
        <v>0</v>
      </c>
      <c r="V868" s="235"/>
    </row>
    <row r="869" spans="1:22" ht="15.75" x14ac:dyDescent="0.25">
      <c r="A869" s="231"/>
      <c r="B869" s="232"/>
      <c r="C869" s="400"/>
      <c r="D869" s="233"/>
      <c r="E869" s="405"/>
      <c r="F869" s="405"/>
      <c r="G869" s="405"/>
      <c r="H869" s="408">
        <f>ROUND(+E869+F869+G869,4)</f>
        <v>0</v>
      </c>
      <c r="I869" s="234"/>
      <c r="J869" s="411"/>
      <c r="K869" s="411"/>
      <c r="L869" s="414">
        <v>0.1</v>
      </c>
      <c r="M869" s="414">
        <f>ROUND(+L869*C869,4)</f>
        <v>0</v>
      </c>
      <c r="N869" s="414"/>
      <c r="O869" s="414"/>
      <c r="P869" s="414"/>
      <c r="Q869" s="419">
        <f>ROUND(+N869+O869+P869,4)</f>
        <v>0</v>
      </c>
      <c r="R869" s="419">
        <f>ROUND(IF(+Q869-H869&lt;=0,0,Q869-H869),4)</f>
        <v>0</v>
      </c>
      <c r="S869" s="423">
        <v>0.5</v>
      </c>
      <c r="T869" s="419">
        <f>ROUND(+(R869*C869)*S869,4)</f>
        <v>0</v>
      </c>
      <c r="U869" s="419">
        <f>ROUND(+J869+M869+T869,4)</f>
        <v>0</v>
      </c>
      <c r="V869" s="235"/>
    </row>
    <row r="870" spans="1:22" ht="15.75" x14ac:dyDescent="0.25">
      <c r="A870" s="231"/>
      <c r="B870" s="232"/>
      <c r="C870" s="400"/>
      <c r="D870" s="233"/>
      <c r="E870" s="405"/>
      <c r="F870" s="405"/>
      <c r="G870" s="405"/>
      <c r="H870" s="408">
        <f>ROUND(+E870+F870+G870,4)</f>
        <v>0</v>
      </c>
      <c r="I870" s="234"/>
      <c r="J870" s="411"/>
      <c r="K870" s="411"/>
      <c r="L870" s="414">
        <v>0.1</v>
      </c>
      <c r="M870" s="414">
        <f>ROUND(+L870*C870,4)</f>
        <v>0</v>
      </c>
      <c r="N870" s="414"/>
      <c r="O870" s="414"/>
      <c r="P870" s="414"/>
      <c r="Q870" s="419">
        <f>ROUND(+N870+O870+P870,4)</f>
        <v>0</v>
      </c>
      <c r="R870" s="419">
        <f>ROUND(IF(+Q870-H870&lt;=0,0,Q870-H870),4)</f>
        <v>0</v>
      </c>
      <c r="S870" s="423">
        <v>0.5</v>
      </c>
      <c r="T870" s="419">
        <f>ROUND(+(R870*C870)*S870,4)</f>
        <v>0</v>
      </c>
      <c r="U870" s="419">
        <f>ROUND(+J870+M870+T870,4)</f>
        <v>0</v>
      </c>
      <c r="V870" s="235"/>
    </row>
    <row r="871" spans="1:22" ht="15.75" x14ac:dyDescent="0.25">
      <c r="A871" s="231"/>
      <c r="B871" s="232"/>
      <c r="C871" s="400"/>
      <c r="D871" s="233"/>
      <c r="E871" s="405"/>
      <c r="F871" s="405"/>
      <c r="G871" s="405"/>
      <c r="H871" s="408">
        <f>ROUND(+E871+F871+G871,4)</f>
        <v>0</v>
      </c>
      <c r="I871" s="234"/>
      <c r="J871" s="411"/>
      <c r="K871" s="411"/>
      <c r="L871" s="414">
        <v>0.1</v>
      </c>
      <c r="M871" s="414">
        <f>ROUND(+L871*C871,4)</f>
        <v>0</v>
      </c>
      <c r="N871" s="414"/>
      <c r="O871" s="414"/>
      <c r="P871" s="414"/>
      <c r="Q871" s="419">
        <f>ROUND(+N871+O871+P871,4)</f>
        <v>0</v>
      </c>
      <c r="R871" s="419">
        <f>ROUND(IF(+Q871-H871&lt;=0,0,Q871-H871),4)</f>
        <v>0</v>
      </c>
      <c r="S871" s="423">
        <v>0.5</v>
      </c>
      <c r="T871" s="419">
        <f>ROUND(+(R871*C871)*S871,4)</f>
        <v>0</v>
      </c>
      <c r="U871" s="419">
        <f>ROUND(+J871+M871+T871,4)</f>
        <v>0</v>
      </c>
      <c r="V871" s="235"/>
    </row>
    <row r="872" spans="1:22" ht="15.75" x14ac:dyDescent="0.25">
      <c r="A872" s="231"/>
      <c r="B872" s="232"/>
      <c r="C872" s="400"/>
      <c r="D872" s="233"/>
      <c r="E872" s="405"/>
      <c r="F872" s="405"/>
      <c r="G872" s="405"/>
      <c r="H872" s="408">
        <f>ROUND(+E872+F872+G872,4)</f>
        <v>0</v>
      </c>
      <c r="I872" s="234"/>
      <c r="J872" s="411"/>
      <c r="K872" s="411"/>
      <c r="L872" s="414">
        <v>0.1</v>
      </c>
      <c r="M872" s="414">
        <f>ROUND(+L872*C872,4)</f>
        <v>0</v>
      </c>
      <c r="N872" s="414"/>
      <c r="O872" s="414"/>
      <c r="P872" s="414"/>
      <c r="Q872" s="419">
        <f>ROUND(+N872+O872+P872,4)</f>
        <v>0</v>
      </c>
      <c r="R872" s="419">
        <f>ROUND(IF(+Q872-H872&lt;=0,0,Q872-H872),4)</f>
        <v>0</v>
      </c>
      <c r="S872" s="423">
        <v>0.5</v>
      </c>
      <c r="T872" s="419">
        <f>ROUND(+(R872*C872)*S872,4)</f>
        <v>0</v>
      </c>
      <c r="U872" s="419">
        <f>ROUND(+J872+M872+T872,4)</f>
        <v>0</v>
      </c>
      <c r="V872" s="235"/>
    </row>
    <row r="873" spans="1:22" ht="15.75" x14ac:dyDescent="0.25">
      <c r="A873" s="231"/>
      <c r="B873" s="232"/>
      <c r="C873" s="400"/>
      <c r="D873" s="233"/>
      <c r="E873" s="405"/>
      <c r="F873" s="405"/>
      <c r="G873" s="405"/>
      <c r="H873" s="408">
        <f>ROUND(+E873+F873+G873,4)</f>
        <v>0</v>
      </c>
      <c r="I873" s="234"/>
      <c r="J873" s="411"/>
      <c r="K873" s="411"/>
      <c r="L873" s="414">
        <v>0.1</v>
      </c>
      <c r="M873" s="414">
        <f>ROUND(+L873*C873,4)</f>
        <v>0</v>
      </c>
      <c r="N873" s="414"/>
      <c r="O873" s="414"/>
      <c r="P873" s="414"/>
      <c r="Q873" s="419">
        <f>ROUND(+N873+O873+P873,4)</f>
        <v>0</v>
      </c>
      <c r="R873" s="419">
        <f>ROUND(IF(+Q873-H873&lt;=0,0,Q873-H873),4)</f>
        <v>0</v>
      </c>
      <c r="S873" s="423">
        <v>0.5</v>
      </c>
      <c r="T873" s="419">
        <f>ROUND(+(R873*C873)*S873,4)</f>
        <v>0</v>
      </c>
      <c r="U873" s="419">
        <f>ROUND(+J873+M873+T873,4)</f>
        <v>0</v>
      </c>
      <c r="V873" s="235"/>
    </row>
    <row r="874" spans="1:22" ht="15.75" x14ac:dyDescent="0.25">
      <c r="A874" s="231"/>
      <c r="B874" s="232"/>
      <c r="C874" s="400"/>
      <c r="D874" s="233"/>
      <c r="E874" s="405"/>
      <c r="F874" s="405"/>
      <c r="G874" s="405"/>
      <c r="H874" s="408">
        <f>ROUND(+E874+F874+G874,4)</f>
        <v>0</v>
      </c>
      <c r="I874" s="234"/>
      <c r="J874" s="411"/>
      <c r="K874" s="411"/>
      <c r="L874" s="414">
        <v>0.1</v>
      </c>
      <c r="M874" s="414">
        <f>ROUND(+L874*C874,4)</f>
        <v>0</v>
      </c>
      <c r="N874" s="414"/>
      <c r="O874" s="414"/>
      <c r="P874" s="414"/>
      <c r="Q874" s="419">
        <f>ROUND(+N874+O874+P874,4)</f>
        <v>0</v>
      </c>
      <c r="R874" s="419">
        <f>ROUND(IF(+Q874-H874&lt;=0,0,Q874-H874),4)</f>
        <v>0</v>
      </c>
      <c r="S874" s="423">
        <v>0.5</v>
      </c>
      <c r="T874" s="419">
        <f>ROUND(+(R874*C874)*S874,4)</f>
        <v>0</v>
      </c>
      <c r="U874" s="419">
        <f>ROUND(+J874+M874+T874,4)</f>
        <v>0</v>
      </c>
      <c r="V874" s="235"/>
    </row>
    <row r="875" spans="1:22" ht="15.75" x14ac:dyDescent="0.25">
      <c r="A875" s="231"/>
      <c r="B875" s="232"/>
      <c r="C875" s="400"/>
      <c r="D875" s="233"/>
      <c r="E875" s="405"/>
      <c r="F875" s="405"/>
      <c r="G875" s="405"/>
      <c r="H875" s="408">
        <f>ROUND(+E875+F875+G875,4)</f>
        <v>0</v>
      </c>
      <c r="I875" s="234"/>
      <c r="J875" s="411"/>
      <c r="K875" s="411"/>
      <c r="L875" s="414">
        <v>0.1</v>
      </c>
      <c r="M875" s="414">
        <f>ROUND(+L875*C875,4)</f>
        <v>0</v>
      </c>
      <c r="N875" s="414"/>
      <c r="O875" s="414"/>
      <c r="P875" s="414"/>
      <c r="Q875" s="419">
        <f>ROUND(+N875+O875+P875,4)</f>
        <v>0</v>
      </c>
      <c r="R875" s="419">
        <f>ROUND(IF(+Q875-H875&lt;=0,0,Q875-H875),4)</f>
        <v>0</v>
      </c>
      <c r="S875" s="423">
        <v>0.5</v>
      </c>
      <c r="T875" s="419">
        <f>ROUND(+(R875*C875)*S875,4)</f>
        <v>0</v>
      </c>
      <c r="U875" s="419">
        <f>ROUND(+J875+M875+T875,4)</f>
        <v>0</v>
      </c>
      <c r="V875" s="235"/>
    </row>
    <row r="876" spans="1:22" ht="15.75" x14ac:dyDescent="0.25">
      <c r="A876" s="231"/>
      <c r="B876" s="232"/>
      <c r="C876" s="400"/>
      <c r="D876" s="233"/>
      <c r="E876" s="405"/>
      <c r="F876" s="405"/>
      <c r="G876" s="405"/>
      <c r="H876" s="408">
        <f>ROUND(+E876+F876+G876,4)</f>
        <v>0</v>
      </c>
      <c r="I876" s="234"/>
      <c r="J876" s="411"/>
      <c r="K876" s="411"/>
      <c r="L876" s="414">
        <v>0.1</v>
      </c>
      <c r="M876" s="414">
        <f>ROUND(+L876*C876,4)</f>
        <v>0</v>
      </c>
      <c r="N876" s="414"/>
      <c r="O876" s="414"/>
      <c r="P876" s="414"/>
      <c r="Q876" s="419">
        <f>ROUND(+N876+O876+P876,4)</f>
        <v>0</v>
      </c>
      <c r="R876" s="419">
        <f>ROUND(IF(+Q876-H876&lt;=0,0,Q876-H876),4)</f>
        <v>0</v>
      </c>
      <c r="S876" s="423">
        <v>0.5</v>
      </c>
      <c r="T876" s="419">
        <f>ROUND(+(R876*C876)*S876,4)</f>
        <v>0</v>
      </c>
      <c r="U876" s="419">
        <f>ROUND(+J876+M876+T876,4)</f>
        <v>0</v>
      </c>
      <c r="V876" s="235"/>
    </row>
    <row r="877" spans="1:22" ht="15.75" x14ac:dyDescent="0.25">
      <c r="A877" s="231"/>
      <c r="B877" s="232"/>
      <c r="C877" s="400"/>
      <c r="D877" s="233"/>
      <c r="E877" s="405"/>
      <c r="F877" s="405"/>
      <c r="G877" s="405"/>
      <c r="H877" s="408">
        <f>ROUND(+E877+F877+G877,4)</f>
        <v>0</v>
      </c>
      <c r="I877" s="234"/>
      <c r="J877" s="411"/>
      <c r="K877" s="411"/>
      <c r="L877" s="414">
        <v>0.1</v>
      </c>
      <c r="M877" s="414">
        <f>ROUND(+L877*C877,4)</f>
        <v>0</v>
      </c>
      <c r="N877" s="414"/>
      <c r="O877" s="414"/>
      <c r="P877" s="414"/>
      <c r="Q877" s="419">
        <f>ROUND(+N877+O877+P877,4)</f>
        <v>0</v>
      </c>
      <c r="R877" s="419">
        <f>ROUND(IF(+Q877-H877&lt;=0,0,Q877-H877),4)</f>
        <v>0</v>
      </c>
      <c r="S877" s="423">
        <v>0.5</v>
      </c>
      <c r="T877" s="419">
        <f>ROUND(+(R877*C877)*S877,4)</f>
        <v>0</v>
      </c>
      <c r="U877" s="419">
        <f>ROUND(+J877+M877+T877,4)</f>
        <v>0</v>
      </c>
      <c r="V877" s="235"/>
    </row>
    <row r="878" spans="1:22" ht="15.75" x14ac:dyDescent="0.25">
      <c r="A878" s="231"/>
      <c r="B878" s="232"/>
      <c r="C878" s="400"/>
      <c r="D878" s="233"/>
      <c r="E878" s="405"/>
      <c r="F878" s="405"/>
      <c r="G878" s="405"/>
      <c r="H878" s="408">
        <f>ROUND(+E878+F878+G878,4)</f>
        <v>0</v>
      </c>
      <c r="I878" s="234"/>
      <c r="J878" s="411"/>
      <c r="K878" s="411"/>
      <c r="L878" s="414">
        <v>0.1</v>
      </c>
      <c r="M878" s="414">
        <f>ROUND(+L878*C878,4)</f>
        <v>0</v>
      </c>
      <c r="N878" s="414"/>
      <c r="O878" s="414"/>
      <c r="P878" s="414"/>
      <c r="Q878" s="419">
        <f>ROUND(+N878+O878+P878,4)</f>
        <v>0</v>
      </c>
      <c r="R878" s="419">
        <f>ROUND(IF(+Q878-H878&lt;=0,0,Q878-H878),4)</f>
        <v>0</v>
      </c>
      <c r="S878" s="423">
        <v>0.5</v>
      </c>
      <c r="T878" s="419">
        <f>ROUND(+(R878*C878)*S878,4)</f>
        <v>0</v>
      </c>
      <c r="U878" s="419">
        <f>ROUND(+J878+M878+T878,4)</f>
        <v>0</v>
      </c>
      <c r="V878" s="235"/>
    </row>
    <row r="879" spans="1:22" ht="15.75" x14ac:dyDescent="0.25">
      <c r="A879" s="231"/>
      <c r="B879" s="232"/>
      <c r="C879" s="400"/>
      <c r="D879" s="233"/>
      <c r="E879" s="405"/>
      <c r="F879" s="405"/>
      <c r="G879" s="405"/>
      <c r="H879" s="408">
        <f>ROUND(+E879+F879+G879,4)</f>
        <v>0</v>
      </c>
      <c r="I879" s="234"/>
      <c r="J879" s="411"/>
      <c r="K879" s="411"/>
      <c r="L879" s="414">
        <v>0.1</v>
      </c>
      <c r="M879" s="414">
        <f>ROUND(+L879*C879,4)</f>
        <v>0</v>
      </c>
      <c r="N879" s="414"/>
      <c r="O879" s="414"/>
      <c r="P879" s="414"/>
      <c r="Q879" s="419">
        <f>ROUND(+N879+O879+P879,4)</f>
        <v>0</v>
      </c>
      <c r="R879" s="419">
        <f>ROUND(IF(+Q879-H879&lt;=0,0,Q879-H879),4)</f>
        <v>0</v>
      </c>
      <c r="S879" s="423">
        <v>0.5</v>
      </c>
      <c r="T879" s="419">
        <f>ROUND(+(R879*C879)*S879,4)</f>
        <v>0</v>
      </c>
      <c r="U879" s="419">
        <f>ROUND(+J879+M879+T879,4)</f>
        <v>0</v>
      </c>
      <c r="V879" s="235"/>
    </row>
    <row r="880" spans="1:22" ht="15.75" x14ac:dyDescent="0.25">
      <c r="A880" s="231"/>
      <c r="B880" s="232"/>
      <c r="C880" s="400"/>
      <c r="D880" s="233"/>
      <c r="E880" s="405"/>
      <c r="F880" s="405"/>
      <c r="G880" s="405"/>
      <c r="H880" s="408">
        <f>ROUND(+E880+F880+G880,4)</f>
        <v>0</v>
      </c>
      <c r="I880" s="234"/>
      <c r="J880" s="411"/>
      <c r="K880" s="411"/>
      <c r="L880" s="414">
        <v>0.1</v>
      </c>
      <c r="M880" s="414">
        <f>ROUND(+L880*C880,4)</f>
        <v>0</v>
      </c>
      <c r="N880" s="414"/>
      <c r="O880" s="414"/>
      <c r="P880" s="414"/>
      <c r="Q880" s="419">
        <f>ROUND(+N880+O880+P880,4)</f>
        <v>0</v>
      </c>
      <c r="R880" s="419">
        <f>ROUND(IF(+Q880-H880&lt;=0,0,Q880-H880),4)</f>
        <v>0</v>
      </c>
      <c r="S880" s="423">
        <v>0.5</v>
      </c>
      <c r="T880" s="419">
        <f>ROUND(+(R880*C880)*S880,4)</f>
        <v>0</v>
      </c>
      <c r="U880" s="419">
        <f>ROUND(+J880+M880+T880,4)</f>
        <v>0</v>
      </c>
      <c r="V880" s="235"/>
    </row>
    <row r="881" spans="1:22" ht="15.75" x14ac:dyDescent="0.25">
      <c r="A881" s="231"/>
      <c r="B881" s="232"/>
      <c r="C881" s="400"/>
      <c r="D881" s="233"/>
      <c r="E881" s="405"/>
      <c r="F881" s="405"/>
      <c r="G881" s="405"/>
      <c r="H881" s="408">
        <f>ROUND(+E881+F881+G881,4)</f>
        <v>0</v>
      </c>
      <c r="I881" s="234"/>
      <c r="J881" s="411"/>
      <c r="K881" s="411"/>
      <c r="L881" s="414">
        <v>0.1</v>
      </c>
      <c r="M881" s="414">
        <f>ROUND(+L881*C881,4)</f>
        <v>0</v>
      </c>
      <c r="N881" s="414"/>
      <c r="O881" s="414"/>
      <c r="P881" s="414"/>
      <c r="Q881" s="419">
        <f>ROUND(+N881+O881+P881,4)</f>
        <v>0</v>
      </c>
      <c r="R881" s="419">
        <f>ROUND(IF(+Q881-H881&lt;=0,0,Q881-H881),4)</f>
        <v>0</v>
      </c>
      <c r="S881" s="423">
        <v>0.5</v>
      </c>
      <c r="T881" s="419">
        <f>ROUND(+(R881*C881)*S881,4)</f>
        <v>0</v>
      </c>
      <c r="U881" s="419">
        <f>ROUND(+J881+M881+T881,4)</f>
        <v>0</v>
      </c>
      <c r="V881" s="235"/>
    </row>
    <row r="882" spans="1:22" ht="15.75" x14ac:dyDescent="0.25">
      <c r="A882" s="231"/>
      <c r="B882" s="232"/>
      <c r="C882" s="400"/>
      <c r="D882" s="233"/>
      <c r="E882" s="405"/>
      <c r="F882" s="405"/>
      <c r="G882" s="405"/>
      <c r="H882" s="408">
        <f>ROUND(+E882+F882+G882,4)</f>
        <v>0</v>
      </c>
      <c r="I882" s="234"/>
      <c r="J882" s="411"/>
      <c r="K882" s="411"/>
      <c r="L882" s="414">
        <v>0.1</v>
      </c>
      <c r="M882" s="414">
        <f>ROUND(+L882*C882,4)</f>
        <v>0</v>
      </c>
      <c r="N882" s="414"/>
      <c r="O882" s="414"/>
      <c r="P882" s="414"/>
      <c r="Q882" s="419">
        <f>ROUND(+N882+O882+P882,4)</f>
        <v>0</v>
      </c>
      <c r="R882" s="419">
        <f>ROUND(IF(+Q882-H882&lt;=0,0,Q882-H882),4)</f>
        <v>0</v>
      </c>
      <c r="S882" s="423">
        <v>0.5</v>
      </c>
      <c r="T882" s="419">
        <f>ROUND(+(R882*C882)*S882,4)</f>
        <v>0</v>
      </c>
      <c r="U882" s="419">
        <f>ROUND(+J882+M882+T882,4)</f>
        <v>0</v>
      </c>
      <c r="V882" s="235"/>
    </row>
    <row r="883" spans="1:22" ht="15.75" x14ac:dyDescent="0.25">
      <c r="A883" s="231"/>
      <c r="B883" s="232"/>
      <c r="C883" s="400"/>
      <c r="D883" s="233"/>
      <c r="E883" s="405"/>
      <c r="F883" s="405"/>
      <c r="G883" s="405"/>
      <c r="H883" s="408">
        <f>ROUND(+E883+F883+G883,4)</f>
        <v>0</v>
      </c>
      <c r="I883" s="234"/>
      <c r="J883" s="411"/>
      <c r="K883" s="411"/>
      <c r="L883" s="414">
        <v>0.1</v>
      </c>
      <c r="M883" s="414">
        <f>ROUND(+L883*C883,4)</f>
        <v>0</v>
      </c>
      <c r="N883" s="414"/>
      <c r="O883" s="414"/>
      <c r="P883" s="414"/>
      <c r="Q883" s="419">
        <f>ROUND(+N883+O883+P883,4)</f>
        <v>0</v>
      </c>
      <c r="R883" s="419">
        <f>ROUND(IF(+Q883-H883&lt;=0,0,Q883-H883),4)</f>
        <v>0</v>
      </c>
      <c r="S883" s="423">
        <v>0.5</v>
      </c>
      <c r="T883" s="419">
        <f>ROUND(+(R883*C883)*S883,4)</f>
        <v>0</v>
      </c>
      <c r="U883" s="419">
        <f>ROUND(+J883+M883+T883,4)</f>
        <v>0</v>
      </c>
      <c r="V883" s="235"/>
    </row>
    <row r="884" spans="1:22" ht="15.75" x14ac:dyDescent="0.25">
      <c r="A884" s="231"/>
      <c r="B884" s="232"/>
      <c r="C884" s="400"/>
      <c r="D884" s="233"/>
      <c r="E884" s="405"/>
      <c r="F884" s="405"/>
      <c r="G884" s="405"/>
      <c r="H884" s="408">
        <f>ROUND(+E884+F884+G884,4)</f>
        <v>0</v>
      </c>
      <c r="I884" s="234"/>
      <c r="J884" s="411"/>
      <c r="K884" s="411"/>
      <c r="L884" s="414">
        <v>0.1</v>
      </c>
      <c r="M884" s="414">
        <f>ROUND(+L884*C884,4)</f>
        <v>0</v>
      </c>
      <c r="N884" s="414"/>
      <c r="O884" s="414"/>
      <c r="P884" s="414"/>
      <c r="Q884" s="419">
        <f>ROUND(+N884+O884+P884,4)</f>
        <v>0</v>
      </c>
      <c r="R884" s="419">
        <f>ROUND(IF(+Q884-H884&lt;=0,0,Q884-H884),4)</f>
        <v>0</v>
      </c>
      <c r="S884" s="423">
        <v>0.5</v>
      </c>
      <c r="T884" s="419">
        <f>ROUND(+(R884*C884)*S884,4)</f>
        <v>0</v>
      </c>
      <c r="U884" s="419">
        <f>ROUND(+J884+M884+T884,4)</f>
        <v>0</v>
      </c>
      <c r="V884" s="235"/>
    </row>
    <row r="885" spans="1:22" ht="15.75" x14ac:dyDescent="0.25">
      <c r="A885" s="231"/>
      <c r="B885" s="232"/>
      <c r="C885" s="400"/>
      <c r="D885" s="233"/>
      <c r="E885" s="405"/>
      <c r="F885" s="405"/>
      <c r="G885" s="405"/>
      <c r="H885" s="408">
        <f>ROUND(+E885+F885+G885,4)</f>
        <v>0</v>
      </c>
      <c r="I885" s="234"/>
      <c r="J885" s="411"/>
      <c r="K885" s="411"/>
      <c r="L885" s="414">
        <v>0.1</v>
      </c>
      <c r="M885" s="414">
        <f>ROUND(+L885*C885,4)</f>
        <v>0</v>
      </c>
      <c r="N885" s="414"/>
      <c r="O885" s="414"/>
      <c r="P885" s="414"/>
      <c r="Q885" s="419">
        <f>ROUND(+N885+O885+P885,4)</f>
        <v>0</v>
      </c>
      <c r="R885" s="419">
        <f>ROUND(IF(+Q885-H885&lt;=0,0,Q885-H885),4)</f>
        <v>0</v>
      </c>
      <c r="S885" s="423">
        <v>0.5</v>
      </c>
      <c r="T885" s="419">
        <f>ROUND(+(R885*C885)*S885,4)</f>
        <v>0</v>
      </c>
      <c r="U885" s="419">
        <f>ROUND(+J885+M885+T885,4)</f>
        <v>0</v>
      </c>
      <c r="V885" s="235"/>
    </row>
    <row r="886" spans="1:22" ht="15.75" x14ac:dyDescent="0.25">
      <c r="A886" s="231"/>
      <c r="B886" s="232"/>
      <c r="C886" s="400"/>
      <c r="D886" s="233"/>
      <c r="E886" s="405"/>
      <c r="F886" s="405"/>
      <c r="G886" s="405"/>
      <c r="H886" s="408">
        <f>ROUND(+E886+F886+G886,4)</f>
        <v>0</v>
      </c>
      <c r="I886" s="234"/>
      <c r="J886" s="411"/>
      <c r="K886" s="411"/>
      <c r="L886" s="414">
        <v>0.1</v>
      </c>
      <c r="M886" s="414">
        <f>ROUND(+L886*C886,4)</f>
        <v>0</v>
      </c>
      <c r="N886" s="414"/>
      <c r="O886" s="414"/>
      <c r="P886" s="414"/>
      <c r="Q886" s="419">
        <f>ROUND(+N886+O886+P886,4)</f>
        <v>0</v>
      </c>
      <c r="R886" s="419">
        <f>ROUND(IF(+Q886-H886&lt;=0,0,Q886-H886),4)</f>
        <v>0</v>
      </c>
      <c r="S886" s="423">
        <v>0.5</v>
      </c>
      <c r="T886" s="419">
        <f>ROUND(+(R886*C886)*S886,4)</f>
        <v>0</v>
      </c>
      <c r="U886" s="419">
        <f>ROUND(+J886+M886+T886,4)</f>
        <v>0</v>
      </c>
      <c r="V886" s="235"/>
    </row>
    <row r="887" spans="1:22" ht="15.75" x14ac:dyDescent="0.25">
      <c r="A887" s="231"/>
      <c r="B887" s="232"/>
      <c r="C887" s="400"/>
      <c r="D887" s="233"/>
      <c r="E887" s="405"/>
      <c r="F887" s="405"/>
      <c r="G887" s="405"/>
      <c r="H887" s="408">
        <f>ROUND(+E887+F887+G887,4)</f>
        <v>0</v>
      </c>
      <c r="I887" s="234"/>
      <c r="J887" s="411"/>
      <c r="K887" s="411"/>
      <c r="L887" s="414">
        <v>0.1</v>
      </c>
      <c r="M887" s="414">
        <f>ROUND(+L887*C887,4)</f>
        <v>0</v>
      </c>
      <c r="N887" s="414"/>
      <c r="O887" s="414"/>
      <c r="P887" s="414"/>
      <c r="Q887" s="419">
        <f>ROUND(+N887+O887+P887,4)</f>
        <v>0</v>
      </c>
      <c r="R887" s="419">
        <f>ROUND(IF(+Q887-H887&lt;=0,0,Q887-H887),4)</f>
        <v>0</v>
      </c>
      <c r="S887" s="423">
        <v>0.5</v>
      </c>
      <c r="T887" s="419">
        <f>ROUND(+(R887*C887)*S887,4)</f>
        <v>0</v>
      </c>
      <c r="U887" s="419">
        <f>ROUND(+J887+M887+T887,4)</f>
        <v>0</v>
      </c>
      <c r="V887" s="235"/>
    </row>
    <row r="888" spans="1:22" ht="15.75" x14ac:dyDescent="0.25">
      <c r="A888" s="231"/>
      <c r="B888" s="232"/>
      <c r="C888" s="400"/>
      <c r="D888" s="233"/>
      <c r="E888" s="405"/>
      <c r="F888" s="405"/>
      <c r="G888" s="405"/>
      <c r="H888" s="408">
        <f>ROUND(+E888+F888+G888,4)</f>
        <v>0</v>
      </c>
      <c r="I888" s="234"/>
      <c r="J888" s="411"/>
      <c r="K888" s="411"/>
      <c r="L888" s="414">
        <v>0.1</v>
      </c>
      <c r="M888" s="414">
        <f>ROUND(+L888*C888,4)</f>
        <v>0</v>
      </c>
      <c r="N888" s="414"/>
      <c r="O888" s="414"/>
      <c r="P888" s="414"/>
      <c r="Q888" s="419">
        <f>ROUND(+N888+O888+P888,4)</f>
        <v>0</v>
      </c>
      <c r="R888" s="419">
        <f>ROUND(IF(+Q888-H888&lt;=0,0,Q888-H888),4)</f>
        <v>0</v>
      </c>
      <c r="S888" s="423">
        <v>0.5</v>
      </c>
      <c r="T888" s="419">
        <f>ROUND(+(R888*C888)*S888,4)</f>
        <v>0</v>
      </c>
      <c r="U888" s="419">
        <f>ROUND(+J888+M888+T888,4)</f>
        <v>0</v>
      </c>
      <c r="V888" s="235"/>
    </row>
    <row r="889" spans="1:22" ht="15.75" x14ac:dyDescent="0.25">
      <c r="A889" s="231"/>
      <c r="B889" s="232"/>
      <c r="C889" s="400"/>
      <c r="D889" s="233"/>
      <c r="E889" s="405"/>
      <c r="F889" s="405"/>
      <c r="G889" s="405"/>
      <c r="H889" s="408">
        <f>ROUND(+E889+F889+G889,4)</f>
        <v>0</v>
      </c>
      <c r="I889" s="234"/>
      <c r="J889" s="411"/>
      <c r="K889" s="411"/>
      <c r="L889" s="414">
        <v>0.1</v>
      </c>
      <c r="M889" s="414">
        <f>ROUND(+L889*C889,4)</f>
        <v>0</v>
      </c>
      <c r="N889" s="414"/>
      <c r="O889" s="414"/>
      <c r="P889" s="414"/>
      <c r="Q889" s="419">
        <f>ROUND(+N889+O889+P889,4)</f>
        <v>0</v>
      </c>
      <c r="R889" s="419">
        <f>ROUND(IF(+Q889-H889&lt;=0,0,Q889-H889),4)</f>
        <v>0</v>
      </c>
      <c r="S889" s="423">
        <v>0.5</v>
      </c>
      <c r="T889" s="419">
        <f>ROUND(+(R889*C889)*S889,4)</f>
        <v>0</v>
      </c>
      <c r="U889" s="419">
        <f>ROUND(+J889+M889+T889,4)</f>
        <v>0</v>
      </c>
      <c r="V889" s="235"/>
    </row>
    <row r="890" spans="1:22" ht="15.75" x14ac:dyDescent="0.25">
      <c r="A890" s="231"/>
      <c r="B890" s="232"/>
      <c r="C890" s="400"/>
      <c r="D890" s="233"/>
      <c r="E890" s="405"/>
      <c r="F890" s="405"/>
      <c r="G890" s="405"/>
      <c r="H890" s="408">
        <f>ROUND(+E890+F890+G890,4)</f>
        <v>0</v>
      </c>
      <c r="I890" s="234"/>
      <c r="J890" s="411"/>
      <c r="K890" s="411"/>
      <c r="L890" s="414">
        <v>0.1</v>
      </c>
      <c r="M890" s="414">
        <f>ROUND(+L890*C890,4)</f>
        <v>0</v>
      </c>
      <c r="N890" s="414"/>
      <c r="O890" s="414"/>
      <c r="P890" s="414"/>
      <c r="Q890" s="419">
        <f>ROUND(+N890+O890+P890,4)</f>
        <v>0</v>
      </c>
      <c r="R890" s="419">
        <f>ROUND(IF(+Q890-H890&lt;=0,0,Q890-H890),4)</f>
        <v>0</v>
      </c>
      <c r="S890" s="423">
        <v>0.5</v>
      </c>
      <c r="T890" s="419">
        <f>ROUND(+(R890*C890)*S890,4)</f>
        <v>0</v>
      </c>
      <c r="U890" s="419">
        <f>ROUND(+J890+M890+T890,4)</f>
        <v>0</v>
      </c>
      <c r="V890" s="235"/>
    </row>
    <row r="891" spans="1:22" ht="15.75" x14ac:dyDescent="0.25">
      <c r="A891" s="231"/>
      <c r="B891" s="232"/>
      <c r="C891" s="400"/>
      <c r="D891" s="233"/>
      <c r="E891" s="405"/>
      <c r="F891" s="405"/>
      <c r="G891" s="405"/>
      <c r="H891" s="408">
        <f>ROUND(+E891+F891+G891,4)</f>
        <v>0</v>
      </c>
      <c r="I891" s="234"/>
      <c r="J891" s="411"/>
      <c r="K891" s="411"/>
      <c r="L891" s="414">
        <v>0.1</v>
      </c>
      <c r="M891" s="414">
        <f>ROUND(+L891*C891,4)</f>
        <v>0</v>
      </c>
      <c r="N891" s="414"/>
      <c r="O891" s="414"/>
      <c r="P891" s="414"/>
      <c r="Q891" s="419">
        <f>ROUND(+N891+O891+P891,4)</f>
        <v>0</v>
      </c>
      <c r="R891" s="419">
        <f>ROUND(IF(+Q891-H891&lt;=0,0,Q891-H891),4)</f>
        <v>0</v>
      </c>
      <c r="S891" s="423">
        <v>0.5</v>
      </c>
      <c r="T891" s="419">
        <f>ROUND(+(R891*C891)*S891,4)</f>
        <v>0</v>
      </c>
      <c r="U891" s="419">
        <f>ROUND(+J891+M891+T891,4)</f>
        <v>0</v>
      </c>
      <c r="V891" s="235"/>
    </row>
    <row r="892" spans="1:22" ht="15.75" x14ac:dyDescent="0.25">
      <c r="A892" s="231"/>
      <c r="B892" s="232"/>
      <c r="C892" s="400"/>
      <c r="D892" s="233"/>
      <c r="E892" s="405"/>
      <c r="F892" s="405"/>
      <c r="G892" s="405"/>
      <c r="H892" s="408">
        <f>ROUND(+E892+F892+G892,4)</f>
        <v>0</v>
      </c>
      <c r="I892" s="234"/>
      <c r="J892" s="411"/>
      <c r="K892" s="411"/>
      <c r="L892" s="414">
        <v>0.1</v>
      </c>
      <c r="M892" s="414">
        <f>ROUND(+L892*C892,4)</f>
        <v>0</v>
      </c>
      <c r="N892" s="414"/>
      <c r="O892" s="414"/>
      <c r="P892" s="414"/>
      <c r="Q892" s="419">
        <f>ROUND(+N892+O892+P892,4)</f>
        <v>0</v>
      </c>
      <c r="R892" s="419">
        <f>ROUND(IF(+Q892-H892&lt;=0,0,Q892-H892),4)</f>
        <v>0</v>
      </c>
      <c r="S892" s="423">
        <v>0.5</v>
      </c>
      <c r="T892" s="419">
        <f>ROUND(+(R892*C892)*S892,4)</f>
        <v>0</v>
      </c>
      <c r="U892" s="419">
        <f>ROUND(+J892+M892+T892,4)</f>
        <v>0</v>
      </c>
      <c r="V892" s="235"/>
    </row>
    <row r="893" spans="1:22" ht="15.75" x14ac:dyDescent="0.25">
      <c r="A893" s="231"/>
      <c r="B893" s="232"/>
      <c r="C893" s="400"/>
      <c r="D893" s="233"/>
      <c r="E893" s="405"/>
      <c r="F893" s="405"/>
      <c r="G893" s="405"/>
      <c r="H893" s="408">
        <f>ROUND(+E893+F893+G893,4)</f>
        <v>0</v>
      </c>
      <c r="I893" s="234"/>
      <c r="J893" s="411"/>
      <c r="K893" s="411"/>
      <c r="L893" s="414">
        <v>0.1</v>
      </c>
      <c r="M893" s="414">
        <f>ROUND(+L893*C893,4)</f>
        <v>0</v>
      </c>
      <c r="N893" s="414"/>
      <c r="O893" s="414"/>
      <c r="P893" s="414"/>
      <c r="Q893" s="419">
        <f>ROUND(+N893+O893+P893,4)</f>
        <v>0</v>
      </c>
      <c r="R893" s="419">
        <f>ROUND(IF(+Q893-H893&lt;=0,0,Q893-H893),4)</f>
        <v>0</v>
      </c>
      <c r="S893" s="423">
        <v>0.5</v>
      </c>
      <c r="T893" s="419">
        <f>ROUND(+(R893*C893)*S893,4)</f>
        <v>0</v>
      </c>
      <c r="U893" s="419">
        <f>ROUND(+J893+M893+T893,4)</f>
        <v>0</v>
      </c>
      <c r="V893" s="235"/>
    </row>
    <row r="894" spans="1:22" ht="15.75" x14ac:dyDescent="0.25">
      <c r="A894" s="231"/>
      <c r="B894" s="232"/>
      <c r="C894" s="400"/>
      <c r="D894" s="233"/>
      <c r="E894" s="405"/>
      <c r="F894" s="405"/>
      <c r="G894" s="405"/>
      <c r="H894" s="408">
        <f>ROUND(+E894+F894+G894,4)</f>
        <v>0</v>
      </c>
      <c r="I894" s="234"/>
      <c r="J894" s="411"/>
      <c r="K894" s="411"/>
      <c r="L894" s="414">
        <v>0.1</v>
      </c>
      <c r="M894" s="414">
        <f>ROUND(+L894*C894,4)</f>
        <v>0</v>
      </c>
      <c r="N894" s="414"/>
      <c r="O894" s="414"/>
      <c r="P894" s="414"/>
      <c r="Q894" s="419">
        <f>ROUND(+N894+O894+P894,4)</f>
        <v>0</v>
      </c>
      <c r="R894" s="419">
        <f>ROUND(IF(+Q894-H894&lt;=0,0,Q894-H894),4)</f>
        <v>0</v>
      </c>
      <c r="S894" s="423">
        <v>0.5</v>
      </c>
      <c r="T894" s="419">
        <f>ROUND(+(R894*C894)*S894,4)</f>
        <v>0</v>
      </c>
      <c r="U894" s="419">
        <f>ROUND(+J894+M894+T894,4)</f>
        <v>0</v>
      </c>
      <c r="V894" s="235"/>
    </row>
    <row r="895" spans="1:22" ht="15.75" x14ac:dyDescent="0.25">
      <c r="A895" s="231"/>
      <c r="B895" s="232"/>
      <c r="C895" s="400"/>
      <c r="D895" s="233"/>
      <c r="E895" s="405"/>
      <c r="F895" s="405"/>
      <c r="G895" s="405"/>
      <c r="H895" s="408">
        <f>ROUND(+E895+F895+G895,4)</f>
        <v>0</v>
      </c>
      <c r="I895" s="234"/>
      <c r="J895" s="411"/>
      <c r="K895" s="411"/>
      <c r="L895" s="414">
        <v>0.1</v>
      </c>
      <c r="M895" s="414">
        <f>ROUND(+L895*C895,4)</f>
        <v>0</v>
      </c>
      <c r="N895" s="414"/>
      <c r="O895" s="414"/>
      <c r="P895" s="414"/>
      <c r="Q895" s="419">
        <f>ROUND(+N895+O895+P895,4)</f>
        <v>0</v>
      </c>
      <c r="R895" s="419">
        <f>ROUND(IF(+Q895-H895&lt;=0,0,Q895-H895),4)</f>
        <v>0</v>
      </c>
      <c r="S895" s="423">
        <v>0.5</v>
      </c>
      <c r="T895" s="419">
        <f>ROUND(+(R895*C895)*S895,4)</f>
        <v>0</v>
      </c>
      <c r="U895" s="419">
        <f>ROUND(+J895+M895+T895,4)</f>
        <v>0</v>
      </c>
      <c r="V895" s="235"/>
    </row>
    <row r="896" spans="1:22" ht="15.75" x14ac:dyDescent="0.25">
      <c r="A896" s="231"/>
      <c r="B896" s="232"/>
      <c r="C896" s="400"/>
      <c r="D896" s="233"/>
      <c r="E896" s="405"/>
      <c r="F896" s="405"/>
      <c r="G896" s="405"/>
      <c r="H896" s="408">
        <f>ROUND(+E896+F896+G896,4)</f>
        <v>0</v>
      </c>
      <c r="I896" s="234"/>
      <c r="J896" s="411"/>
      <c r="K896" s="411"/>
      <c r="L896" s="414">
        <v>0.1</v>
      </c>
      <c r="M896" s="414">
        <f>ROUND(+L896*C896,4)</f>
        <v>0</v>
      </c>
      <c r="N896" s="414"/>
      <c r="O896" s="414"/>
      <c r="P896" s="414"/>
      <c r="Q896" s="419">
        <f>ROUND(+N896+O896+P896,4)</f>
        <v>0</v>
      </c>
      <c r="R896" s="419">
        <f>ROUND(IF(+Q896-H896&lt;=0,0,Q896-H896),4)</f>
        <v>0</v>
      </c>
      <c r="S896" s="423">
        <v>0.5</v>
      </c>
      <c r="T896" s="419">
        <f>ROUND(+(R896*C896)*S896,4)</f>
        <v>0</v>
      </c>
      <c r="U896" s="419">
        <f>ROUND(+J896+M896+T896,4)</f>
        <v>0</v>
      </c>
      <c r="V896" s="235"/>
    </row>
    <row r="897" spans="1:22" ht="15.75" x14ac:dyDescent="0.25">
      <c r="A897" s="231"/>
      <c r="B897" s="232"/>
      <c r="C897" s="400"/>
      <c r="D897" s="233"/>
      <c r="E897" s="405"/>
      <c r="F897" s="405"/>
      <c r="G897" s="405"/>
      <c r="H897" s="408">
        <f>ROUND(+E897+F897+G897,4)</f>
        <v>0</v>
      </c>
      <c r="I897" s="234"/>
      <c r="J897" s="411"/>
      <c r="K897" s="411"/>
      <c r="L897" s="414">
        <v>0.1</v>
      </c>
      <c r="M897" s="414">
        <f>ROUND(+L897*C897,4)</f>
        <v>0</v>
      </c>
      <c r="N897" s="414"/>
      <c r="O897" s="414"/>
      <c r="P897" s="414"/>
      <c r="Q897" s="419">
        <f>ROUND(+N897+O897+P897,4)</f>
        <v>0</v>
      </c>
      <c r="R897" s="419">
        <f>ROUND(IF(+Q897-H897&lt;=0,0,Q897-H897),4)</f>
        <v>0</v>
      </c>
      <c r="S897" s="423">
        <v>0.5</v>
      </c>
      <c r="T897" s="419">
        <f>ROUND(+(R897*C897)*S897,4)</f>
        <v>0</v>
      </c>
      <c r="U897" s="419">
        <f>ROUND(+J897+M897+T897,4)</f>
        <v>0</v>
      </c>
      <c r="V897" s="235"/>
    </row>
    <row r="898" spans="1:22" ht="15.75" x14ac:dyDescent="0.25">
      <c r="A898" s="231"/>
      <c r="B898" s="232"/>
      <c r="C898" s="400"/>
      <c r="D898" s="233"/>
      <c r="E898" s="405"/>
      <c r="F898" s="405"/>
      <c r="G898" s="405"/>
      <c r="H898" s="408">
        <f>ROUND(+E898+F898+G898,4)</f>
        <v>0</v>
      </c>
      <c r="I898" s="234"/>
      <c r="J898" s="411"/>
      <c r="K898" s="411"/>
      <c r="L898" s="414">
        <v>0.1</v>
      </c>
      <c r="M898" s="414">
        <f>ROUND(+L898*C898,4)</f>
        <v>0</v>
      </c>
      <c r="N898" s="414"/>
      <c r="O898" s="414"/>
      <c r="P898" s="414"/>
      <c r="Q898" s="419">
        <f>ROUND(+N898+O898+P898,4)</f>
        <v>0</v>
      </c>
      <c r="R898" s="419">
        <f>ROUND(IF(+Q898-H898&lt;=0,0,Q898-H898),4)</f>
        <v>0</v>
      </c>
      <c r="S898" s="423">
        <v>0.5</v>
      </c>
      <c r="T898" s="419">
        <f>ROUND(+(R898*C898)*S898,4)</f>
        <v>0</v>
      </c>
      <c r="U898" s="419">
        <f>ROUND(+J898+M898+T898,4)</f>
        <v>0</v>
      </c>
      <c r="V898" s="235"/>
    </row>
    <row r="899" spans="1:22" ht="15.75" x14ac:dyDescent="0.25">
      <c r="A899" s="231"/>
      <c r="B899" s="232"/>
      <c r="C899" s="400"/>
      <c r="D899" s="233"/>
      <c r="E899" s="405"/>
      <c r="F899" s="405"/>
      <c r="G899" s="405"/>
      <c r="H899" s="408">
        <f>ROUND(+E899+F899+G899,4)</f>
        <v>0</v>
      </c>
      <c r="I899" s="234"/>
      <c r="J899" s="411"/>
      <c r="K899" s="411"/>
      <c r="L899" s="414">
        <v>0.1</v>
      </c>
      <c r="M899" s="414">
        <f>ROUND(+L899*C899,4)</f>
        <v>0</v>
      </c>
      <c r="N899" s="414"/>
      <c r="O899" s="414"/>
      <c r="P899" s="414"/>
      <c r="Q899" s="419">
        <f>ROUND(+N899+O899+P899,4)</f>
        <v>0</v>
      </c>
      <c r="R899" s="419">
        <f>ROUND(IF(+Q899-H899&lt;=0,0,Q899-H899),4)</f>
        <v>0</v>
      </c>
      <c r="S899" s="423">
        <v>0.5</v>
      </c>
      <c r="T899" s="419">
        <f>ROUND(+(R899*C899)*S899,4)</f>
        <v>0</v>
      </c>
      <c r="U899" s="419">
        <f>ROUND(+J899+M899+T899,4)</f>
        <v>0</v>
      </c>
      <c r="V899" s="235"/>
    </row>
    <row r="900" spans="1:22" ht="15.75" x14ac:dyDescent="0.25">
      <c r="A900" s="231"/>
      <c r="B900" s="232"/>
      <c r="C900" s="400"/>
      <c r="D900" s="233"/>
      <c r="E900" s="405"/>
      <c r="F900" s="405"/>
      <c r="G900" s="405"/>
      <c r="H900" s="408">
        <f>ROUND(+E900+F900+G900,4)</f>
        <v>0</v>
      </c>
      <c r="I900" s="234"/>
      <c r="J900" s="411"/>
      <c r="K900" s="411"/>
      <c r="L900" s="414">
        <v>0.1</v>
      </c>
      <c r="M900" s="414">
        <f>ROUND(+L900*C900,4)</f>
        <v>0</v>
      </c>
      <c r="N900" s="414"/>
      <c r="O900" s="414"/>
      <c r="P900" s="414"/>
      <c r="Q900" s="419">
        <f>ROUND(+N900+O900+P900,4)</f>
        <v>0</v>
      </c>
      <c r="R900" s="419">
        <f>ROUND(IF(+Q900-H900&lt;=0,0,Q900-H900),4)</f>
        <v>0</v>
      </c>
      <c r="S900" s="423">
        <v>0.5</v>
      </c>
      <c r="T900" s="419">
        <f>ROUND(+(R900*C900)*S900,4)</f>
        <v>0</v>
      </c>
      <c r="U900" s="419">
        <f>ROUND(+J900+M900+T900,4)</f>
        <v>0</v>
      </c>
      <c r="V900" s="235"/>
    </row>
    <row r="901" spans="1:22" ht="15.75" x14ac:dyDescent="0.25">
      <c r="A901" s="231"/>
      <c r="B901" s="232"/>
      <c r="C901" s="400"/>
      <c r="D901" s="233"/>
      <c r="E901" s="405"/>
      <c r="F901" s="405"/>
      <c r="G901" s="405"/>
      <c r="H901" s="408">
        <f>ROUND(+E901+F901+G901,4)</f>
        <v>0</v>
      </c>
      <c r="I901" s="234"/>
      <c r="J901" s="411"/>
      <c r="K901" s="411"/>
      <c r="L901" s="414">
        <v>0.1</v>
      </c>
      <c r="M901" s="414">
        <f>ROUND(+L901*C901,4)</f>
        <v>0</v>
      </c>
      <c r="N901" s="414"/>
      <c r="O901" s="414"/>
      <c r="P901" s="414"/>
      <c r="Q901" s="419">
        <f>ROUND(+N901+O901+P901,4)</f>
        <v>0</v>
      </c>
      <c r="R901" s="419">
        <f>ROUND(IF(+Q901-H901&lt;=0,0,Q901-H901),4)</f>
        <v>0</v>
      </c>
      <c r="S901" s="423">
        <v>0.5</v>
      </c>
      <c r="T901" s="419">
        <f>ROUND(+(R901*C901)*S901,4)</f>
        <v>0</v>
      </c>
      <c r="U901" s="419">
        <f>ROUND(+J901+M901+T901,4)</f>
        <v>0</v>
      </c>
      <c r="V901" s="235"/>
    </row>
    <row r="902" spans="1:22" ht="15.75" x14ac:dyDescent="0.25">
      <c r="A902" s="231"/>
      <c r="B902" s="232"/>
      <c r="C902" s="400"/>
      <c r="D902" s="233"/>
      <c r="E902" s="405"/>
      <c r="F902" s="405"/>
      <c r="G902" s="405"/>
      <c r="H902" s="408">
        <f>ROUND(+E902+F902+G902,4)</f>
        <v>0</v>
      </c>
      <c r="I902" s="234"/>
      <c r="J902" s="411"/>
      <c r="K902" s="411"/>
      <c r="L902" s="414">
        <v>0.1</v>
      </c>
      <c r="M902" s="414">
        <f>ROUND(+L902*C902,4)</f>
        <v>0</v>
      </c>
      <c r="N902" s="414"/>
      <c r="O902" s="414"/>
      <c r="P902" s="414"/>
      <c r="Q902" s="419">
        <f>ROUND(+N902+O902+P902,4)</f>
        <v>0</v>
      </c>
      <c r="R902" s="419">
        <f>ROUND(IF(+Q902-H902&lt;=0,0,Q902-H902),4)</f>
        <v>0</v>
      </c>
      <c r="S902" s="423">
        <v>0.5</v>
      </c>
      <c r="T902" s="419">
        <f>ROUND(+(R902*C902)*S902,4)</f>
        <v>0</v>
      </c>
      <c r="U902" s="419">
        <f>ROUND(+J902+M902+T902,4)</f>
        <v>0</v>
      </c>
      <c r="V902" s="235"/>
    </row>
    <row r="903" spans="1:22" ht="15.75" x14ac:dyDescent="0.25">
      <c r="A903" s="231"/>
      <c r="B903" s="232"/>
      <c r="C903" s="400"/>
      <c r="D903" s="233"/>
      <c r="E903" s="405"/>
      <c r="F903" s="405"/>
      <c r="G903" s="405"/>
      <c r="H903" s="408">
        <f>ROUND(+E903+F903+G903,4)</f>
        <v>0</v>
      </c>
      <c r="I903" s="234"/>
      <c r="J903" s="411"/>
      <c r="K903" s="411"/>
      <c r="L903" s="414">
        <v>0.1</v>
      </c>
      <c r="M903" s="414">
        <f>ROUND(+L903*C903,4)</f>
        <v>0</v>
      </c>
      <c r="N903" s="414"/>
      <c r="O903" s="414"/>
      <c r="P903" s="414"/>
      <c r="Q903" s="419">
        <f>ROUND(+N903+O903+P903,4)</f>
        <v>0</v>
      </c>
      <c r="R903" s="419">
        <f>ROUND(IF(+Q903-H903&lt;=0,0,Q903-H903),4)</f>
        <v>0</v>
      </c>
      <c r="S903" s="423">
        <v>0.5</v>
      </c>
      <c r="T903" s="419">
        <f>ROUND(+(R903*C903)*S903,4)</f>
        <v>0</v>
      </c>
      <c r="U903" s="419">
        <f>ROUND(+J903+M903+T903,4)</f>
        <v>0</v>
      </c>
      <c r="V903" s="235"/>
    </row>
    <row r="904" spans="1:22" ht="15.75" x14ac:dyDescent="0.25">
      <c r="A904" s="231"/>
      <c r="B904" s="232"/>
      <c r="C904" s="400"/>
      <c r="D904" s="233"/>
      <c r="E904" s="405"/>
      <c r="F904" s="405"/>
      <c r="G904" s="405"/>
      <c r="H904" s="408">
        <f>ROUND(+E904+F904+G904,4)</f>
        <v>0</v>
      </c>
      <c r="I904" s="234"/>
      <c r="J904" s="411"/>
      <c r="K904" s="411"/>
      <c r="L904" s="414">
        <v>0.1</v>
      </c>
      <c r="M904" s="414">
        <f>ROUND(+L904*C904,4)</f>
        <v>0</v>
      </c>
      <c r="N904" s="414"/>
      <c r="O904" s="414"/>
      <c r="P904" s="414"/>
      <c r="Q904" s="419">
        <f>ROUND(+N904+O904+P904,4)</f>
        <v>0</v>
      </c>
      <c r="R904" s="419">
        <f>ROUND(IF(+Q904-H904&lt;=0,0,Q904-H904),4)</f>
        <v>0</v>
      </c>
      <c r="S904" s="423">
        <v>0.5</v>
      </c>
      <c r="T904" s="419">
        <f>ROUND(+(R904*C904)*S904,4)</f>
        <v>0</v>
      </c>
      <c r="U904" s="419">
        <f>ROUND(+J904+M904+T904,4)</f>
        <v>0</v>
      </c>
      <c r="V904" s="235"/>
    </row>
    <row r="905" spans="1:22" ht="15.75" x14ac:dyDescent="0.25">
      <c r="A905" s="231"/>
      <c r="B905" s="232"/>
      <c r="C905" s="400"/>
      <c r="D905" s="233"/>
      <c r="E905" s="405"/>
      <c r="F905" s="405"/>
      <c r="G905" s="405"/>
      <c r="H905" s="408">
        <f>ROUND(+E905+F905+G905,4)</f>
        <v>0</v>
      </c>
      <c r="I905" s="234"/>
      <c r="J905" s="411"/>
      <c r="K905" s="411"/>
      <c r="L905" s="414">
        <v>0.1</v>
      </c>
      <c r="M905" s="414">
        <f>ROUND(+L905*C905,4)</f>
        <v>0</v>
      </c>
      <c r="N905" s="414"/>
      <c r="O905" s="414"/>
      <c r="P905" s="414"/>
      <c r="Q905" s="419">
        <f>ROUND(+N905+O905+P905,4)</f>
        <v>0</v>
      </c>
      <c r="R905" s="419">
        <f>ROUND(IF(+Q905-H905&lt;=0,0,Q905-H905),4)</f>
        <v>0</v>
      </c>
      <c r="S905" s="423">
        <v>0.5</v>
      </c>
      <c r="T905" s="419">
        <f>ROUND(+(R905*C905)*S905,4)</f>
        <v>0</v>
      </c>
      <c r="U905" s="419">
        <f>ROUND(+J905+M905+T905,4)</f>
        <v>0</v>
      </c>
      <c r="V905" s="235"/>
    </row>
    <row r="906" spans="1:22" ht="15.75" x14ac:dyDescent="0.25">
      <c r="A906" s="231"/>
      <c r="B906" s="232"/>
      <c r="C906" s="400"/>
      <c r="D906" s="233"/>
      <c r="E906" s="405"/>
      <c r="F906" s="405"/>
      <c r="G906" s="405"/>
      <c r="H906" s="408">
        <f>ROUND(+E906+F906+G906,4)</f>
        <v>0</v>
      </c>
      <c r="I906" s="234"/>
      <c r="J906" s="411"/>
      <c r="K906" s="411"/>
      <c r="L906" s="414">
        <v>0.1</v>
      </c>
      <c r="M906" s="414">
        <f>ROUND(+L906*C906,4)</f>
        <v>0</v>
      </c>
      <c r="N906" s="414"/>
      <c r="O906" s="414"/>
      <c r="P906" s="414"/>
      <c r="Q906" s="419">
        <f>ROUND(+N906+O906+P906,4)</f>
        <v>0</v>
      </c>
      <c r="R906" s="419">
        <f>ROUND(IF(+Q906-H906&lt;=0,0,Q906-H906),4)</f>
        <v>0</v>
      </c>
      <c r="S906" s="423">
        <v>0.5</v>
      </c>
      <c r="T906" s="419">
        <f>ROUND(+(R906*C906)*S906,4)</f>
        <v>0</v>
      </c>
      <c r="U906" s="419">
        <f>ROUND(+J906+M906+T906,4)</f>
        <v>0</v>
      </c>
      <c r="V906" s="235"/>
    </row>
    <row r="907" spans="1:22" ht="15.75" x14ac:dyDescent="0.25">
      <c r="A907" s="231"/>
      <c r="B907" s="232"/>
      <c r="C907" s="400"/>
      <c r="D907" s="233"/>
      <c r="E907" s="405"/>
      <c r="F907" s="405"/>
      <c r="G907" s="405"/>
      <c r="H907" s="408">
        <f>ROUND(+E907+F907+G907,4)</f>
        <v>0</v>
      </c>
      <c r="I907" s="234"/>
      <c r="J907" s="411"/>
      <c r="K907" s="411"/>
      <c r="L907" s="414">
        <v>0.1</v>
      </c>
      <c r="M907" s="414">
        <f>ROUND(+L907*C907,4)</f>
        <v>0</v>
      </c>
      <c r="N907" s="414"/>
      <c r="O907" s="414"/>
      <c r="P907" s="414"/>
      <c r="Q907" s="419">
        <f>ROUND(+N907+O907+P907,4)</f>
        <v>0</v>
      </c>
      <c r="R907" s="419">
        <f>ROUND(IF(+Q907-H907&lt;=0,0,Q907-H907),4)</f>
        <v>0</v>
      </c>
      <c r="S907" s="423">
        <v>0.5</v>
      </c>
      <c r="T907" s="419">
        <f>ROUND(+(R907*C907)*S907,4)</f>
        <v>0</v>
      </c>
      <c r="U907" s="419">
        <f>ROUND(+J907+M907+T907,4)</f>
        <v>0</v>
      </c>
      <c r="V907" s="235"/>
    </row>
    <row r="908" spans="1:22" ht="15.75" x14ac:dyDescent="0.25">
      <c r="A908" s="231"/>
      <c r="B908" s="232"/>
      <c r="C908" s="400"/>
      <c r="D908" s="233"/>
      <c r="E908" s="405"/>
      <c r="F908" s="405"/>
      <c r="G908" s="405"/>
      <c r="H908" s="408">
        <f>ROUND(+E908+F908+G908,4)</f>
        <v>0</v>
      </c>
      <c r="I908" s="234"/>
      <c r="J908" s="411"/>
      <c r="K908" s="411"/>
      <c r="L908" s="414">
        <v>0.1</v>
      </c>
      <c r="M908" s="414">
        <f>ROUND(+L908*C908,4)</f>
        <v>0</v>
      </c>
      <c r="N908" s="414"/>
      <c r="O908" s="414"/>
      <c r="P908" s="414"/>
      <c r="Q908" s="419">
        <f>ROUND(+N908+O908+P908,4)</f>
        <v>0</v>
      </c>
      <c r="R908" s="419">
        <f>ROUND(IF(+Q908-H908&lt;=0,0,Q908-H908),4)</f>
        <v>0</v>
      </c>
      <c r="S908" s="423">
        <v>0.5</v>
      </c>
      <c r="T908" s="419">
        <f>ROUND(+(R908*C908)*S908,4)</f>
        <v>0</v>
      </c>
      <c r="U908" s="419">
        <f>ROUND(+J908+M908+T908,4)</f>
        <v>0</v>
      </c>
      <c r="V908" s="235"/>
    </row>
    <row r="909" spans="1:22" ht="15.75" x14ac:dyDescent="0.25">
      <c r="A909" s="231"/>
      <c r="B909" s="232"/>
      <c r="C909" s="400"/>
      <c r="D909" s="233"/>
      <c r="E909" s="405"/>
      <c r="F909" s="405"/>
      <c r="G909" s="405"/>
      <c r="H909" s="408">
        <f>ROUND(+E909+F909+G909,4)</f>
        <v>0</v>
      </c>
      <c r="I909" s="234"/>
      <c r="J909" s="411"/>
      <c r="K909" s="411"/>
      <c r="L909" s="414">
        <v>0.1</v>
      </c>
      <c r="M909" s="414">
        <f>ROUND(+L909*C909,4)</f>
        <v>0</v>
      </c>
      <c r="N909" s="414"/>
      <c r="O909" s="414"/>
      <c r="P909" s="414"/>
      <c r="Q909" s="419">
        <f>ROUND(+N909+O909+P909,4)</f>
        <v>0</v>
      </c>
      <c r="R909" s="419">
        <f>ROUND(IF(+Q909-H909&lt;=0,0,Q909-H909),4)</f>
        <v>0</v>
      </c>
      <c r="S909" s="423">
        <v>0.5</v>
      </c>
      <c r="T909" s="419">
        <f>ROUND(+(R909*C909)*S909,4)</f>
        <v>0</v>
      </c>
      <c r="U909" s="419">
        <f>ROUND(+J909+M909+T909,4)</f>
        <v>0</v>
      </c>
      <c r="V909" s="235"/>
    </row>
    <row r="910" spans="1:22" ht="15.75" x14ac:dyDescent="0.25">
      <c r="A910" s="231"/>
      <c r="B910" s="232"/>
      <c r="C910" s="400"/>
      <c r="D910" s="233"/>
      <c r="E910" s="405"/>
      <c r="F910" s="405"/>
      <c r="G910" s="405"/>
      <c r="H910" s="408">
        <f>ROUND(+E910+F910+G910,4)</f>
        <v>0</v>
      </c>
      <c r="I910" s="234"/>
      <c r="J910" s="411"/>
      <c r="K910" s="411"/>
      <c r="L910" s="414">
        <v>0.1</v>
      </c>
      <c r="M910" s="414">
        <f>ROUND(+L910*C910,4)</f>
        <v>0</v>
      </c>
      <c r="N910" s="414"/>
      <c r="O910" s="414"/>
      <c r="P910" s="414"/>
      <c r="Q910" s="419">
        <f>ROUND(+N910+O910+P910,4)</f>
        <v>0</v>
      </c>
      <c r="R910" s="419">
        <f>ROUND(IF(+Q910-H910&lt;=0,0,Q910-H910),4)</f>
        <v>0</v>
      </c>
      <c r="S910" s="423">
        <v>0.5</v>
      </c>
      <c r="T910" s="419">
        <f>ROUND(+(R910*C910)*S910,4)</f>
        <v>0</v>
      </c>
      <c r="U910" s="419">
        <f>ROUND(+J910+M910+T910,4)</f>
        <v>0</v>
      </c>
      <c r="V910" s="235"/>
    </row>
    <row r="911" spans="1:22" ht="15.75" x14ac:dyDescent="0.25">
      <c r="A911" s="231"/>
      <c r="B911" s="232"/>
      <c r="C911" s="400"/>
      <c r="D911" s="233"/>
      <c r="E911" s="405"/>
      <c r="F911" s="405"/>
      <c r="G911" s="405"/>
      <c r="H911" s="408">
        <f>ROUND(+E911+F911+G911,4)</f>
        <v>0</v>
      </c>
      <c r="I911" s="234"/>
      <c r="J911" s="411"/>
      <c r="K911" s="411"/>
      <c r="L911" s="414">
        <v>0.1</v>
      </c>
      <c r="M911" s="414">
        <f>ROUND(+L911*C911,4)</f>
        <v>0</v>
      </c>
      <c r="N911" s="414"/>
      <c r="O911" s="414"/>
      <c r="P911" s="414"/>
      <c r="Q911" s="419">
        <f>ROUND(+N911+O911+P911,4)</f>
        <v>0</v>
      </c>
      <c r="R911" s="419">
        <f>ROUND(IF(+Q911-H911&lt;=0,0,Q911-H911),4)</f>
        <v>0</v>
      </c>
      <c r="S911" s="423">
        <v>0.5</v>
      </c>
      <c r="T911" s="419">
        <f>ROUND(+(R911*C911)*S911,4)</f>
        <v>0</v>
      </c>
      <c r="U911" s="419">
        <f>ROUND(+J911+M911+T911,4)</f>
        <v>0</v>
      </c>
      <c r="V911" s="235"/>
    </row>
    <row r="912" spans="1:22" ht="15.75" x14ac:dyDescent="0.25">
      <c r="A912" s="231"/>
      <c r="B912" s="232"/>
      <c r="C912" s="400"/>
      <c r="D912" s="233"/>
      <c r="E912" s="405"/>
      <c r="F912" s="405"/>
      <c r="G912" s="405"/>
      <c r="H912" s="408">
        <f>ROUND(+E912+F912+G912,4)</f>
        <v>0</v>
      </c>
      <c r="I912" s="234"/>
      <c r="J912" s="411"/>
      <c r="K912" s="411"/>
      <c r="L912" s="414">
        <v>0.1</v>
      </c>
      <c r="M912" s="414">
        <f>ROUND(+L912*C912,4)</f>
        <v>0</v>
      </c>
      <c r="N912" s="414"/>
      <c r="O912" s="414"/>
      <c r="P912" s="414"/>
      <c r="Q912" s="419">
        <f>ROUND(+N912+O912+P912,4)</f>
        <v>0</v>
      </c>
      <c r="R912" s="419">
        <f>ROUND(IF(+Q912-H912&lt;=0,0,Q912-H912),4)</f>
        <v>0</v>
      </c>
      <c r="S912" s="423">
        <v>0.5</v>
      </c>
      <c r="T912" s="419">
        <f>ROUND(+(R912*C912)*S912,4)</f>
        <v>0</v>
      </c>
      <c r="U912" s="419">
        <f>ROUND(+J912+M912+T912,4)</f>
        <v>0</v>
      </c>
      <c r="V912" s="235"/>
    </row>
    <row r="913" spans="1:22" ht="15.75" x14ac:dyDescent="0.25">
      <c r="A913" s="231"/>
      <c r="B913" s="232"/>
      <c r="C913" s="400"/>
      <c r="D913" s="233"/>
      <c r="E913" s="405"/>
      <c r="F913" s="405"/>
      <c r="G913" s="405"/>
      <c r="H913" s="408">
        <f>ROUND(+E913+F913+G913,4)</f>
        <v>0</v>
      </c>
      <c r="I913" s="234"/>
      <c r="J913" s="411"/>
      <c r="K913" s="411"/>
      <c r="L913" s="414">
        <v>0.1</v>
      </c>
      <c r="M913" s="414">
        <f>ROUND(+L913*C913,4)</f>
        <v>0</v>
      </c>
      <c r="N913" s="414"/>
      <c r="O913" s="414"/>
      <c r="P913" s="414"/>
      <c r="Q913" s="419">
        <f>ROUND(+N913+O913+P913,4)</f>
        <v>0</v>
      </c>
      <c r="R913" s="419">
        <f>ROUND(IF(+Q913-H913&lt;=0,0,Q913-H913),4)</f>
        <v>0</v>
      </c>
      <c r="S913" s="423">
        <v>0.5</v>
      </c>
      <c r="T913" s="419">
        <f>ROUND(+(R913*C913)*S913,4)</f>
        <v>0</v>
      </c>
      <c r="U913" s="419">
        <f>ROUND(+J913+M913+T913,4)</f>
        <v>0</v>
      </c>
      <c r="V913" s="235"/>
    </row>
    <row r="914" spans="1:22" ht="15.75" x14ac:dyDescent="0.25">
      <c r="A914" s="231"/>
      <c r="B914" s="232"/>
      <c r="C914" s="400"/>
      <c r="D914" s="233"/>
      <c r="E914" s="405"/>
      <c r="F914" s="405"/>
      <c r="G914" s="405"/>
      <c r="H914" s="408">
        <f>ROUND(+E914+F914+G914,4)</f>
        <v>0</v>
      </c>
      <c r="I914" s="234"/>
      <c r="J914" s="411"/>
      <c r="K914" s="411"/>
      <c r="L914" s="414">
        <v>0.1</v>
      </c>
      <c r="M914" s="414">
        <f>ROUND(+L914*C914,4)</f>
        <v>0</v>
      </c>
      <c r="N914" s="414"/>
      <c r="O914" s="414"/>
      <c r="P914" s="414"/>
      <c r="Q914" s="419">
        <f>ROUND(+N914+O914+P914,4)</f>
        <v>0</v>
      </c>
      <c r="R914" s="419">
        <f>ROUND(IF(+Q914-H914&lt;=0,0,Q914-H914),4)</f>
        <v>0</v>
      </c>
      <c r="S914" s="423">
        <v>0.5</v>
      </c>
      <c r="T914" s="419">
        <f>ROUND(+(R914*C914)*S914,4)</f>
        <v>0</v>
      </c>
      <c r="U914" s="419">
        <f>ROUND(+J914+M914+T914,4)</f>
        <v>0</v>
      </c>
      <c r="V914" s="235"/>
    </row>
    <row r="915" spans="1:22" ht="15.75" x14ac:dyDescent="0.25">
      <c r="A915" s="231"/>
      <c r="B915" s="232"/>
      <c r="C915" s="400"/>
      <c r="D915" s="233"/>
      <c r="E915" s="405"/>
      <c r="F915" s="405"/>
      <c r="G915" s="405"/>
      <c r="H915" s="408">
        <f>ROUND(+E915+F915+G915,4)</f>
        <v>0</v>
      </c>
      <c r="I915" s="234"/>
      <c r="J915" s="411"/>
      <c r="K915" s="411"/>
      <c r="L915" s="414">
        <v>0.1</v>
      </c>
      <c r="M915" s="414">
        <f>ROUND(+L915*C915,4)</f>
        <v>0</v>
      </c>
      <c r="N915" s="414"/>
      <c r="O915" s="414"/>
      <c r="P915" s="414"/>
      <c r="Q915" s="419">
        <f>ROUND(+N915+O915+P915,4)</f>
        <v>0</v>
      </c>
      <c r="R915" s="419">
        <f>ROUND(IF(+Q915-H915&lt;=0,0,Q915-H915),4)</f>
        <v>0</v>
      </c>
      <c r="S915" s="423">
        <v>0.5</v>
      </c>
      <c r="T915" s="419">
        <f>ROUND(+(R915*C915)*S915,4)</f>
        <v>0</v>
      </c>
      <c r="U915" s="419">
        <f>ROUND(+J915+M915+T915,4)</f>
        <v>0</v>
      </c>
      <c r="V915" s="235"/>
    </row>
    <row r="916" spans="1:22" ht="15.75" x14ac:dyDescent="0.25">
      <c r="A916" s="231"/>
      <c r="B916" s="232"/>
      <c r="C916" s="400"/>
      <c r="D916" s="233"/>
      <c r="E916" s="405"/>
      <c r="F916" s="405"/>
      <c r="G916" s="405"/>
      <c r="H916" s="408">
        <f>ROUND(+E916+F916+G916,4)</f>
        <v>0</v>
      </c>
      <c r="I916" s="234"/>
      <c r="J916" s="411"/>
      <c r="K916" s="411"/>
      <c r="L916" s="414">
        <v>0.1</v>
      </c>
      <c r="M916" s="414">
        <f>ROUND(+L916*C916,4)</f>
        <v>0</v>
      </c>
      <c r="N916" s="414"/>
      <c r="O916" s="414"/>
      <c r="P916" s="414"/>
      <c r="Q916" s="419">
        <f>ROUND(+N916+O916+P916,4)</f>
        <v>0</v>
      </c>
      <c r="R916" s="419">
        <f>ROUND(IF(+Q916-H916&lt;=0,0,Q916-H916),4)</f>
        <v>0</v>
      </c>
      <c r="S916" s="423">
        <v>0.5</v>
      </c>
      <c r="T916" s="419">
        <f>ROUND(+(R916*C916)*S916,4)</f>
        <v>0</v>
      </c>
      <c r="U916" s="419">
        <f>ROUND(+J916+M916+T916,4)</f>
        <v>0</v>
      </c>
      <c r="V916" s="235"/>
    </row>
    <row r="917" spans="1:22" ht="15.75" x14ac:dyDescent="0.25">
      <c r="A917" s="231"/>
      <c r="B917" s="232"/>
      <c r="C917" s="400"/>
      <c r="D917" s="233"/>
      <c r="E917" s="405"/>
      <c r="F917" s="405"/>
      <c r="G917" s="405"/>
      <c r="H917" s="408">
        <f>ROUND(+E917+F917+G917,4)</f>
        <v>0</v>
      </c>
      <c r="I917" s="234"/>
      <c r="J917" s="411"/>
      <c r="K917" s="411"/>
      <c r="L917" s="414">
        <v>0.1</v>
      </c>
      <c r="M917" s="414">
        <f>ROUND(+L917*C917,4)</f>
        <v>0</v>
      </c>
      <c r="N917" s="414"/>
      <c r="O917" s="414"/>
      <c r="P917" s="414"/>
      <c r="Q917" s="419">
        <f>ROUND(+N917+O917+P917,4)</f>
        <v>0</v>
      </c>
      <c r="R917" s="419">
        <f>ROUND(IF(+Q917-H917&lt;=0,0,Q917-H917),4)</f>
        <v>0</v>
      </c>
      <c r="S917" s="423">
        <v>0.5</v>
      </c>
      <c r="T917" s="419">
        <f>ROUND(+(R917*C917)*S917,4)</f>
        <v>0</v>
      </c>
      <c r="U917" s="419">
        <f>ROUND(+J917+M917+T917,4)</f>
        <v>0</v>
      </c>
      <c r="V917" s="235"/>
    </row>
    <row r="918" spans="1:22" ht="15.75" x14ac:dyDescent="0.25">
      <c r="A918" s="231"/>
      <c r="B918" s="232"/>
      <c r="C918" s="400"/>
      <c r="D918" s="233"/>
      <c r="E918" s="405"/>
      <c r="F918" s="405"/>
      <c r="G918" s="405"/>
      <c r="H918" s="408">
        <f>ROUND(+E918+F918+G918,4)</f>
        <v>0</v>
      </c>
      <c r="I918" s="234"/>
      <c r="J918" s="411"/>
      <c r="K918" s="411"/>
      <c r="L918" s="414">
        <v>0.1</v>
      </c>
      <c r="M918" s="414">
        <f>ROUND(+L918*C918,4)</f>
        <v>0</v>
      </c>
      <c r="N918" s="414"/>
      <c r="O918" s="414"/>
      <c r="P918" s="414"/>
      <c r="Q918" s="419">
        <f>ROUND(+N918+O918+P918,4)</f>
        <v>0</v>
      </c>
      <c r="R918" s="419">
        <f>ROUND(IF(+Q918-H918&lt;=0,0,Q918-H918),4)</f>
        <v>0</v>
      </c>
      <c r="S918" s="423">
        <v>0.5</v>
      </c>
      <c r="T918" s="419">
        <f>ROUND(+(R918*C918)*S918,4)</f>
        <v>0</v>
      </c>
      <c r="U918" s="419">
        <f>ROUND(+J918+M918+T918,4)</f>
        <v>0</v>
      </c>
      <c r="V918" s="235"/>
    </row>
    <row r="919" spans="1:22" ht="15.75" x14ac:dyDescent="0.25">
      <c r="A919" s="231"/>
      <c r="B919" s="232"/>
      <c r="C919" s="400"/>
      <c r="D919" s="233"/>
      <c r="E919" s="405"/>
      <c r="F919" s="405"/>
      <c r="G919" s="405"/>
      <c r="H919" s="408">
        <f>ROUND(+E919+F919+G919,4)</f>
        <v>0</v>
      </c>
      <c r="I919" s="234"/>
      <c r="J919" s="411"/>
      <c r="K919" s="411"/>
      <c r="L919" s="414">
        <v>0.1</v>
      </c>
      <c r="M919" s="414">
        <f>ROUND(+L919*C919,4)</f>
        <v>0</v>
      </c>
      <c r="N919" s="414"/>
      <c r="O919" s="414"/>
      <c r="P919" s="414"/>
      <c r="Q919" s="419">
        <f>ROUND(+N919+O919+P919,4)</f>
        <v>0</v>
      </c>
      <c r="R919" s="419">
        <f>ROUND(IF(+Q919-H919&lt;=0,0,Q919-H919),4)</f>
        <v>0</v>
      </c>
      <c r="S919" s="423">
        <v>0.5</v>
      </c>
      <c r="T919" s="419">
        <f>ROUND(+(R919*C919)*S919,4)</f>
        <v>0</v>
      </c>
      <c r="U919" s="419">
        <f>ROUND(+J919+M919+T919,4)</f>
        <v>0</v>
      </c>
      <c r="V919" s="235"/>
    </row>
    <row r="920" spans="1:22" ht="15.75" x14ac:dyDescent="0.25">
      <c r="A920" s="231"/>
      <c r="B920" s="232"/>
      <c r="C920" s="400"/>
      <c r="D920" s="233"/>
      <c r="E920" s="405"/>
      <c r="F920" s="405"/>
      <c r="G920" s="405"/>
      <c r="H920" s="408">
        <f>ROUND(+E920+F920+G920,4)</f>
        <v>0</v>
      </c>
      <c r="I920" s="234"/>
      <c r="J920" s="411"/>
      <c r="K920" s="411"/>
      <c r="L920" s="414">
        <v>0.1</v>
      </c>
      <c r="M920" s="414">
        <f>ROUND(+L920*C920,4)</f>
        <v>0</v>
      </c>
      <c r="N920" s="414"/>
      <c r="O920" s="414"/>
      <c r="P920" s="414"/>
      <c r="Q920" s="419">
        <f>ROUND(+N920+O920+P920,4)</f>
        <v>0</v>
      </c>
      <c r="R920" s="419">
        <f>ROUND(IF(+Q920-H920&lt;=0,0,Q920-H920),4)</f>
        <v>0</v>
      </c>
      <c r="S920" s="423">
        <v>0.5</v>
      </c>
      <c r="T920" s="419">
        <f>ROUND(+(R920*C920)*S920,4)</f>
        <v>0</v>
      </c>
      <c r="U920" s="419">
        <f>ROUND(+J920+M920+T920,4)</f>
        <v>0</v>
      </c>
      <c r="V920" s="235"/>
    </row>
    <row r="921" spans="1:22" ht="15.75" x14ac:dyDescent="0.25">
      <c r="A921" s="231"/>
      <c r="B921" s="232"/>
      <c r="C921" s="400"/>
      <c r="D921" s="233"/>
      <c r="E921" s="405"/>
      <c r="F921" s="405"/>
      <c r="G921" s="405"/>
      <c r="H921" s="408">
        <f>ROUND(+E921+F921+G921,4)</f>
        <v>0</v>
      </c>
      <c r="I921" s="234"/>
      <c r="J921" s="411"/>
      <c r="K921" s="411"/>
      <c r="L921" s="414">
        <v>0.1</v>
      </c>
      <c r="M921" s="414">
        <f>ROUND(+L921*C921,4)</f>
        <v>0</v>
      </c>
      <c r="N921" s="414"/>
      <c r="O921" s="414"/>
      <c r="P921" s="414"/>
      <c r="Q921" s="419">
        <f>ROUND(+N921+O921+P921,4)</f>
        <v>0</v>
      </c>
      <c r="R921" s="419">
        <f>ROUND(IF(+Q921-H921&lt;=0,0,Q921-H921),4)</f>
        <v>0</v>
      </c>
      <c r="S921" s="423">
        <v>0.5</v>
      </c>
      <c r="T921" s="419">
        <f>ROUND(+(R921*C921)*S921,4)</f>
        <v>0</v>
      </c>
      <c r="U921" s="419">
        <f>ROUND(+J921+M921+T921,4)</f>
        <v>0</v>
      </c>
      <c r="V921" s="235"/>
    </row>
    <row r="922" spans="1:22" ht="15.75" x14ac:dyDescent="0.25">
      <c r="A922" s="231"/>
      <c r="B922" s="232"/>
      <c r="C922" s="400"/>
      <c r="D922" s="233"/>
      <c r="E922" s="405"/>
      <c r="F922" s="405"/>
      <c r="G922" s="405"/>
      <c r="H922" s="408">
        <f>ROUND(+E922+F922+G922,4)</f>
        <v>0</v>
      </c>
      <c r="I922" s="234"/>
      <c r="J922" s="411"/>
      <c r="K922" s="411"/>
      <c r="L922" s="414">
        <v>0.1</v>
      </c>
      <c r="M922" s="414">
        <f>ROUND(+L922*C922,4)</f>
        <v>0</v>
      </c>
      <c r="N922" s="414"/>
      <c r="O922" s="414"/>
      <c r="P922" s="414"/>
      <c r="Q922" s="419">
        <f>ROUND(+N922+O922+P922,4)</f>
        <v>0</v>
      </c>
      <c r="R922" s="419">
        <f>ROUND(IF(+Q922-H922&lt;=0,0,Q922-H922),4)</f>
        <v>0</v>
      </c>
      <c r="S922" s="423">
        <v>0.5</v>
      </c>
      <c r="T922" s="419">
        <f>ROUND(+(R922*C922)*S922,4)</f>
        <v>0</v>
      </c>
      <c r="U922" s="419">
        <f>ROUND(+J922+M922+T922,4)</f>
        <v>0</v>
      </c>
      <c r="V922" s="235"/>
    </row>
    <row r="923" spans="1:22" ht="15.75" x14ac:dyDescent="0.25">
      <c r="A923" s="231"/>
      <c r="B923" s="232"/>
      <c r="C923" s="400"/>
      <c r="D923" s="233"/>
      <c r="E923" s="405"/>
      <c r="F923" s="405"/>
      <c r="G923" s="405"/>
      <c r="H923" s="408">
        <f>ROUND(+E923+F923+G923,4)</f>
        <v>0</v>
      </c>
      <c r="I923" s="234"/>
      <c r="J923" s="411"/>
      <c r="K923" s="411"/>
      <c r="L923" s="414">
        <v>0.1</v>
      </c>
      <c r="M923" s="414">
        <f>ROUND(+L923*C923,4)</f>
        <v>0</v>
      </c>
      <c r="N923" s="414"/>
      <c r="O923" s="414"/>
      <c r="P923" s="414"/>
      <c r="Q923" s="419">
        <f>ROUND(+N923+O923+P923,4)</f>
        <v>0</v>
      </c>
      <c r="R923" s="419">
        <f>ROUND(IF(+Q923-H923&lt;=0,0,Q923-H923),4)</f>
        <v>0</v>
      </c>
      <c r="S923" s="423">
        <v>0.5</v>
      </c>
      <c r="T923" s="419">
        <f>ROUND(+(R923*C923)*S923,4)</f>
        <v>0</v>
      </c>
      <c r="U923" s="419">
        <f>ROUND(+J923+M923+T923,4)</f>
        <v>0</v>
      </c>
      <c r="V923" s="235"/>
    </row>
    <row r="924" spans="1:22" ht="15.75" x14ac:dyDescent="0.25">
      <c r="A924" s="231"/>
      <c r="B924" s="232"/>
      <c r="C924" s="400"/>
      <c r="D924" s="233"/>
      <c r="E924" s="405"/>
      <c r="F924" s="405"/>
      <c r="G924" s="405"/>
      <c r="H924" s="408">
        <f>ROUND(+E924+F924+G924,4)</f>
        <v>0</v>
      </c>
      <c r="I924" s="234"/>
      <c r="J924" s="411"/>
      <c r="K924" s="411"/>
      <c r="L924" s="414">
        <v>0.1</v>
      </c>
      <c r="M924" s="414">
        <f>ROUND(+L924*C924,4)</f>
        <v>0</v>
      </c>
      <c r="N924" s="414"/>
      <c r="O924" s="414"/>
      <c r="P924" s="414"/>
      <c r="Q924" s="419">
        <f>ROUND(+N924+O924+P924,4)</f>
        <v>0</v>
      </c>
      <c r="R924" s="419">
        <f>ROUND(IF(+Q924-H924&lt;=0,0,Q924-H924),4)</f>
        <v>0</v>
      </c>
      <c r="S924" s="423">
        <v>0.5</v>
      </c>
      <c r="T924" s="419">
        <f>ROUND(+(R924*C924)*S924,4)</f>
        <v>0</v>
      </c>
      <c r="U924" s="419">
        <f>ROUND(+J924+M924+T924,4)</f>
        <v>0</v>
      </c>
      <c r="V924" s="235"/>
    </row>
    <row r="925" spans="1:22" ht="15.75" x14ac:dyDescent="0.25">
      <c r="A925" s="231"/>
      <c r="B925" s="232"/>
      <c r="C925" s="400"/>
      <c r="D925" s="233"/>
      <c r="E925" s="405"/>
      <c r="F925" s="405"/>
      <c r="G925" s="405"/>
      <c r="H925" s="408">
        <f>ROUND(+E925+F925+G925,4)</f>
        <v>0</v>
      </c>
      <c r="I925" s="234"/>
      <c r="J925" s="411"/>
      <c r="K925" s="411"/>
      <c r="L925" s="414">
        <v>0.1</v>
      </c>
      <c r="M925" s="414">
        <f>ROUND(+L925*C925,4)</f>
        <v>0</v>
      </c>
      <c r="N925" s="414"/>
      <c r="O925" s="414"/>
      <c r="P925" s="414"/>
      <c r="Q925" s="419">
        <f>ROUND(+N925+O925+P925,4)</f>
        <v>0</v>
      </c>
      <c r="R925" s="419">
        <f>ROUND(IF(+Q925-H925&lt;=0,0,Q925-H925),4)</f>
        <v>0</v>
      </c>
      <c r="S925" s="423">
        <v>0.5</v>
      </c>
      <c r="T925" s="419">
        <f>ROUND(+(R925*C925)*S925,4)</f>
        <v>0</v>
      </c>
      <c r="U925" s="419">
        <f>ROUND(+J925+M925+T925,4)</f>
        <v>0</v>
      </c>
      <c r="V925" s="235"/>
    </row>
    <row r="926" spans="1:22" ht="15.75" x14ac:dyDescent="0.25">
      <c r="A926" s="231"/>
      <c r="B926" s="232"/>
      <c r="C926" s="400"/>
      <c r="D926" s="233"/>
      <c r="E926" s="405"/>
      <c r="F926" s="405"/>
      <c r="G926" s="405"/>
      <c r="H926" s="408">
        <f>ROUND(+E926+F926+G926,4)</f>
        <v>0</v>
      </c>
      <c r="I926" s="234"/>
      <c r="J926" s="411"/>
      <c r="K926" s="411"/>
      <c r="L926" s="414">
        <v>0.1</v>
      </c>
      <c r="M926" s="414">
        <f>ROUND(+L926*C926,4)</f>
        <v>0</v>
      </c>
      <c r="N926" s="414"/>
      <c r="O926" s="414"/>
      <c r="P926" s="414"/>
      <c r="Q926" s="419">
        <f>ROUND(+N926+O926+P926,4)</f>
        <v>0</v>
      </c>
      <c r="R926" s="419">
        <f>ROUND(IF(+Q926-H926&lt;=0,0,Q926-H926),4)</f>
        <v>0</v>
      </c>
      <c r="S926" s="423">
        <v>0.5</v>
      </c>
      <c r="T926" s="419">
        <f>ROUND(+(R926*C926)*S926,4)</f>
        <v>0</v>
      </c>
      <c r="U926" s="419">
        <f>ROUND(+J926+M926+T926,4)</f>
        <v>0</v>
      </c>
      <c r="V926" s="235"/>
    </row>
    <row r="927" spans="1:22" ht="15.75" x14ac:dyDescent="0.25">
      <c r="A927" s="231"/>
      <c r="B927" s="232"/>
      <c r="C927" s="400"/>
      <c r="D927" s="233"/>
      <c r="E927" s="405"/>
      <c r="F927" s="405"/>
      <c r="G927" s="405"/>
      <c r="H927" s="408">
        <f>ROUND(+E927+F927+G927,4)</f>
        <v>0</v>
      </c>
      <c r="I927" s="234"/>
      <c r="J927" s="411"/>
      <c r="K927" s="411"/>
      <c r="L927" s="414">
        <v>0.1</v>
      </c>
      <c r="M927" s="414">
        <f>ROUND(+L927*C927,4)</f>
        <v>0</v>
      </c>
      <c r="N927" s="414"/>
      <c r="O927" s="414"/>
      <c r="P927" s="414"/>
      <c r="Q927" s="419">
        <f>ROUND(+N927+O927+P927,4)</f>
        <v>0</v>
      </c>
      <c r="R927" s="419">
        <f>ROUND(IF(+Q927-H927&lt;=0,0,Q927-H927),4)</f>
        <v>0</v>
      </c>
      <c r="S927" s="423">
        <v>0.5</v>
      </c>
      <c r="T927" s="419">
        <f>ROUND(+(R927*C927)*S927,4)</f>
        <v>0</v>
      </c>
      <c r="U927" s="419">
        <f>ROUND(+J927+M927+T927,4)</f>
        <v>0</v>
      </c>
      <c r="V927" s="235"/>
    </row>
    <row r="928" spans="1:22" ht="15.75" x14ac:dyDescent="0.25">
      <c r="A928" s="231"/>
      <c r="B928" s="232"/>
      <c r="C928" s="400"/>
      <c r="D928" s="233"/>
      <c r="E928" s="405"/>
      <c r="F928" s="405"/>
      <c r="G928" s="405"/>
      <c r="H928" s="408">
        <f>ROUND(+E928+F928+G928,4)</f>
        <v>0</v>
      </c>
      <c r="I928" s="234"/>
      <c r="J928" s="411"/>
      <c r="K928" s="411"/>
      <c r="L928" s="414">
        <v>0.1</v>
      </c>
      <c r="M928" s="414">
        <f>ROUND(+L928*C928,4)</f>
        <v>0</v>
      </c>
      <c r="N928" s="414"/>
      <c r="O928" s="414"/>
      <c r="P928" s="414"/>
      <c r="Q928" s="419">
        <f>ROUND(+N928+O928+P928,4)</f>
        <v>0</v>
      </c>
      <c r="R928" s="419">
        <f>ROUND(IF(+Q928-H928&lt;=0,0,Q928-H928),4)</f>
        <v>0</v>
      </c>
      <c r="S928" s="423">
        <v>0.5</v>
      </c>
      <c r="T928" s="419">
        <f>ROUND(+(R928*C928)*S928,4)</f>
        <v>0</v>
      </c>
      <c r="U928" s="419">
        <f>ROUND(+J928+M928+T928,4)</f>
        <v>0</v>
      </c>
      <c r="V928" s="235"/>
    </row>
    <row r="929" spans="1:22" ht="15.75" x14ac:dyDescent="0.25">
      <c r="A929" s="231"/>
      <c r="B929" s="232"/>
      <c r="C929" s="400"/>
      <c r="D929" s="233"/>
      <c r="E929" s="405"/>
      <c r="F929" s="405"/>
      <c r="G929" s="405"/>
      <c r="H929" s="408">
        <f>ROUND(+E929+F929+G929,4)</f>
        <v>0</v>
      </c>
      <c r="I929" s="234"/>
      <c r="J929" s="411"/>
      <c r="K929" s="411"/>
      <c r="L929" s="414">
        <v>0.1</v>
      </c>
      <c r="M929" s="414">
        <f>ROUND(+L929*C929,4)</f>
        <v>0</v>
      </c>
      <c r="N929" s="414"/>
      <c r="O929" s="414"/>
      <c r="P929" s="414"/>
      <c r="Q929" s="419">
        <f>ROUND(+N929+O929+P929,4)</f>
        <v>0</v>
      </c>
      <c r="R929" s="419">
        <f>ROUND(IF(+Q929-H929&lt;=0,0,Q929-H929),4)</f>
        <v>0</v>
      </c>
      <c r="S929" s="423">
        <v>0.5</v>
      </c>
      <c r="T929" s="419">
        <f>ROUND(+(R929*C929)*S929,4)</f>
        <v>0</v>
      </c>
      <c r="U929" s="419">
        <f>ROUND(+J929+M929+T929,4)</f>
        <v>0</v>
      </c>
      <c r="V929" s="235"/>
    </row>
    <row r="930" spans="1:22" ht="15.75" x14ac:dyDescent="0.25">
      <c r="A930" s="231"/>
      <c r="B930" s="232"/>
      <c r="C930" s="400"/>
      <c r="D930" s="233"/>
      <c r="E930" s="405"/>
      <c r="F930" s="405"/>
      <c r="G930" s="405"/>
      <c r="H930" s="408">
        <f>ROUND(+E930+F930+G930,4)</f>
        <v>0</v>
      </c>
      <c r="I930" s="234"/>
      <c r="J930" s="411"/>
      <c r="K930" s="411"/>
      <c r="L930" s="414">
        <v>0.1</v>
      </c>
      <c r="M930" s="414">
        <f>ROUND(+L930*C930,4)</f>
        <v>0</v>
      </c>
      <c r="N930" s="414"/>
      <c r="O930" s="414"/>
      <c r="P930" s="414"/>
      <c r="Q930" s="419">
        <f>ROUND(+N930+O930+P930,4)</f>
        <v>0</v>
      </c>
      <c r="R930" s="419">
        <f>ROUND(IF(+Q930-H930&lt;=0,0,Q930-H930),4)</f>
        <v>0</v>
      </c>
      <c r="S930" s="423">
        <v>0.5</v>
      </c>
      <c r="T930" s="419">
        <f>ROUND(+(R930*C930)*S930,4)</f>
        <v>0</v>
      </c>
      <c r="U930" s="419">
        <f>ROUND(+J930+M930+T930,4)</f>
        <v>0</v>
      </c>
      <c r="V930" s="235"/>
    </row>
    <row r="931" spans="1:22" ht="15.75" x14ac:dyDescent="0.25">
      <c r="A931" s="231"/>
      <c r="B931" s="232"/>
      <c r="C931" s="400"/>
      <c r="D931" s="233"/>
      <c r="E931" s="405"/>
      <c r="F931" s="405"/>
      <c r="G931" s="405"/>
      <c r="H931" s="408">
        <f>ROUND(+E931+F931+G931,4)</f>
        <v>0</v>
      </c>
      <c r="I931" s="234"/>
      <c r="J931" s="411"/>
      <c r="K931" s="411"/>
      <c r="L931" s="414">
        <v>0.1</v>
      </c>
      <c r="M931" s="414">
        <f>ROUND(+L931*C931,4)</f>
        <v>0</v>
      </c>
      <c r="N931" s="414"/>
      <c r="O931" s="414"/>
      <c r="P931" s="414"/>
      <c r="Q931" s="419">
        <f>ROUND(+N931+O931+P931,4)</f>
        <v>0</v>
      </c>
      <c r="R931" s="419">
        <f>ROUND(IF(+Q931-H931&lt;=0,0,Q931-H931),4)</f>
        <v>0</v>
      </c>
      <c r="S931" s="423">
        <v>0.5</v>
      </c>
      <c r="T931" s="419">
        <f>ROUND(+(R931*C931)*S931,4)</f>
        <v>0</v>
      </c>
      <c r="U931" s="419">
        <f>ROUND(+J931+M931+T931,4)</f>
        <v>0</v>
      </c>
      <c r="V931" s="235"/>
    </row>
    <row r="932" spans="1:22" ht="15.75" x14ac:dyDescent="0.25">
      <c r="A932" s="231"/>
      <c r="B932" s="232"/>
      <c r="C932" s="400"/>
      <c r="D932" s="233"/>
      <c r="E932" s="405"/>
      <c r="F932" s="405"/>
      <c r="G932" s="405"/>
      <c r="H932" s="408">
        <f>ROUND(+E932+F932+G932,4)</f>
        <v>0</v>
      </c>
      <c r="I932" s="234"/>
      <c r="J932" s="411"/>
      <c r="K932" s="411"/>
      <c r="L932" s="414">
        <v>0.1</v>
      </c>
      <c r="M932" s="414">
        <f>ROUND(+L932*C932,4)</f>
        <v>0</v>
      </c>
      <c r="N932" s="414"/>
      <c r="O932" s="414"/>
      <c r="P932" s="414"/>
      <c r="Q932" s="419">
        <f>ROUND(+N932+O932+P932,4)</f>
        <v>0</v>
      </c>
      <c r="R932" s="419">
        <f>ROUND(IF(+Q932-H932&lt;=0,0,Q932-H932),4)</f>
        <v>0</v>
      </c>
      <c r="S932" s="423">
        <v>0.5</v>
      </c>
      <c r="T932" s="419">
        <f>ROUND(+(R932*C932)*S932,4)</f>
        <v>0</v>
      </c>
      <c r="U932" s="419">
        <f>ROUND(+J932+M932+T932,4)</f>
        <v>0</v>
      </c>
      <c r="V932" s="235"/>
    </row>
    <row r="933" spans="1:22" ht="15.75" x14ac:dyDescent="0.25">
      <c r="A933" s="231"/>
      <c r="B933" s="232"/>
      <c r="C933" s="400"/>
      <c r="D933" s="233"/>
      <c r="E933" s="405"/>
      <c r="F933" s="405"/>
      <c r="G933" s="405"/>
      <c r="H933" s="408">
        <f>ROUND(+E933+F933+G933,4)</f>
        <v>0</v>
      </c>
      <c r="I933" s="234"/>
      <c r="J933" s="411"/>
      <c r="K933" s="411"/>
      <c r="L933" s="414">
        <v>0.1</v>
      </c>
      <c r="M933" s="414">
        <f>ROUND(+L933*C933,4)</f>
        <v>0</v>
      </c>
      <c r="N933" s="414"/>
      <c r="O933" s="414"/>
      <c r="P933" s="414"/>
      <c r="Q933" s="419">
        <f>ROUND(+N933+O933+P933,4)</f>
        <v>0</v>
      </c>
      <c r="R933" s="419">
        <f>ROUND(IF(+Q933-H933&lt;=0,0,Q933-H933),4)</f>
        <v>0</v>
      </c>
      <c r="S933" s="423">
        <v>0.5</v>
      </c>
      <c r="T933" s="419">
        <f>ROUND(+(R933*C933)*S933,4)</f>
        <v>0</v>
      </c>
      <c r="U933" s="419">
        <f>ROUND(+J933+M933+T933,4)</f>
        <v>0</v>
      </c>
      <c r="V933" s="235"/>
    </row>
    <row r="934" spans="1:22" ht="15.75" x14ac:dyDescent="0.25">
      <c r="A934" s="231"/>
      <c r="B934" s="232"/>
      <c r="C934" s="400"/>
      <c r="D934" s="233"/>
      <c r="E934" s="405"/>
      <c r="F934" s="405"/>
      <c r="G934" s="405"/>
      <c r="H934" s="408">
        <f>ROUND(+E934+F934+G934,4)</f>
        <v>0</v>
      </c>
      <c r="I934" s="234"/>
      <c r="J934" s="411"/>
      <c r="K934" s="411"/>
      <c r="L934" s="414">
        <v>0.1</v>
      </c>
      <c r="M934" s="414">
        <f>ROUND(+L934*C934,4)</f>
        <v>0</v>
      </c>
      <c r="N934" s="414"/>
      <c r="O934" s="414"/>
      <c r="P934" s="414"/>
      <c r="Q934" s="419">
        <f>ROUND(+N934+O934+P934,4)</f>
        <v>0</v>
      </c>
      <c r="R934" s="419">
        <f>ROUND(IF(+Q934-H934&lt;=0,0,Q934-H934),4)</f>
        <v>0</v>
      </c>
      <c r="S934" s="423">
        <v>0.5</v>
      </c>
      <c r="T934" s="419">
        <f>ROUND(+(R934*C934)*S934,4)</f>
        <v>0</v>
      </c>
      <c r="U934" s="419">
        <f>ROUND(+J934+M934+T934,4)</f>
        <v>0</v>
      </c>
      <c r="V934" s="235"/>
    </row>
    <row r="935" spans="1:22" ht="15.75" x14ac:dyDescent="0.25">
      <c r="A935" s="231"/>
      <c r="B935" s="232"/>
      <c r="C935" s="400"/>
      <c r="D935" s="233"/>
      <c r="E935" s="405"/>
      <c r="F935" s="405"/>
      <c r="G935" s="405"/>
      <c r="H935" s="408">
        <f>ROUND(+E935+F935+G935,4)</f>
        <v>0</v>
      </c>
      <c r="I935" s="234"/>
      <c r="J935" s="411"/>
      <c r="K935" s="411"/>
      <c r="L935" s="414">
        <v>0.1</v>
      </c>
      <c r="M935" s="414">
        <f>ROUND(+L935*C935,4)</f>
        <v>0</v>
      </c>
      <c r="N935" s="414"/>
      <c r="O935" s="414"/>
      <c r="P935" s="414"/>
      <c r="Q935" s="419">
        <f>ROUND(+N935+O935+P935,4)</f>
        <v>0</v>
      </c>
      <c r="R935" s="419">
        <f>ROUND(IF(+Q935-H935&lt;=0,0,Q935-H935),4)</f>
        <v>0</v>
      </c>
      <c r="S935" s="423">
        <v>0.5</v>
      </c>
      <c r="T935" s="419">
        <f>ROUND(+(R935*C935)*S935,4)</f>
        <v>0</v>
      </c>
      <c r="U935" s="419">
        <f>ROUND(+J935+M935+T935,4)</f>
        <v>0</v>
      </c>
      <c r="V935" s="235"/>
    </row>
    <row r="936" spans="1:22" ht="15.75" x14ac:dyDescent="0.25">
      <c r="A936" s="231"/>
      <c r="B936" s="232"/>
      <c r="C936" s="400"/>
      <c r="D936" s="233"/>
      <c r="E936" s="405"/>
      <c r="F936" s="405"/>
      <c r="G936" s="405"/>
      <c r="H936" s="408">
        <f>ROUND(+E936+F936+G936,4)</f>
        <v>0</v>
      </c>
      <c r="I936" s="234"/>
      <c r="J936" s="411"/>
      <c r="K936" s="411"/>
      <c r="L936" s="414">
        <v>0.1</v>
      </c>
      <c r="M936" s="414">
        <f>ROUND(+L936*C936,4)</f>
        <v>0</v>
      </c>
      <c r="N936" s="414"/>
      <c r="O936" s="414"/>
      <c r="P936" s="414"/>
      <c r="Q936" s="419">
        <f>ROUND(+N936+O936+P936,4)</f>
        <v>0</v>
      </c>
      <c r="R936" s="419">
        <f>ROUND(IF(+Q936-H936&lt;=0,0,Q936-H936),4)</f>
        <v>0</v>
      </c>
      <c r="S936" s="423">
        <v>0.5</v>
      </c>
      <c r="T936" s="419">
        <f>ROUND(+(R936*C936)*S936,4)</f>
        <v>0</v>
      </c>
      <c r="U936" s="419">
        <f>ROUND(+J936+M936+T936,4)</f>
        <v>0</v>
      </c>
      <c r="V936" s="235"/>
    </row>
    <row r="937" spans="1:22" ht="15.75" x14ac:dyDescent="0.25">
      <c r="A937" s="231"/>
      <c r="B937" s="232"/>
      <c r="C937" s="400"/>
      <c r="D937" s="233"/>
      <c r="E937" s="405"/>
      <c r="F937" s="405"/>
      <c r="G937" s="405"/>
      <c r="H937" s="408">
        <f>ROUND(+E937+F937+G937,4)</f>
        <v>0</v>
      </c>
      <c r="I937" s="234"/>
      <c r="J937" s="411"/>
      <c r="K937" s="411"/>
      <c r="L937" s="414">
        <v>0.1</v>
      </c>
      <c r="M937" s="414">
        <f>ROUND(+L937*C937,4)</f>
        <v>0</v>
      </c>
      <c r="N937" s="414"/>
      <c r="O937" s="414"/>
      <c r="P937" s="414"/>
      <c r="Q937" s="419">
        <f>ROUND(+N937+O937+P937,4)</f>
        <v>0</v>
      </c>
      <c r="R937" s="419">
        <f>ROUND(IF(+Q937-H937&lt;=0,0,Q937-H937),4)</f>
        <v>0</v>
      </c>
      <c r="S937" s="423">
        <v>0.5</v>
      </c>
      <c r="T937" s="419">
        <f>ROUND(+(R937*C937)*S937,4)</f>
        <v>0</v>
      </c>
      <c r="U937" s="419">
        <f>ROUND(+J937+M937+T937,4)</f>
        <v>0</v>
      </c>
      <c r="V937" s="235"/>
    </row>
    <row r="938" spans="1:22" ht="15.75" x14ac:dyDescent="0.25">
      <c r="A938" s="231"/>
      <c r="B938" s="232"/>
      <c r="C938" s="400"/>
      <c r="D938" s="233"/>
      <c r="E938" s="405"/>
      <c r="F938" s="405"/>
      <c r="G938" s="405"/>
      <c r="H938" s="408">
        <f>ROUND(+E938+F938+G938,4)</f>
        <v>0</v>
      </c>
      <c r="I938" s="234"/>
      <c r="J938" s="411"/>
      <c r="K938" s="411"/>
      <c r="L938" s="414">
        <v>0.1</v>
      </c>
      <c r="M938" s="414">
        <f>ROUND(+L938*C938,4)</f>
        <v>0</v>
      </c>
      <c r="N938" s="414"/>
      <c r="O938" s="414"/>
      <c r="P938" s="414"/>
      <c r="Q938" s="419">
        <f>ROUND(+N938+O938+P938,4)</f>
        <v>0</v>
      </c>
      <c r="R938" s="419">
        <f>ROUND(IF(+Q938-H938&lt;=0,0,Q938-H938),4)</f>
        <v>0</v>
      </c>
      <c r="S938" s="423">
        <v>0.5</v>
      </c>
      <c r="T938" s="419">
        <f>ROUND(+(R938*C938)*S938,4)</f>
        <v>0</v>
      </c>
      <c r="U938" s="419">
        <f>ROUND(+J938+M938+T938,4)</f>
        <v>0</v>
      </c>
      <c r="V938" s="235"/>
    </row>
    <row r="939" spans="1:22" ht="15.75" x14ac:dyDescent="0.25">
      <c r="A939" s="231"/>
      <c r="B939" s="232"/>
      <c r="C939" s="400"/>
      <c r="D939" s="233"/>
      <c r="E939" s="405"/>
      <c r="F939" s="405"/>
      <c r="G939" s="405"/>
      <c r="H939" s="408">
        <f>ROUND(+E939+F939+G939,4)</f>
        <v>0</v>
      </c>
      <c r="I939" s="234"/>
      <c r="J939" s="411"/>
      <c r="K939" s="411"/>
      <c r="L939" s="414">
        <v>0.1</v>
      </c>
      <c r="M939" s="414">
        <f>ROUND(+L939*C939,4)</f>
        <v>0</v>
      </c>
      <c r="N939" s="414"/>
      <c r="O939" s="414"/>
      <c r="P939" s="414"/>
      <c r="Q939" s="419">
        <f>ROUND(+N939+O939+P939,4)</f>
        <v>0</v>
      </c>
      <c r="R939" s="419">
        <f>ROUND(IF(+Q939-H939&lt;=0,0,Q939-H939),4)</f>
        <v>0</v>
      </c>
      <c r="S939" s="423">
        <v>0.5</v>
      </c>
      <c r="T939" s="419">
        <f>ROUND(+(R939*C939)*S939,4)</f>
        <v>0</v>
      </c>
      <c r="U939" s="419">
        <f>ROUND(+J939+M939+T939,4)</f>
        <v>0</v>
      </c>
      <c r="V939" s="235"/>
    </row>
    <row r="940" spans="1:22" ht="15.75" x14ac:dyDescent="0.25">
      <c r="A940" s="231"/>
      <c r="B940" s="232"/>
      <c r="C940" s="400"/>
      <c r="D940" s="233"/>
      <c r="E940" s="405"/>
      <c r="F940" s="405"/>
      <c r="G940" s="405"/>
      <c r="H940" s="408">
        <f>ROUND(+E940+F940+G940,4)</f>
        <v>0</v>
      </c>
      <c r="I940" s="234"/>
      <c r="J940" s="411"/>
      <c r="K940" s="411"/>
      <c r="L940" s="414">
        <v>0.1</v>
      </c>
      <c r="M940" s="414">
        <f>ROUND(+L940*C940,4)</f>
        <v>0</v>
      </c>
      <c r="N940" s="414"/>
      <c r="O940" s="414"/>
      <c r="P940" s="414"/>
      <c r="Q940" s="419">
        <f>ROUND(+N940+O940+P940,4)</f>
        <v>0</v>
      </c>
      <c r="R940" s="419">
        <f>ROUND(IF(+Q940-H940&lt;=0,0,Q940-H940),4)</f>
        <v>0</v>
      </c>
      <c r="S940" s="423">
        <v>0.5</v>
      </c>
      <c r="T940" s="419">
        <f>ROUND(+(R940*C940)*S940,4)</f>
        <v>0</v>
      </c>
      <c r="U940" s="419">
        <f>ROUND(+J940+M940+T940,4)</f>
        <v>0</v>
      </c>
      <c r="V940" s="235"/>
    </row>
    <row r="941" spans="1:22" ht="15.75" x14ac:dyDescent="0.25">
      <c r="A941" s="231"/>
      <c r="B941" s="232"/>
      <c r="C941" s="400"/>
      <c r="D941" s="233"/>
      <c r="E941" s="405"/>
      <c r="F941" s="405"/>
      <c r="G941" s="405"/>
      <c r="H941" s="408">
        <f>ROUND(+E941+F941+G941,4)</f>
        <v>0</v>
      </c>
      <c r="I941" s="234"/>
      <c r="J941" s="411"/>
      <c r="K941" s="411"/>
      <c r="L941" s="414">
        <v>0.1</v>
      </c>
      <c r="M941" s="414">
        <f>ROUND(+L941*C941,4)</f>
        <v>0</v>
      </c>
      <c r="N941" s="414"/>
      <c r="O941" s="414"/>
      <c r="P941" s="414"/>
      <c r="Q941" s="419">
        <f>ROUND(+N941+O941+P941,4)</f>
        <v>0</v>
      </c>
      <c r="R941" s="419">
        <f>ROUND(IF(+Q941-H941&lt;=0,0,Q941-H941),4)</f>
        <v>0</v>
      </c>
      <c r="S941" s="423">
        <v>0.5</v>
      </c>
      <c r="T941" s="419">
        <f>ROUND(+(R941*C941)*S941,4)</f>
        <v>0</v>
      </c>
      <c r="U941" s="419">
        <f>ROUND(+J941+M941+T941,4)</f>
        <v>0</v>
      </c>
      <c r="V941" s="235"/>
    </row>
    <row r="942" spans="1:22" ht="15.75" x14ac:dyDescent="0.25">
      <c r="A942" s="231"/>
      <c r="B942" s="232"/>
      <c r="C942" s="400"/>
      <c r="D942" s="233"/>
      <c r="E942" s="405"/>
      <c r="F942" s="405"/>
      <c r="G942" s="405"/>
      <c r="H942" s="408">
        <f>ROUND(+E942+F942+G942,4)</f>
        <v>0</v>
      </c>
      <c r="I942" s="234"/>
      <c r="J942" s="411"/>
      <c r="K942" s="411"/>
      <c r="L942" s="414">
        <v>0.1</v>
      </c>
      <c r="M942" s="414">
        <f>ROUND(+L942*C942,4)</f>
        <v>0</v>
      </c>
      <c r="N942" s="414"/>
      <c r="O942" s="414"/>
      <c r="P942" s="414"/>
      <c r="Q942" s="419">
        <f>ROUND(+N942+O942+P942,4)</f>
        <v>0</v>
      </c>
      <c r="R942" s="419">
        <f>ROUND(IF(+Q942-H942&lt;=0,0,Q942-H942),4)</f>
        <v>0</v>
      </c>
      <c r="S942" s="423">
        <v>0.5</v>
      </c>
      <c r="T942" s="419">
        <f>ROUND(+(R942*C942)*S942,4)</f>
        <v>0</v>
      </c>
      <c r="U942" s="419">
        <f>ROUND(+J942+M942+T942,4)</f>
        <v>0</v>
      </c>
      <c r="V942" s="235"/>
    </row>
    <row r="943" spans="1:22" ht="15.75" x14ac:dyDescent="0.25">
      <c r="A943" s="231"/>
      <c r="B943" s="232"/>
      <c r="C943" s="400"/>
      <c r="D943" s="233"/>
      <c r="E943" s="405"/>
      <c r="F943" s="405"/>
      <c r="G943" s="405"/>
      <c r="H943" s="408">
        <f>ROUND(+E943+F943+G943,4)</f>
        <v>0</v>
      </c>
      <c r="I943" s="234"/>
      <c r="J943" s="411"/>
      <c r="K943" s="411"/>
      <c r="L943" s="414">
        <v>0.1</v>
      </c>
      <c r="M943" s="414">
        <f>ROUND(+L943*C943,4)</f>
        <v>0</v>
      </c>
      <c r="N943" s="414"/>
      <c r="O943" s="414"/>
      <c r="P943" s="414"/>
      <c r="Q943" s="419">
        <f>ROUND(+N943+O943+P943,4)</f>
        <v>0</v>
      </c>
      <c r="R943" s="419">
        <f>ROUND(IF(+Q943-H943&lt;=0,0,Q943-H943),4)</f>
        <v>0</v>
      </c>
      <c r="S943" s="423">
        <v>0.5</v>
      </c>
      <c r="T943" s="419">
        <f>ROUND(+(R943*C943)*S943,4)</f>
        <v>0</v>
      </c>
      <c r="U943" s="419">
        <f>ROUND(+J943+M943+T943,4)</f>
        <v>0</v>
      </c>
      <c r="V943" s="235"/>
    </row>
    <row r="944" spans="1:22" ht="15.75" x14ac:dyDescent="0.25">
      <c r="A944" s="231"/>
      <c r="B944" s="232"/>
      <c r="C944" s="400"/>
      <c r="D944" s="233"/>
      <c r="E944" s="405"/>
      <c r="F944" s="405"/>
      <c r="G944" s="405"/>
      <c r="H944" s="408">
        <f>ROUND(+E944+F944+G944,4)</f>
        <v>0</v>
      </c>
      <c r="I944" s="234"/>
      <c r="J944" s="411"/>
      <c r="K944" s="411"/>
      <c r="L944" s="414">
        <v>0.1</v>
      </c>
      <c r="M944" s="414">
        <f>ROUND(+L944*C944,4)</f>
        <v>0</v>
      </c>
      <c r="N944" s="414"/>
      <c r="O944" s="414"/>
      <c r="P944" s="414"/>
      <c r="Q944" s="419">
        <f>ROUND(+N944+O944+P944,4)</f>
        <v>0</v>
      </c>
      <c r="R944" s="419">
        <f>ROUND(IF(+Q944-H944&lt;=0,0,Q944-H944),4)</f>
        <v>0</v>
      </c>
      <c r="S944" s="423">
        <v>0.5</v>
      </c>
      <c r="T944" s="419">
        <f>ROUND(+(R944*C944)*S944,4)</f>
        <v>0</v>
      </c>
      <c r="U944" s="419">
        <f>ROUND(+J944+M944+T944,4)</f>
        <v>0</v>
      </c>
      <c r="V944" s="235"/>
    </row>
    <row r="945" spans="1:22" ht="15.75" x14ac:dyDescent="0.25">
      <c r="A945" s="231"/>
      <c r="B945" s="232"/>
      <c r="C945" s="400"/>
      <c r="D945" s="233"/>
      <c r="E945" s="405"/>
      <c r="F945" s="405"/>
      <c r="G945" s="405"/>
      <c r="H945" s="408">
        <f>ROUND(+E945+F945+G945,4)</f>
        <v>0</v>
      </c>
      <c r="I945" s="234"/>
      <c r="J945" s="411"/>
      <c r="K945" s="411"/>
      <c r="L945" s="414">
        <v>0.1</v>
      </c>
      <c r="M945" s="414">
        <f>ROUND(+L945*C945,4)</f>
        <v>0</v>
      </c>
      <c r="N945" s="414"/>
      <c r="O945" s="414"/>
      <c r="P945" s="414"/>
      <c r="Q945" s="419">
        <f>ROUND(+N945+O945+P945,4)</f>
        <v>0</v>
      </c>
      <c r="R945" s="419">
        <f>ROUND(IF(+Q945-H945&lt;=0,0,Q945-H945),4)</f>
        <v>0</v>
      </c>
      <c r="S945" s="423">
        <v>0.5</v>
      </c>
      <c r="T945" s="419">
        <f>ROUND(+(R945*C945)*S945,4)</f>
        <v>0</v>
      </c>
      <c r="U945" s="419">
        <f>ROUND(+J945+M945+T945,4)</f>
        <v>0</v>
      </c>
      <c r="V945" s="235"/>
    </row>
    <row r="946" spans="1:22" ht="15.75" x14ac:dyDescent="0.25">
      <c r="A946" s="231"/>
      <c r="B946" s="232"/>
      <c r="C946" s="400"/>
      <c r="D946" s="233"/>
      <c r="E946" s="405"/>
      <c r="F946" s="405"/>
      <c r="G946" s="405"/>
      <c r="H946" s="408">
        <f>ROUND(+E946+F946+G946,4)</f>
        <v>0</v>
      </c>
      <c r="I946" s="234"/>
      <c r="J946" s="411"/>
      <c r="K946" s="411"/>
      <c r="L946" s="414">
        <v>0.1</v>
      </c>
      <c r="M946" s="414">
        <f>ROUND(+L946*C946,4)</f>
        <v>0</v>
      </c>
      <c r="N946" s="414"/>
      <c r="O946" s="414"/>
      <c r="P946" s="414"/>
      <c r="Q946" s="419">
        <f>ROUND(+N946+O946+P946,4)</f>
        <v>0</v>
      </c>
      <c r="R946" s="419">
        <f>ROUND(IF(+Q946-H946&lt;=0,0,Q946-H946),4)</f>
        <v>0</v>
      </c>
      <c r="S946" s="423">
        <v>0.5</v>
      </c>
      <c r="T946" s="419">
        <f>ROUND(+(R946*C946)*S946,4)</f>
        <v>0</v>
      </c>
      <c r="U946" s="419">
        <f>ROUND(+J946+M946+T946,4)</f>
        <v>0</v>
      </c>
      <c r="V946" s="235"/>
    </row>
    <row r="947" spans="1:22" ht="15.75" x14ac:dyDescent="0.25">
      <c r="A947" s="231"/>
      <c r="B947" s="232"/>
      <c r="C947" s="400"/>
      <c r="D947" s="233"/>
      <c r="E947" s="405"/>
      <c r="F947" s="405"/>
      <c r="G947" s="405"/>
      <c r="H947" s="408">
        <f>ROUND(+E947+F947+G947,4)</f>
        <v>0</v>
      </c>
      <c r="I947" s="234"/>
      <c r="J947" s="411"/>
      <c r="K947" s="411"/>
      <c r="L947" s="414">
        <v>0.1</v>
      </c>
      <c r="M947" s="414">
        <f>ROUND(+L947*C947,4)</f>
        <v>0</v>
      </c>
      <c r="N947" s="414"/>
      <c r="O947" s="414"/>
      <c r="P947" s="414"/>
      <c r="Q947" s="419">
        <f>ROUND(+N947+O947+P947,4)</f>
        <v>0</v>
      </c>
      <c r="R947" s="419">
        <f>ROUND(IF(+Q947-H947&lt;=0,0,Q947-H947),4)</f>
        <v>0</v>
      </c>
      <c r="S947" s="423">
        <v>0.5</v>
      </c>
      <c r="T947" s="419">
        <f>ROUND(+(R947*C947)*S947,4)</f>
        <v>0</v>
      </c>
      <c r="U947" s="419">
        <f>ROUND(+J947+M947+T947,4)</f>
        <v>0</v>
      </c>
      <c r="V947" s="235"/>
    </row>
    <row r="948" spans="1:22" ht="15.75" x14ac:dyDescent="0.25">
      <c r="A948" s="231"/>
      <c r="B948" s="232"/>
      <c r="C948" s="400"/>
      <c r="D948" s="233"/>
      <c r="E948" s="405"/>
      <c r="F948" s="405"/>
      <c r="G948" s="405"/>
      <c r="H948" s="408">
        <f>ROUND(+E948+F948+G948,4)</f>
        <v>0</v>
      </c>
      <c r="I948" s="234"/>
      <c r="J948" s="411"/>
      <c r="K948" s="411"/>
      <c r="L948" s="414">
        <v>0.1</v>
      </c>
      <c r="M948" s="414">
        <f>ROUND(+L948*C948,4)</f>
        <v>0</v>
      </c>
      <c r="N948" s="414"/>
      <c r="O948" s="414"/>
      <c r="P948" s="414"/>
      <c r="Q948" s="419">
        <f>ROUND(+N948+O948+P948,4)</f>
        <v>0</v>
      </c>
      <c r="R948" s="419">
        <f>ROUND(IF(+Q948-H948&lt;=0,0,Q948-H948),4)</f>
        <v>0</v>
      </c>
      <c r="S948" s="423">
        <v>0.5</v>
      </c>
      <c r="T948" s="419">
        <f>ROUND(+(R948*C948)*S948,4)</f>
        <v>0</v>
      </c>
      <c r="U948" s="419">
        <f>ROUND(+J948+M948+T948,4)</f>
        <v>0</v>
      </c>
      <c r="V948" s="235"/>
    </row>
    <row r="949" spans="1:22" ht="15.75" x14ac:dyDescent="0.25">
      <c r="A949" s="231"/>
      <c r="B949" s="232"/>
      <c r="C949" s="400"/>
      <c r="D949" s="233"/>
      <c r="E949" s="405"/>
      <c r="F949" s="405"/>
      <c r="G949" s="405"/>
      <c r="H949" s="408">
        <f>ROUND(+E949+F949+G949,4)</f>
        <v>0</v>
      </c>
      <c r="I949" s="234"/>
      <c r="J949" s="411"/>
      <c r="K949" s="411"/>
      <c r="L949" s="414">
        <v>0.1</v>
      </c>
      <c r="M949" s="414">
        <f>ROUND(+L949*C949,4)</f>
        <v>0</v>
      </c>
      <c r="N949" s="414"/>
      <c r="O949" s="414"/>
      <c r="P949" s="414"/>
      <c r="Q949" s="419">
        <f>ROUND(+N949+O949+P949,4)</f>
        <v>0</v>
      </c>
      <c r="R949" s="419">
        <f>ROUND(IF(+Q949-H949&lt;=0,0,Q949-H949),4)</f>
        <v>0</v>
      </c>
      <c r="S949" s="423">
        <v>0.5</v>
      </c>
      <c r="T949" s="419">
        <f>ROUND(+(R949*C949)*S949,4)</f>
        <v>0</v>
      </c>
      <c r="U949" s="419">
        <f>ROUND(+J949+M949+T949,4)</f>
        <v>0</v>
      </c>
      <c r="V949" s="235"/>
    </row>
    <row r="950" spans="1:22" ht="15.75" x14ac:dyDescent="0.25">
      <c r="A950" s="231"/>
      <c r="B950" s="232"/>
      <c r="C950" s="400"/>
      <c r="D950" s="233"/>
      <c r="E950" s="405"/>
      <c r="F950" s="405"/>
      <c r="G950" s="405"/>
      <c r="H950" s="408">
        <f>ROUND(+E950+F950+G950,4)</f>
        <v>0</v>
      </c>
      <c r="I950" s="234"/>
      <c r="J950" s="411"/>
      <c r="K950" s="411"/>
      <c r="L950" s="414">
        <v>0.1</v>
      </c>
      <c r="M950" s="414">
        <f>ROUND(+L950*C950,4)</f>
        <v>0</v>
      </c>
      <c r="N950" s="414"/>
      <c r="O950" s="414"/>
      <c r="P950" s="414"/>
      <c r="Q950" s="419">
        <f>ROUND(+N950+O950+P950,4)</f>
        <v>0</v>
      </c>
      <c r="R950" s="419">
        <f>ROUND(IF(+Q950-H950&lt;=0,0,Q950-H950),4)</f>
        <v>0</v>
      </c>
      <c r="S950" s="423">
        <v>0.5</v>
      </c>
      <c r="T950" s="419">
        <f>ROUND(+(R950*C950)*S950,4)</f>
        <v>0</v>
      </c>
      <c r="U950" s="419">
        <f>ROUND(+J950+M950+T950,4)</f>
        <v>0</v>
      </c>
      <c r="V950" s="235"/>
    </row>
    <row r="951" spans="1:22" ht="15.75" x14ac:dyDescent="0.25">
      <c r="A951" s="231"/>
      <c r="B951" s="232"/>
      <c r="C951" s="400"/>
      <c r="D951" s="233"/>
      <c r="E951" s="405"/>
      <c r="F951" s="405"/>
      <c r="G951" s="405"/>
      <c r="H951" s="408">
        <f>ROUND(+E951+F951+G951,4)</f>
        <v>0</v>
      </c>
      <c r="I951" s="234"/>
      <c r="J951" s="411"/>
      <c r="K951" s="411"/>
      <c r="L951" s="414">
        <v>0.1</v>
      </c>
      <c r="M951" s="414">
        <f>ROUND(+L951*C951,4)</f>
        <v>0</v>
      </c>
      <c r="N951" s="414"/>
      <c r="O951" s="414"/>
      <c r="P951" s="414"/>
      <c r="Q951" s="419">
        <f>ROUND(+N951+O951+P951,4)</f>
        <v>0</v>
      </c>
      <c r="R951" s="419">
        <f>ROUND(IF(+Q951-H951&lt;=0,0,Q951-H951),4)</f>
        <v>0</v>
      </c>
      <c r="S951" s="423">
        <v>0.5</v>
      </c>
      <c r="T951" s="419">
        <f>ROUND(+(R951*C951)*S951,4)</f>
        <v>0</v>
      </c>
      <c r="U951" s="419">
        <f>ROUND(+J951+M951+T951,4)</f>
        <v>0</v>
      </c>
      <c r="V951" s="235"/>
    </row>
    <row r="952" spans="1:22" ht="15.75" x14ac:dyDescent="0.25">
      <c r="A952" s="231"/>
      <c r="B952" s="232"/>
      <c r="C952" s="400"/>
      <c r="D952" s="233"/>
      <c r="E952" s="405"/>
      <c r="F952" s="405"/>
      <c r="G952" s="405"/>
      <c r="H952" s="408">
        <f>ROUND(+E952+F952+G952,4)</f>
        <v>0</v>
      </c>
      <c r="I952" s="234"/>
      <c r="J952" s="411"/>
      <c r="K952" s="411"/>
      <c r="L952" s="414">
        <v>0.1</v>
      </c>
      <c r="M952" s="414">
        <f>ROUND(+L952*C952,4)</f>
        <v>0</v>
      </c>
      <c r="N952" s="414"/>
      <c r="O952" s="414"/>
      <c r="P952" s="414"/>
      <c r="Q952" s="419">
        <f>ROUND(+N952+O952+P952,4)</f>
        <v>0</v>
      </c>
      <c r="R952" s="419">
        <f>ROUND(IF(+Q952-H952&lt;=0,0,Q952-H952),4)</f>
        <v>0</v>
      </c>
      <c r="S952" s="423">
        <v>0.5</v>
      </c>
      <c r="T952" s="419">
        <f>ROUND(+(R952*C952)*S952,4)</f>
        <v>0</v>
      </c>
      <c r="U952" s="419">
        <f>ROUND(+J952+M952+T952,4)</f>
        <v>0</v>
      </c>
      <c r="V952" s="235"/>
    </row>
    <row r="953" spans="1:22" ht="15.75" x14ac:dyDescent="0.25">
      <c r="A953" s="231"/>
      <c r="B953" s="232"/>
      <c r="C953" s="400"/>
      <c r="D953" s="233"/>
      <c r="E953" s="405"/>
      <c r="F953" s="405"/>
      <c r="G953" s="405"/>
      <c r="H953" s="408">
        <f>ROUND(+E953+F953+G953,4)</f>
        <v>0</v>
      </c>
      <c r="I953" s="234"/>
      <c r="J953" s="411"/>
      <c r="K953" s="411"/>
      <c r="L953" s="414">
        <v>0.1</v>
      </c>
      <c r="M953" s="414">
        <f>ROUND(+L953*C953,4)</f>
        <v>0</v>
      </c>
      <c r="N953" s="414"/>
      <c r="O953" s="414"/>
      <c r="P953" s="414"/>
      <c r="Q953" s="419">
        <f>ROUND(+N953+O953+P953,4)</f>
        <v>0</v>
      </c>
      <c r="R953" s="419">
        <f>ROUND(IF(+Q953-H953&lt;=0,0,Q953-H953),4)</f>
        <v>0</v>
      </c>
      <c r="S953" s="423">
        <v>0.5</v>
      </c>
      <c r="T953" s="419">
        <f>ROUND(+(R953*C953)*S953,4)</f>
        <v>0</v>
      </c>
      <c r="U953" s="419">
        <f>ROUND(+J953+M953+T953,4)</f>
        <v>0</v>
      </c>
      <c r="V953" s="235"/>
    </row>
    <row r="954" spans="1:22" ht="15.75" x14ac:dyDescent="0.25">
      <c r="A954" s="231"/>
      <c r="B954" s="232"/>
      <c r="C954" s="400"/>
      <c r="D954" s="233"/>
      <c r="E954" s="405"/>
      <c r="F954" s="405"/>
      <c r="G954" s="405"/>
      <c r="H954" s="408">
        <f>ROUND(+E954+F954+G954,4)</f>
        <v>0</v>
      </c>
      <c r="I954" s="234"/>
      <c r="J954" s="411"/>
      <c r="K954" s="411"/>
      <c r="L954" s="414">
        <v>0.1</v>
      </c>
      <c r="M954" s="414">
        <f>ROUND(+L954*C954,4)</f>
        <v>0</v>
      </c>
      <c r="N954" s="414"/>
      <c r="O954" s="414"/>
      <c r="P954" s="414"/>
      <c r="Q954" s="419">
        <f>ROUND(+N954+O954+P954,4)</f>
        <v>0</v>
      </c>
      <c r="R954" s="419">
        <f>ROUND(IF(+Q954-H954&lt;=0,0,Q954-H954),4)</f>
        <v>0</v>
      </c>
      <c r="S954" s="423">
        <v>0.5</v>
      </c>
      <c r="T954" s="419">
        <f>ROUND(+(R954*C954)*S954,4)</f>
        <v>0</v>
      </c>
      <c r="U954" s="419">
        <f>ROUND(+J954+M954+T954,4)</f>
        <v>0</v>
      </c>
      <c r="V954" s="235"/>
    </row>
    <row r="955" spans="1:22" ht="15.75" x14ac:dyDescent="0.25">
      <c r="A955" s="231"/>
      <c r="B955" s="232"/>
      <c r="C955" s="400"/>
      <c r="D955" s="233"/>
      <c r="E955" s="405"/>
      <c r="F955" s="405"/>
      <c r="G955" s="405"/>
      <c r="H955" s="408">
        <f>ROUND(+E955+F955+G955,4)</f>
        <v>0</v>
      </c>
      <c r="I955" s="234"/>
      <c r="J955" s="411"/>
      <c r="K955" s="411"/>
      <c r="L955" s="414">
        <v>0.1</v>
      </c>
      <c r="M955" s="414">
        <f>ROUND(+L955*C955,4)</f>
        <v>0</v>
      </c>
      <c r="N955" s="414"/>
      <c r="O955" s="414"/>
      <c r="P955" s="414"/>
      <c r="Q955" s="419">
        <f>ROUND(+N955+O955+P955,4)</f>
        <v>0</v>
      </c>
      <c r="R955" s="419">
        <f>ROUND(IF(+Q955-H955&lt;=0,0,Q955-H955),4)</f>
        <v>0</v>
      </c>
      <c r="S955" s="423">
        <v>0.5</v>
      </c>
      <c r="T955" s="419">
        <f>ROUND(+(R955*C955)*S955,4)</f>
        <v>0</v>
      </c>
      <c r="U955" s="419">
        <f>ROUND(+J955+M955+T955,4)</f>
        <v>0</v>
      </c>
      <c r="V955" s="235"/>
    </row>
    <row r="956" spans="1:22" ht="15.75" x14ac:dyDescent="0.25">
      <c r="A956" s="231"/>
      <c r="B956" s="232"/>
      <c r="C956" s="400"/>
      <c r="D956" s="233"/>
      <c r="E956" s="405"/>
      <c r="F956" s="405"/>
      <c r="G956" s="405"/>
      <c r="H956" s="408">
        <f>ROUND(+E956+F956+G956,4)</f>
        <v>0</v>
      </c>
      <c r="I956" s="234"/>
      <c r="J956" s="411"/>
      <c r="K956" s="411"/>
      <c r="L956" s="414">
        <v>0.1</v>
      </c>
      <c r="M956" s="414">
        <f>ROUND(+L956*C956,4)</f>
        <v>0</v>
      </c>
      <c r="N956" s="414"/>
      <c r="O956" s="414"/>
      <c r="P956" s="414"/>
      <c r="Q956" s="419">
        <f>ROUND(+N956+O956+P956,4)</f>
        <v>0</v>
      </c>
      <c r="R956" s="419">
        <f>ROUND(IF(+Q956-H956&lt;=0,0,Q956-H956),4)</f>
        <v>0</v>
      </c>
      <c r="S956" s="423">
        <v>0.5</v>
      </c>
      <c r="T956" s="419">
        <f>ROUND(+(R956*C956)*S956,4)</f>
        <v>0</v>
      </c>
      <c r="U956" s="419">
        <f>ROUND(+J956+M956+T956,4)</f>
        <v>0</v>
      </c>
      <c r="V956" s="235"/>
    </row>
    <row r="957" spans="1:22" ht="15.75" x14ac:dyDescent="0.25">
      <c r="A957" s="231"/>
      <c r="B957" s="232"/>
      <c r="C957" s="400"/>
      <c r="D957" s="233"/>
      <c r="E957" s="405"/>
      <c r="F957" s="405"/>
      <c r="G957" s="405"/>
      <c r="H957" s="408">
        <f>ROUND(+E957+F957+G957,4)</f>
        <v>0</v>
      </c>
      <c r="I957" s="234"/>
      <c r="J957" s="411"/>
      <c r="K957" s="411"/>
      <c r="L957" s="414">
        <v>0.1</v>
      </c>
      <c r="M957" s="414">
        <f>ROUND(+L957*C957,4)</f>
        <v>0</v>
      </c>
      <c r="N957" s="414"/>
      <c r="O957" s="414"/>
      <c r="P957" s="414"/>
      <c r="Q957" s="419">
        <f>ROUND(+N957+O957+P957,4)</f>
        <v>0</v>
      </c>
      <c r="R957" s="419">
        <f>ROUND(IF(+Q957-H957&lt;=0,0,Q957-H957),4)</f>
        <v>0</v>
      </c>
      <c r="S957" s="423">
        <v>0.5</v>
      </c>
      <c r="T957" s="419">
        <f>ROUND(+(R957*C957)*S957,4)</f>
        <v>0</v>
      </c>
      <c r="U957" s="419">
        <f>ROUND(+J957+M957+T957,4)</f>
        <v>0</v>
      </c>
      <c r="V957" s="235"/>
    </row>
    <row r="958" spans="1:22" ht="15.75" x14ac:dyDescent="0.25">
      <c r="A958" s="231"/>
      <c r="B958" s="232"/>
      <c r="C958" s="400"/>
      <c r="D958" s="233"/>
      <c r="E958" s="405"/>
      <c r="F958" s="405"/>
      <c r="G958" s="405"/>
      <c r="H958" s="408">
        <f>ROUND(+E958+F958+G958,4)</f>
        <v>0</v>
      </c>
      <c r="I958" s="234"/>
      <c r="J958" s="411"/>
      <c r="K958" s="411"/>
      <c r="L958" s="414">
        <v>0.1</v>
      </c>
      <c r="M958" s="414">
        <f>ROUND(+L958*C958,4)</f>
        <v>0</v>
      </c>
      <c r="N958" s="414"/>
      <c r="O958" s="414"/>
      <c r="P958" s="414"/>
      <c r="Q958" s="419">
        <f>ROUND(+N958+O958+P958,4)</f>
        <v>0</v>
      </c>
      <c r="R958" s="419">
        <f>ROUND(IF(+Q958-H958&lt;=0,0,Q958-H958),4)</f>
        <v>0</v>
      </c>
      <c r="S958" s="423">
        <v>0.5</v>
      </c>
      <c r="T958" s="419">
        <f>ROUND(+(R958*C958)*S958,4)</f>
        <v>0</v>
      </c>
      <c r="U958" s="419">
        <f>ROUND(+J958+M958+T958,4)</f>
        <v>0</v>
      </c>
      <c r="V958" s="235"/>
    </row>
    <row r="959" spans="1:22" ht="15.75" x14ac:dyDescent="0.25">
      <c r="A959" s="231"/>
      <c r="B959" s="232"/>
      <c r="C959" s="400"/>
      <c r="D959" s="233"/>
      <c r="E959" s="405"/>
      <c r="F959" s="405"/>
      <c r="G959" s="405"/>
      <c r="H959" s="408">
        <f>ROUND(+E959+F959+G959,4)</f>
        <v>0</v>
      </c>
      <c r="I959" s="234"/>
      <c r="J959" s="411"/>
      <c r="K959" s="411"/>
      <c r="L959" s="414">
        <v>0.1</v>
      </c>
      <c r="M959" s="414">
        <f>ROUND(+L959*C959,4)</f>
        <v>0</v>
      </c>
      <c r="N959" s="414"/>
      <c r="O959" s="414"/>
      <c r="P959" s="414"/>
      <c r="Q959" s="419">
        <f>ROUND(+N959+O959+P959,4)</f>
        <v>0</v>
      </c>
      <c r="R959" s="419">
        <f>ROUND(IF(+Q959-H959&lt;=0,0,Q959-H959),4)</f>
        <v>0</v>
      </c>
      <c r="S959" s="423">
        <v>0.5</v>
      </c>
      <c r="T959" s="419">
        <f>ROUND(+(R959*C959)*S959,4)</f>
        <v>0</v>
      </c>
      <c r="U959" s="419">
        <f>ROUND(+J959+M959+T959,4)</f>
        <v>0</v>
      </c>
      <c r="V959" s="235"/>
    </row>
    <row r="960" spans="1:22" ht="15.75" x14ac:dyDescent="0.25">
      <c r="A960" s="231"/>
      <c r="B960" s="232"/>
      <c r="C960" s="400"/>
      <c r="D960" s="233"/>
      <c r="E960" s="405"/>
      <c r="F960" s="405"/>
      <c r="G960" s="405"/>
      <c r="H960" s="408">
        <f>ROUND(+E960+F960+G960,4)</f>
        <v>0</v>
      </c>
      <c r="I960" s="234"/>
      <c r="J960" s="411"/>
      <c r="K960" s="411"/>
      <c r="L960" s="414">
        <v>0.1</v>
      </c>
      <c r="M960" s="414">
        <f>ROUND(+L960*C960,4)</f>
        <v>0</v>
      </c>
      <c r="N960" s="414"/>
      <c r="O960" s="414"/>
      <c r="P960" s="414"/>
      <c r="Q960" s="419">
        <f>ROUND(+N960+O960+P960,4)</f>
        <v>0</v>
      </c>
      <c r="R960" s="419">
        <f>ROUND(IF(+Q960-H960&lt;=0,0,Q960-H960),4)</f>
        <v>0</v>
      </c>
      <c r="S960" s="423">
        <v>0.5</v>
      </c>
      <c r="T960" s="419">
        <f>ROUND(+(R960*C960)*S960,4)</f>
        <v>0</v>
      </c>
      <c r="U960" s="419">
        <f>ROUND(+J960+M960+T960,4)</f>
        <v>0</v>
      </c>
      <c r="V960" s="235"/>
    </row>
    <row r="961" spans="1:22" ht="15.75" x14ac:dyDescent="0.25">
      <c r="A961" s="231"/>
      <c r="B961" s="232"/>
      <c r="C961" s="400"/>
      <c r="D961" s="233"/>
      <c r="E961" s="405"/>
      <c r="F961" s="405"/>
      <c r="G961" s="405"/>
      <c r="H961" s="408">
        <f>ROUND(+E961+F961+G961,4)</f>
        <v>0</v>
      </c>
      <c r="I961" s="234"/>
      <c r="J961" s="411"/>
      <c r="K961" s="411"/>
      <c r="L961" s="414">
        <v>0.1</v>
      </c>
      <c r="M961" s="414">
        <f>ROUND(+L961*C961,4)</f>
        <v>0</v>
      </c>
      <c r="N961" s="414"/>
      <c r="O961" s="414"/>
      <c r="P961" s="414"/>
      <c r="Q961" s="419">
        <f>ROUND(+N961+O961+P961,4)</f>
        <v>0</v>
      </c>
      <c r="R961" s="419">
        <f>ROUND(IF(+Q961-H961&lt;=0,0,Q961-H961),4)</f>
        <v>0</v>
      </c>
      <c r="S961" s="423">
        <v>0.5</v>
      </c>
      <c r="T961" s="419">
        <f>ROUND(+(R961*C961)*S961,4)</f>
        <v>0</v>
      </c>
      <c r="U961" s="419">
        <f>ROUND(+J961+M961+T961,4)</f>
        <v>0</v>
      </c>
      <c r="V961" s="235"/>
    </row>
    <row r="962" spans="1:22" ht="15.75" x14ac:dyDescent="0.25">
      <c r="A962" s="231"/>
      <c r="B962" s="232"/>
      <c r="C962" s="400"/>
      <c r="D962" s="233"/>
      <c r="E962" s="405"/>
      <c r="F962" s="405"/>
      <c r="G962" s="405"/>
      <c r="H962" s="408">
        <f>ROUND(+E962+F962+G962,4)</f>
        <v>0</v>
      </c>
      <c r="I962" s="234"/>
      <c r="J962" s="411"/>
      <c r="K962" s="411"/>
      <c r="L962" s="414">
        <v>0.1</v>
      </c>
      <c r="M962" s="414">
        <f>ROUND(+L962*C962,4)</f>
        <v>0</v>
      </c>
      <c r="N962" s="414"/>
      <c r="O962" s="414"/>
      <c r="P962" s="414"/>
      <c r="Q962" s="419">
        <f>ROUND(+N962+O962+P962,4)</f>
        <v>0</v>
      </c>
      <c r="R962" s="419">
        <f>ROUND(IF(+Q962-H962&lt;=0,0,Q962-H962),4)</f>
        <v>0</v>
      </c>
      <c r="S962" s="423">
        <v>0.5</v>
      </c>
      <c r="T962" s="419">
        <f>ROUND(+(R962*C962)*S962,4)</f>
        <v>0</v>
      </c>
      <c r="U962" s="419">
        <f>ROUND(+J962+M962+T962,4)</f>
        <v>0</v>
      </c>
      <c r="V962" s="235"/>
    </row>
    <row r="963" spans="1:22" ht="15.75" x14ac:dyDescent="0.25">
      <c r="A963" s="231"/>
      <c r="B963" s="232"/>
      <c r="C963" s="400"/>
      <c r="D963" s="233"/>
      <c r="E963" s="405"/>
      <c r="F963" s="405"/>
      <c r="G963" s="405"/>
      <c r="H963" s="408">
        <f>ROUND(+E963+F963+G963,4)</f>
        <v>0</v>
      </c>
      <c r="I963" s="234"/>
      <c r="J963" s="411"/>
      <c r="K963" s="411"/>
      <c r="L963" s="414">
        <v>0.1</v>
      </c>
      <c r="M963" s="414">
        <f>ROUND(+L963*C963,4)</f>
        <v>0</v>
      </c>
      <c r="N963" s="414"/>
      <c r="O963" s="414"/>
      <c r="P963" s="414"/>
      <c r="Q963" s="419">
        <f>ROUND(+N963+O963+P963,4)</f>
        <v>0</v>
      </c>
      <c r="R963" s="419">
        <f>ROUND(IF(+Q963-H963&lt;=0,0,Q963-H963),4)</f>
        <v>0</v>
      </c>
      <c r="S963" s="423">
        <v>0.5</v>
      </c>
      <c r="T963" s="419">
        <f>ROUND(+(R963*C963)*S963,4)</f>
        <v>0</v>
      </c>
      <c r="U963" s="419">
        <f>ROUND(+J963+M963+T963,4)</f>
        <v>0</v>
      </c>
      <c r="V963" s="235"/>
    </row>
    <row r="964" spans="1:22" ht="15.75" x14ac:dyDescent="0.25">
      <c r="A964" s="231"/>
      <c r="B964" s="232"/>
      <c r="C964" s="400"/>
      <c r="D964" s="233"/>
      <c r="E964" s="405"/>
      <c r="F964" s="405"/>
      <c r="G964" s="405"/>
      <c r="H964" s="408">
        <f>ROUND(+E964+F964+G964,4)</f>
        <v>0</v>
      </c>
      <c r="I964" s="234"/>
      <c r="J964" s="411"/>
      <c r="K964" s="411"/>
      <c r="L964" s="414">
        <v>0.1</v>
      </c>
      <c r="M964" s="414">
        <f>ROUND(+L964*C964,4)</f>
        <v>0</v>
      </c>
      <c r="N964" s="414"/>
      <c r="O964" s="414"/>
      <c r="P964" s="414"/>
      <c r="Q964" s="419">
        <f>ROUND(+N964+O964+P964,4)</f>
        <v>0</v>
      </c>
      <c r="R964" s="419">
        <f>ROUND(IF(+Q964-H964&lt;=0,0,Q964-H964),4)</f>
        <v>0</v>
      </c>
      <c r="S964" s="423">
        <v>0.5</v>
      </c>
      <c r="T964" s="419">
        <f>ROUND(+(R964*C964)*S964,4)</f>
        <v>0</v>
      </c>
      <c r="U964" s="419">
        <f>ROUND(+J964+M964+T964,4)</f>
        <v>0</v>
      </c>
      <c r="V964" s="235"/>
    </row>
    <row r="965" spans="1:22" ht="15.75" x14ac:dyDescent="0.25">
      <c r="A965" s="231"/>
      <c r="B965" s="232"/>
      <c r="C965" s="400"/>
      <c r="D965" s="233"/>
      <c r="E965" s="405"/>
      <c r="F965" s="405"/>
      <c r="G965" s="405"/>
      <c r="H965" s="408">
        <f>ROUND(+E965+F965+G965,4)</f>
        <v>0</v>
      </c>
      <c r="I965" s="234"/>
      <c r="J965" s="411"/>
      <c r="K965" s="411"/>
      <c r="L965" s="414">
        <v>0.1</v>
      </c>
      <c r="M965" s="414">
        <f>ROUND(+L965*C965,4)</f>
        <v>0</v>
      </c>
      <c r="N965" s="414"/>
      <c r="O965" s="414"/>
      <c r="P965" s="414"/>
      <c r="Q965" s="419">
        <f>ROUND(+N965+O965+P965,4)</f>
        <v>0</v>
      </c>
      <c r="R965" s="419">
        <f>ROUND(IF(+Q965-H965&lt;=0,0,Q965-H965),4)</f>
        <v>0</v>
      </c>
      <c r="S965" s="423">
        <v>0.5</v>
      </c>
      <c r="T965" s="419">
        <f>ROUND(+(R965*C965)*S965,4)</f>
        <v>0</v>
      </c>
      <c r="U965" s="419">
        <f>ROUND(+J965+M965+T965,4)</f>
        <v>0</v>
      </c>
      <c r="V965" s="235"/>
    </row>
    <row r="966" spans="1:22" ht="15.75" x14ac:dyDescent="0.25">
      <c r="A966" s="231"/>
      <c r="B966" s="232"/>
      <c r="C966" s="400"/>
      <c r="D966" s="233"/>
      <c r="E966" s="405"/>
      <c r="F966" s="405"/>
      <c r="G966" s="405"/>
      <c r="H966" s="408">
        <f>ROUND(+E966+F966+G966,4)</f>
        <v>0</v>
      </c>
      <c r="I966" s="234"/>
      <c r="J966" s="411"/>
      <c r="K966" s="411"/>
      <c r="L966" s="414">
        <v>0.1</v>
      </c>
      <c r="M966" s="414">
        <f>ROUND(+L966*C966,4)</f>
        <v>0</v>
      </c>
      <c r="N966" s="414"/>
      <c r="O966" s="414"/>
      <c r="P966" s="414"/>
      <c r="Q966" s="419">
        <f>ROUND(+N966+O966+P966,4)</f>
        <v>0</v>
      </c>
      <c r="R966" s="419">
        <f>ROUND(IF(+Q966-H966&lt;=0,0,Q966-H966),4)</f>
        <v>0</v>
      </c>
      <c r="S966" s="423">
        <v>0.5</v>
      </c>
      <c r="T966" s="419">
        <f>ROUND(+(R966*C966)*S966,4)</f>
        <v>0</v>
      </c>
      <c r="U966" s="419">
        <f>ROUND(+J966+M966+T966,4)</f>
        <v>0</v>
      </c>
      <c r="V966" s="235"/>
    </row>
    <row r="967" spans="1:22" ht="15.75" x14ac:dyDescent="0.25">
      <c r="A967" s="231"/>
      <c r="B967" s="232"/>
      <c r="C967" s="400"/>
      <c r="D967" s="233"/>
      <c r="E967" s="405"/>
      <c r="F967" s="405"/>
      <c r="G967" s="405"/>
      <c r="H967" s="408">
        <f>ROUND(+E967+F967+G967,4)</f>
        <v>0</v>
      </c>
      <c r="I967" s="234"/>
      <c r="J967" s="411"/>
      <c r="K967" s="411"/>
      <c r="L967" s="414">
        <v>0.1</v>
      </c>
      <c r="M967" s="414">
        <f>ROUND(+L967*C967,4)</f>
        <v>0</v>
      </c>
      <c r="N967" s="414"/>
      <c r="O967" s="414"/>
      <c r="P967" s="414"/>
      <c r="Q967" s="419">
        <f>ROUND(+N967+O967+P967,4)</f>
        <v>0</v>
      </c>
      <c r="R967" s="419">
        <f>ROUND(IF(+Q967-H967&lt;=0,0,Q967-H967),4)</f>
        <v>0</v>
      </c>
      <c r="S967" s="423">
        <v>0.5</v>
      </c>
      <c r="T967" s="419">
        <f>ROUND(+(R967*C967)*S967,4)</f>
        <v>0</v>
      </c>
      <c r="U967" s="419">
        <f>ROUND(+J967+M967+T967,4)</f>
        <v>0</v>
      </c>
      <c r="V967" s="235"/>
    </row>
    <row r="968" spans="1:22" ht="15.75" x14ac:dyDescent="0.25">
      <c r="A968" s="231"/>
      <c r="B968" s="232"/>
      <c r="C968" s="400"/>
      <c r="D968" s="233"/>
      <c r="E968" s="405"/>
      <c r="F968" s="405"/>
      <c r="G968" s="405"/>
      <c r="H968" s="408">
        <f>ROUND(+E968+F968+G968,4)</f>
        <v>0</v>
      </c>
      <c r="I968" s="234"/>
      <c r="J968" s="411"/>
      <c r="K968" s="411"/>
      <c r="L968" s="414">
        <v>0.1</v>
      </c>
      <c r="M968" s="414">
        <f>ROUND(+L968*C968,4)</f>
        <v>0</v>
      </c>
      <c r="N968" s="414"/>
      <c r="O968" s="414"/>
      <c r="P968" s="414"/>
      <c r="Q968" s="419">
        <f>ROUND(+N968+O968+P968,4)</f>
        <v>0</v>
      </c>
      <c r="R968" s="419">
        <f>ROUND(IF(+Q968-H968&lt;=0,0,Q968-H968),4)</f>
        <v>0</v>
      </c>
      <c r="S968" s="423">
        <v>0.5</v>
      </c>
      <c r="T968" s="419">
        <f>ROUND(+(R968*C968)*S968,4)</f>
        <v>0</v>
      </c>
      <c r="U968" s="419">
        <f>ROUND(+J968+M968+T968,4)</f>
        <v>0</v>
      </c>
      <c r="V968" s="235"/>
    </row>
    <row r="969" spans="1:22" ht="15.75" x14ac:dyDescent="0.25">
      <c r="A969" s="231"/>
      <c r="B969" s="232"/>
      <c r="C969" s="400"/>
      <c r="D969" s="233"/>
      <c r="E969" s="405"/>
      <c r="F969" s="405"/>
      <c r="G969" s="405"/>
      <c r="H969" s="408">
        <f>ROUND(+E969+F969+G969,4)</f>
        <v>0</v>
      </c>
      <c r="I969" s="234"/>
      <c r="J969" s="411"/>
      <c r="K969" s="411"/>
      <c r="L969" s="414">
        <v>0.1</v>
      </c>
      <c r="M969" s="414">
        <f>ROUND(+L969*C969,4)</f>
        <v>0</v>
      </c>
      <c r="N969" s="414"/>
      <c r="O969" s="414"/>
      <c r="P969" s="414"/>
      <c r="Q969" s="419">
        <f>ROUND(+N969+O969+P969,4)</f>
        <v>0</v>
      </c>
      <c r="R969" s="419">
        <f>ROUND(IF(+Q969-H969&lt;=0,0,Q969-H969),4)</f>
        <v>0</v>
      </c>
      <c r="S969" s="423">
        <v>0.5</v>
      </c>
      <c r="T969" s="419">
        <f>ROUND(+(R969*C969)*S969,4)</f>
        <v>0</v>
      </c>
      <c r="U969" s="419">
        <f>ROUND(+J969+M969+T969,4)</f>
        <v>0</v>
      </c>
      <c r="V969" s="235"/>
    </row>
    <row r="970" spans="1:22" ht="15.75" x14ac:dyDescent="0.25">
      <c r="A970" s="231"/>
      <c r="B970" s="232"/>
      <c r="C970" s="400"/>
      <c r="D970" s="233"/>
      <c r="E970" s="405"/>
      <c r="F970" s="405"/>
      <c r="G970" s="405"/>
      <c r="H970" s="408">
        <f>ROUND(+E970+F970+G970,4)</f>
        <v>0</v>
      </c>
      <c r="I970" s="234"/>
      <c r="J970" s="411"/>
      <c r="K970" s="411"/>
      <c r="L970" s="414">
        <v>0.1</v>
      </c>
      <c r="M970" s="414">
        <f>ROUND(+L970*C970,4)</f>
        <v>0</v>
      </c>
      <c r="N970" s="414"/>
      <c r="O970" s="414"/>
      <c r="P970" s="414"/>
      <c r="Q970" s="419">
        <f>ROUND(+N970+O970+P970,4)</f>
        <v>0</v>
      </c>
      <c r="R970" s="419">
        <f>ROUND(IF(+Q970-H970&lt;=0,0,Q970-H970),4)</f>
        <v>0</v>
      </c>
      <c r="S970" s="423">
        <v>0.5</v>
      </c>
      <c r="T970" s="419">
        <f>ROUND(+(R970*C970)*S970,4)</f>
        <v>0</v>
      </c>
      <c r="U970" s="419">
        <f>ROUND(+J970+M970+T970,4)</f>
        <v>0</v>
      </c>
      <c r="V970" s="235"/>
    </row>
    <row r="971" spans="1:22" ht="15.75" x14ac:dyDescent="0.25">
      <c r="A971" s="231"/>
      <c r="B971" s="232"/>
      <c r="C971" s="400"/>
      <c r="D971" s="233"/>
      <c r="E971" s="405"/>
      <c r="F971" s="405"/>
      <c r="G971" s="405"/>
      <c r="H971" s="408">
        <f>ROUND(+E971+F971+G971,4)</f>
        <v>0</v>
      </c>
      <c r="I971" s="234"/>
      <c r="J971" s="411"/>
      <c r="K971" s="411"/>
      <c r="L971" s="414">
        <v>0.1</v>
      </c>
      <c r="M971" s="414">
        <f>ROUND(+L971*C971,4)</f>
        <v>0</v>
      </c>
      <c r="N971" s="414"/>
      <c r="O971" s="414"/>
      <c r="P971" s="414"/>
      <c r="Q971" s="419">
        <f>ROUND(+N971+O971+P971,4)</f>
        <v>0</v>
      </c>
      <c r="R971" s="419">
        <f>ROUND(IF(+Q971-H971&lt;=0,0,Q971-H971),4)</f>
        <v>0</v>
      </c>
      <c r="S971" s="423">
        <v>0.5</v>
      </c>
      <c r="T971" s="419">
        <f>ROUND(+(R971*C971)*S971,4)</f>
        <v>0</v>
      </c>
      <c r="U971" s="419">
        <f>ROUND(+J971+M971+T971,4)</f>
        <v>0</v>
      </c>
      <c r="V971" s="235"/>
    </row>
    <row r="972" spans="1:22" ht="15.75" x14ac:dyDescent="0.25">
      <c r="A972" s="231"/>
      <c r="B972" s="232"/>
      <c r="C972" s="400"/>
      <c r="D972" s="233"/>
      <c r="E972" s="405"/>
      <c r="F972" s="405"/>
      <c r="G972" s="405"/>
      <c r="H972" s="408">
        <f>ROUND(+E972+F972+G972,4)</f>
        <v>0</v>
      </c>
      <c r="I972" s="234"/>
      <c r="J972" s="411"/>
      <c r="K972" s="411"/>
      <c r="L972" s="414">
        <v>0.1</v>
      </c>
      <c r="M972" s="414">
        <f>ROUND(+L972*C972,4)</f>
        <v>0</v>
      </c>
      <c r="N972" s="414"/>
      <c r="O972" s="414"/>
      <c r="P972" s="414"/>
      <c r="Q972" s="419">
        <f>ROUND(+N972+O972+P972,4)</f>
        <v>0</v>
      </c>
      <c r="R972" s="419">
        <f>ROUND(IF(+Q972-H972&lt;=0,0,Q972-H972),4)</f>
        <v>0</v>
      </c>
      <c r="S972" s="423">
        <v>0.5</v>
      </c>
      <c r="T972" s="419">
        <f>ROUND(+(R972*C972)*S972,4)</f>
        <v>0</v>
      </c>
      <c r="U972" s="419">
        <f>ROUND(+J972+M972+T972,4)</f>
        <v>0</v>
      </c>
      <c r="V972" s="235"/>
    </row>
    <row r="973" spans="1:22" ht="15.75" x14ac:dyDescent="0.25">
      <c r="A973" s="231"/>
      <c r="B973" s="232"/>
      <c r="C973" s="400"/>
      <c r="D973" s="233"/>
      <c r="E973" s="405"/>
      <c r="F973" s="405"/>
      <c r="G973" s="405"/>
      <c r="H973" s="408">
        <f>ROUND(+E973+F973+G973,4)</f>
        <v>0</v>
      </c>
      <c r="I973" s="234"/>
      <c r="J973" s="411"/>
      <c r="K973" s="411"/>
      <c r="L973" s="414">
        <v>0.1</v>
      </c>
      <c r="M973" s="414">
        <f>ROUND(+L973*C973,4)</f>
        <v>0</v>
      </c>
      <c r="N973" s="414"/>
      <c r="O973" s="414"/>
      <c r="P973" s="414"/>
      <c r="Q973" s="419">
        <f>ROUND(+N973+O973+P973,4)</f>
        <v>0</v>
      </c>
      <c r="R973" s="419">
        <f>ROUND(IF(+Q973-H973&lt;=0,0,Q973-H973),4)</f>
        <v>0</v>
      </c>
      <c r="S973" s="423">
        <v>0.5</v>
      </c>
      <c r="T973" s="419">
        <f>ROUND(+(R973*C973)*S973,4)</f>
        <v>0</v>
      </c>
      <c r="U973" s="419">
        <f>ROUND(+J973+M973+T973,4)</f>
        <v>0</v>
      </c>
      <c r="V973" s="235"/>
    </row>
    <row r="974" spans="1:22" ht="15.75" x14ac:dyDescent="0.25">
      <c r="A974" s="231"/>
      <c r="B974" s="232"/>
      <c r="C974" s="400"/>
      <c r="D974" s="233"/>
      <c r="E974" s="405"/>
      <c r="F974" s="405"/>
      <c r="G974" s="405"/>
      <c r="H974" s="408">
        <f>ROUND(+E974+F974+G974,4)</f>
        <v>0</v>
      </c>
      <c r="I974" s="234"/>
      <c r="J974" s="411"/>
      <c r="K974" s="411"/>
      <c r="L974" s="414">
        <v>0.1</v>
      </c>
      <c r="M974" s="414">
        <f>ROUND(+L974*C974,4)</f>
        <v>0</v>
      </c>
      <c r="N974" s="414"/>
      <c r="O974" s="414"/>
      <c r="P974" s="414"/>
      <c r="Q974" s="419">
        <f>ROUND(+N974+O974+P974,4)</f>
        <v>0</v>
      </c>
      <c r="R974" s="419">
        <f>ROUND(IF(+Q974-H974&lt;=0,0,Q974-H974),4)</f>
        <v>0</v>
      </c>
      <c r="S974" s="423">
        <v>0.5</v>
      </c>
      <c r="T974" s="419">
        <f>ROUND(+(R974*C974)*S974,4)</f>
        <v>0</v>
      </c>
      <c r="U974" s="419">
        <f>ROUND(+J974+M974+T974,4)</f>
        <v>0</v>
      </c>
      <c r="V974" s="235"/>
    </row>
    <row r="975" spans="1:22" ht="15.75" x14ac:dyDescent="0.25">
      <c r="A975" s="231"/>
      <c r="B975" s="232"/>
      <c r="C975" s="400"/>
      <c r="D975" s="233"/>
      <c r="E975" s="405"/>
      <c r="F975" s="405"/>
      <c r="G975" s="405"/>
      <c r="H975" s="408">
        <f>ROUND(+E975+F975+G975,4)</f>
        <v>0</v>
      </c>
      <c r="I975" s="234"/>
      <c r="J975" s="411"/>
      <c r="K975" s="411"/>
      <c r="L975" s="414">
        <v>0.1</v>
      </c>
      <c r="M975" s="414">
        <f>ROUND(+L975*C975,4)</f>
        <v>0</v>
      </c>
      <c r="N975" s="414"/>
      <c r="O975" s="414"/>
      <c r="P975" s="414"/>
      <c r="Q975" s="419">
        <f>ROUND(+N975+O975+P975,4)</f>
        <v>0</v>
      </c>
      <c r="R975" s="419">
        <f>ROUND(IF(+Q975-H975&lt;=0,0,Q975-H975),4)</f>
        <v>0</v>
      </c>
      <c r="S975" s="423">
        <v>0.5</v>
      </c>
      <c r="T975" s="419">
        <f>ROUND(+(R975*C975)*S975,4)</f>
        <v>0</v>
      </c>
      <c r="U975" s="419">
        <f>ROUND(+J975+M975+T975,4)</f>
        <v>0</v>
      </c>
      <c r="V975" s="235"/>
    </row>
    <row r="976" spans="1:22" ht="15.75" x14ac:dyDescent="0.25">
      <c r="A976" s="231"/>
      <c r="B976" s="232"/>
      <c r="C976" s="400"/>
      <c r="D976" s="233"/>
      <c r="E976" s="405"/>
      <c r="F976" s="405"/>
      <c r="G976" s="405"/>
      <c r="H976" s="408">
        <f>ROUND(+E976+F976+G976,4)</f>
        <v>0</v>
      </c>
      <c r="I976" s="234"/>
      <c r="J976" s="411"/>
      <c r="K976" s="411"/>
      <c r="L976" s="414">
        <v>0.1</v>
      </c>
      <c r="M976" s="414">
        <f>ROUND(+L976*C976,4)</f>
        <v>0</v>
      </c>
      <c r="N976" s="414"/>
      <c r="O976" s="414"/>
      <c r="P976" s="414"/>
      <c r="Q976" s="419">
        <f>ROUND(+N976+O976+P976,4)</f>
        <v>0</v>
      </c>
      <c r="R976" s="419">
        <f>ROUND(IF(+Q976-H976&lt;=0,0,Q976-H976),4)</f>
        <v>0</v>
      </c>
      <c r="S976" s="423">
        <v>0.5</v>
      </c>
      <c r="T976" s="419">
        <f>ROUND(+(R976*C976)*S976,4)</f>
        <v>0</v>
      </c>
      <c r="U976" s="419">
        <f>ROUND(+J976+M976+T976,4)</f>
        <v>0</v>
      </c>
      <c r="V976" s="235"/>
    </row>
    <row r="977" spans="1:22" ht="15.75" x14ac:dyDescent="0.25">
      <c r="A977" s="231"/>
      <c r="B977" s="232"/>
      <c r="C977" s="400"/>
      <c r="D977" s="233"/>
      <c r="E977" s="405"/>
      <c r="F977" s="405"/>
      <c r="G977" s="405"/>
      <c r="H977" s="408">
        <f>ROUND(+E977+F977+G977,4)</f>
        <v>0</v>
      </c>
      <c r="I977" s="234"/>
      <c r="J977" s="411"/>
      <c r="K977" s="411"/>
      <c r="L977" s="414">
        <v>0.1</v>
      </c>
      <c r="M977" s="414">
        <f>ROUND(+L977*C977,4)</f>
        <v>0</v>
      </c>
      <c r="N977" s="414"/>
      <c r="O977" s="414"/>
      <c r="P977" s="414"/>
      <c r="Q977" s="419">
        <f>ROUND(+N977+O977+P977,4)</f>
        <v>0</v>
      </c>
      <c r="R977" s="419">
        <f>ROUND(IF(+Q977-H977&lt;=0,0,Q977-H977),4)</f>
        <v>0</v>
      </c>
      <c r="S977" s="423">
        <v>0.5</v>
      </c>
      <c r="T977" s="419">
        <f>ROUND(+(R977*C977)*S977,4)</f>
        <v>0</v>
      </c>
      <c r="U977" s="419">
        <f>ROUND(+J977+M977+T977,4)</f>
        <v>0</v>
      </c>
      <c r="V977" s="235"/>
    </row>
    <row r="978" spans="1:22" ht="15.75" x14ac:dyDescent="0.25">
      <c r="A978" s="231"/>
      <c r="B978" s="232"/>
      <c r="C978" s="400"/>
      <c r="D978" s="233"/>
      <c r="E978" s="405"/>
      <c r="F978" s="405"/>
      <c r="G978" s="405"/>
      <c r="H978" s="408">
        <f>ROUND(+E978+F978+G978,4)</f>
        <v>0</v>
      </c>
      <c r="I978" s="234"/>
      <c r="J978" s="411"/>
      <c r="K978" s="411"/>
      <c r="L978" s="414">
        <v>0.1</v>
      </c>
      <c r="M978" s="414">
        <f>ROUND(+L978*C978,4)</f>
        <v>0</v>
      </c>
      <c r="N978" s="414"/>
      <c r="O978" s="414"/>
      <c r="P978" s="414"/>
      <c r="Q978" s="419">
        <f>ROUND(+N978+O978+P978,4)</f>
        <v>0</v>
      </c>
      <c r="R978" s="419">
        <f>ROUND(IF(+Q978-H978&lt;=0,0,Q978-H978),4)</f>
        <v>0</v>
      </c>
      <c r="S978" s="423">
        <v>0.5</v>
      </c>
      <c r="T978" s="419">
        <f>ROUND(+(R978*C978)*S978,4)</f>
        <v>0</v>
      </c>
      <c r="U978" s="419">
        <f>ROUND(+J978+M978+T978,4)</f>
        <v>0</v>
      </c>
      <c r="V978" s="235"/>
    </row>
    <row r="979" spans="1:22" ht="15.75" x14ac:dyDescent="0.25">
      <c r="A979" s="231"/>
      <c r="B979" s="232"/>
      <c r="C979" s="400"/>
      <c r="D979" s="233"/>
      <c r="E979" s="405"/>
      <c r="F979" s="405"/>
      <c r="G979" s="405"/>
      <c r="H979" s="408">
        <f>ROUND(+E979+F979+G979,4)</f>
        <v>0</v>
      </c>
      <c r="I979" s="234"/>
      <c r="J979" s="411"/>
      <c r="K979" s="411"/>
      <c r="L979" s="414">
        <v>0.1</v>
      </c>
      <c r="M979" s="414">
        <f>ROUND(+L979*C979,4)</f>
        <v>0</v>
      </c>
      <c r="N979" s="414"/>
      <c r="O979" s="414"/>
      <c r="P979" s="414"/>
      <c r="Q979" s="419">
        <f>ROUND(+N979+O979+P979,4)</f>
        <v>0</v>
      </c>
      <c r="R979" s="419">
        <f>ROUND(IF(+Q979-H979&lt;=0,0,Q979-H979),4)</f>
        <v>0</v>
      </c>
      <c r="S979" s="423">
        <v>0.5</v>
      </c>
      <c r="T979" s="419">
        <f>ROUND(+(R979*C979)*S979,4)</f>
        <v>0</v>
      </c>
      <c r="U979" s="419">
        <f>ROUND(+J979+M979+T979,4)</f>
        <v>0</v>
      </c>
      <c r="V979" s="235"/>
    </row>
    <row r="980" spans="1:22" ht="15.75" x14ac:dyDescent="0.25">
      <c r="A980" s="231"/>
      <c r="B980" s="232"/>
      <c r="C980" s="400"/>
      <c r="D980" s="233"/>
      <c r="E980" s="405"/>
      <c r="F980" s="405"/>
      <c r="G980" s="405"/>
      <c r="H980" s="408">
        <f>ROUND(+E980+F980+G980,4)</f>
        <v>0</v>
      </c>
      <c r="I980" s="234"/>
      <c r="J980" s="411"/>
      <c r="K980" s="411"/>
      <c r="L980" s="414">
        <v>0.1</v>
      </c>
      <c r="M980" s="414">
        <f>ROUND(+L980*C980,4)</f>
        <v>0</v>
      </c>
      <c r="N980" s="414"/>
      <c r="O980" s="414"/>
      <c r="P980" s="414"/>
      <c r="Q980" s="419">
        <f>ROUND(+N980+O980+P980,4)</f>
        <v>0</v>
      </c>
      <c r="R980" s="419">
        <f>ROUND(IF(+Q980-H980&lt;=0,0,Q980-H980),4)</f>
        <v>0</v>
      </c>
      <c r="S980" s="423">
        <v>0.5</v>
      </c>
      <c r="T980" s="419">
        <f>ROUND(+(R980*C980)*S980,4)</f>
        <v>0</v>
      </c>
      <c r="U980" s="419">
        <f>ROUND(+J980+M980+T980,4)</f>
        <v>0</v>
      </c>
      <c r="V980" s="235"/>
    </row>
    <row r="981" spans="1:22" ht="15.75" x14ac:dyDescent="0.25">
      <c r="A981" s="231"/>
      <c r="B981" s="232"/>
      <c r="C981" s="400"/>
      <c r="D981" s="233"/>
      <c r="E981" s="405"/>
      <c r="F981" s="405"/>
      <c r="G981" s="405"/>
      <c r="H981" s="408">
        <f>ROUND(+E981+F981+G981,4)</f>
        <v>0</v>
      </c>
      <c r="I981" s="234"/>
      <c r="J981" s="411"/>
      <c r="K981" s="411"/>
      <c r="L981" s="414">
        <v>0.1</v>
      </c>
      <c r="M981" s="414">
        <f>ROUND(+L981*C981,4)</f>
        <v>0</v>
      </c>
      <c r="N981" s="414"/>
      <c r="O981" s="414"/>
      <c r="P981" s="414"/>
      <c r="Q981" s="419">
        <f>ROUND(+N981+O981+P981,4)</f>
        <v>0</v>
      </c>
      <c r="R981" s="419">
        <f>ROUND(IF(+Q981-H981&lt;=0,0,Q981-H981),4)</f>
        <v>0</v>
      </c>
      <c r="S981" s="423">
        <v>0.5</v>
      </c>
      <c r="T981" s="419">
        <f>ROUND(+(R981*C981)*S981,4)</f>
        <v>0</v>
      </c>
      <c r="U981" s="419">
        <f>ROUND(+J981+M981+T981,4)</f>
        <v>0</v>
      </c>
      <c r="V981" s="235"/>
    </row>
    <row r="982" spans="1:22" ht="15.75" x14ac:dyDescent="0.25">
      <c r="A982" s="231"/>
      <c r="B982" s="232"/>
      <c r="C982" s="400"/>
      <c r="D982" s="233"/>
      <c r="E982" s="405"/>
      <c r="F982" s="405"/>
      <c r="G982" s="405"/>
      <c r="H982" s="408">
        <f>ROUND(+E982+F982+G982,4)</f>
        <v>0</v>
      </c>
      <c r="I982" s="234"/>
      <c r="J982" s="411"/>
      <c r="K982" s="411"/>
      <c r="L982" s="414">
        <v>0.1</v>
      </c>
      <c r="M982" s="414">
        <f>ROUND(+L982*C982,4)</f>
        <v>0</v>
      </c>
      <c r="N982" s="414"/>
      <c r="O982" s="414"/>
      <c r="P982" s="414"/>
      <c r="Q982" s="419">
        <f>ROUND(+N982+O982+P982,4)</f>
        <v>0</v>
      </c>
      <c r="R982" s="419">
        <f>ROUND(IF(+Q982-H982&lt;=0,0,Q982-H982),4)</f>
        <v>0</v>
      </c>
      <c r="S982" s="423">
        <v>0.5</v>
      </c>
      <c r="T982" s="419">
        <f>ROUND(+(R982*C982)*S982,4)</f>
        <v>0</v>
      </c>
      <c r="U982" s="419">
        <f>ROUND(+J982+M982+T982,4)</f>
        <v>0</v>
      </c>
      <c r="V982" s="235"/>
    </row>
    <row r="983" spans="1:22" ht="15.75" x14ac:dyDescent="0.25">
      <c r="A983" s="231"/>
      <c r="B983" s="232"/>
      <c r="C983" s="400"/>
      <c r="D983" s="233"/>
      <c r="E983" s="405"/>
      <c r="F983" s="405"/>
      <c r="G983" s="405"/>
      <c r="H983" s="408">
        <f>ROUND(+E983+F983+G983,4)</f>
        <v>0</v>
      </c>
      <c r="I983" s="234"/>
      <c r="J983" s="411"/>
      <c r="K983" s="411"/>
      <c r="L983" s="414">
        <v>0.1</v>
      </c>
      <c r="M983" s="414">
        <f>ROUND(+L983*C983,4)</f>
        <v>0</v>
      </c>
      <c r="N983" s="414"/>
      <c r="O983" s="414"/>
      <c r="P983" s="414"/>
      <c r="Q983" s="419">
        <f>ROUND(+N983+O983+P983,4)</f>
        <v>0</v>
      </c>
      <c r="R983" s="419">
        <f>ROUND(IF(+Q983-H983&lt;=0,0,Q983-H983),4)</f>
        <v>0</v>
      </c>
      <c r="S983" s="423">
        <v>0.5</v>
      </c>
      <c r="T983" s="419">
        <f>ROUND(+(R983*C983)*S983,4)</f>
        <v>0</v>
      </c>
      <c r="U983" s="419">
        <f>ROUND(+J983+M983+T983,4)</f>
        <v>0</v>
      </c>
      <c r="V983" s="235"/>
    </row>
    <row r="984" spans="1:22" ht="15.75" x14ac:dyDescent="0.25">
      <c r="A984" s="231"/>
      <c r="B984" s="232"/>
      <c r="C984" s="400"/>
      <c r="D984" s="233"/>
      <c r="E984" s="405"/>
      <c r="F984" s="405"/>
      <c r="G984" s="405"/>
      <c r="H984" s="408">
        <f>ROUND(+E984+F984+G984,4)</f>
        <v>0</v>
      </c>
      <c r="I984" s="234"/>
      <c r="J984" s="411"/>
      <c r="K984" s="411"/>
      <c r="L984" s="414">
        <v>0.1</v>
      </c>
      <c r="M984" s="414">
        <f>ROUND(+L984*C984,4)</f>
        <v>0</v>
      </c>
      <c r="N984" s="414"/>
      <c r="O984" s="414"/>
      <c r="P984" s="414"/>
      <c r="Q984" s="419">
        <f>ROUND(+N984+O984+P984,4)</f>
        <v>0</v>
      </c>
      <c r="R984" s="419">
        <f>ROUND(IF(+Q984-H984&lt;=0,0,Q984-H984),4)</f>
        <v>0</v>
      </c>
      <c r="S984" s="423">
        <v>0.5</v>
      </c>
      <c r="T984" s="419">
        <f>ROUND(+(R984*C984)*S984,4)</f>
        <v>0</v>
      </c>
      <c r="U984" s="419">
        <f>ROUND(+J984+M984+T984,4)</f>
        <v>0</v>
      </c>
      <c r="V984" s="235"/>
    </row>
    <row r="985" spans="1:22" ht="15.75" x14ac:dyDescent="0.25">
      <c r="A985" s="231"/>
      <c r="B985" s="232"/>
      <c r="C985" s="400"/>
      <c r="D985" s="233"/>
      <c r="E985" s="405"/>
      <c r="F985" s="405"/>
      <c r="G985" s="405"/>
      <c r="H985" s="408">
        <f>ROUND(+E985+F985+G985,4)</f>
        <v>0</v>
      </c>
      <c r="I985" s="234"/>
      <c r="J985" s="411"/>
      <c r="K985" s="411"/>
      <c r="L985" s="414">
        <v>0.1</v>
      </c>
      <c r="M985" s="414">
        <f>ROUND(+L985*C985,4)</f>
        <v>0</v>
      </c>
      <c r="N985" s="414"/>
      <c r="O985" s="414"/>
      <c r="P985" s="414"/>
      <c r="Q985" s="419">
        <f>ROUND(+N985+O985+P985,4)</f>
        <v>0</v>
      </c>
      <c r="R985" s="419">
        <f>ROUND(IF(+Q985-H985&lt;=0,0,Q985-H985),4)</f>
        <v>0</v>
      </c>
      <c r="S985" s="423">
        <v>0.5</v>
      </c>
      <c r="T985" s="419">
        <f>ROUND(+(R985*C985)*S985,4)</f>
        <v>0</v>
      </c>
      <c r="U985" s="419">
        <f>ROUND(+J985+M985+T985,4)</f>
        <v>0</v>
      </c>
      <c r="V985" s="235"/>
    </row>
    <row r="986" spans="1:22" ht="15.75" x14ac:dyDescent="0.25">
      <c r="A986" s="231"/>
      <c r="B986" s="232"/>
      <c r="C986" s="400"/>
      <c r="D986" s="233"/>
      <c r="E986" s="405"/>
      <c r="F986" s="405"/>
      <c r="G986" s="405"/>
      <c r="H986" s="408">
        <f>ROUND(+E986+F986+G986,4)</f>
        <v>0</v>
      </c>
      <c r="I986" s="234"/>
      <c r="J986" s="411"/>
      <c r="K986" s="411"/>
      <c r="L986" s="414">
        <v>0.1</v>
      </c>
      <c r="M986" s="414">
        <f>ROUND(+L986*C986,4)</f>
        <v>0</v>
      </c>
      <c r="N986" s="414"/>
      <c r="O986" s="414"/>
      <c r="P986" s="414"/>
      <c r="Q986" s="419">
        <f>ROUND(+N986+O986+P986,4)</f>
        <v>0</v>
      </c>
      <c r="R986" s="419">
        <f>ROUND(IF(+Q986-H986&lt;=0,0,Q986-H986),4)</f>
        <v>0</v>
      </c>
      <c r="S986" s="423">
        <v>0.5</v>
      </c>
      <c r="T986" s="419">
        <f>ROUND(+(R986*C986)*S986,4)</f>
        <v>0</v>
      </c>
      <c r="U986" s="419">
        <f>ROUND(+J986+M986+T986,4)</f>
        <v>0</v>
      </c>
      <c r="V986" s="235"/>
    </row>
    <row r="987" spans="1:22" ht="15.75" x14ac:dyDescent="0.25">
      <c r="A987" s="231"/>
      <c r="B987" s="232"/>
      <c r="C987" s="400"/>
      <c r="D987" s="233"/>
      <c r="E987" s="405"/>
      <c r="F987" s="405"/>
      <c r="G987" s="405"/>
      <c r="H987" s="408">
        <f>ROUND(+E987+F987+G987,4)</f>
        <v>0</v>
      </c>
      <c r="I987" s="234"/>
      <c r="J987" s="411"/>
      <c r="K987" s="411"/>
      <c r="L987" s="414">
        <v>0.1</v>
      </c>
      <c r="M987" s="414">
        <f>ROUND(+L987*C987,4)</f>
        <v>0</v>
      </c>
      <c r="N987" s="414"/>
      <c r="O987" s="414"/>
      <c r="P987" s="414"/>
      <c r="Q987" s="419">
        <f>ROUND(+N987+O987+P987,4)</f>
        <v>0</v>
      </c>
      <c r="R987" s="419">
        <f>ROUND(IF(+Q987-H987&lt;=0,0,Q987-H987),4)</f>
        <v>0</v>
      </c>
      <c r="S987" s="423">
        <v>0.5</v>
      </c>
      <c r="T987" s="419">
        <f>ROUND(+(R987*C987)*S987,4)</f>
        <v>0</v>
      </c>
      <c r="U987" s="419">
        <f>ROUND(+J987+M987+T987,4)</f>
        <v>0</v>
      </c>
      <c r="V987" s="235"/>
    </row>
    <row r="988" spans="1:22" ht="15.75" x14ac:dyDescent="0.25">
      <c r="A988" s="231"/>
      <c r="B988" s="232"/>
      <c r="C988" s="400"/>
      <c r="D988" s="233"/>
      <c r="E988" s="405"/>
      <c r="F988" s="405"/>
      <c r="G988" s="405"/>
      <c r="H988" s="408">
        <f>ROUND(+E988+F988+G988,4)</f>
        <v>0</v>
      </c>
      <c r="I988" s="234"/>
      <c r="J988" s="411"/>
      <c r="K988" s="411"/>
      <c r="L988" s="414">
        <v>0.1</v>
      </c>
      <c r="M988" s="414">
        <f>ROUND(+L988*C988,4)</f>
        <v>0</v>
      </c>
      <c r="N988" s="414"/>
      <c r="O988" s="414"/>
      <c r="P988" s="414"/>
      <c r="Q988" s="419">
        <f>ROUND(+N988+O988+P988,4)</f>
        <v>0</v>
      </c>
      <c r="R988" s="419">
        <f>ROUND(IF(+Q988-H988&lt;=0,0,Q988-H988),4)</f>
        <v>0</v>
      </c>
      <c r="S988" s="423">
        <v>0.5</v>
      </c>
      <c r="T988" s="419">
        <f>ROUND(+(R988*C988)*S988,4)</f>
        <v>0</v>
      </c>
      <c r="U988" s="419">
        <f>ROUND(+J988+M988+T988,4)</f>
        <v>0</v>
      </c>
      <c r="V988" s="235"/>
    </row>
    <row r="989" spans="1:22" ht="15.75" x14ac:dyDescent="0.25">
      <c r="A989" s="231"/>
      <c r="B989" s="232"/>
      <c r="C989" s="400"/>
      <c r="D989" s="233"/>
      <c r="E989" s="405"/>
      <c r="F989" s="405"/>
      <c r="G989" s="405"/>
      <c r="H989" s="408">
        <f>ROUND(+E989+F989+G989,4)</f>
        <v>0</v>
      </c>
      <c r="I989" s="234"/>
      <c r="J989" s="411"/>
      <c r="K989" s="411"/>
      <c r="L989" s="414">
        <v>0.1</v>
      </c>
      <c r="M989" s="414">
        <f>ROUND(+L989*C989,4)</f>
        <v>0</v>
      </c>
      <c r="N989" s="414"/>
      <c r="O989" s="414"/>
      <c r="P989" s="414"/>
      <c r="Q989" s="419">
        <f>ROUND(+N989+O989+P989,4)</f>
        <v>0</v>
      </c>
      <c r="R989" s="419">
        <f>ROUND(IF(+Q989-H989&lt;=0,0,Q989-H989),4)</f>
        <v>0</v>
      </c>
      <c r="S989" s="423">
        <v>0.5</v>
      </c>
      <c r="T989" s="419">
        <f>ROUND(+(R989*C989)*S989,4)</f>
        <v>0</v>
      </c>
      <c r="U989" s="419">
        <f>ROUND(+J989+M989+T989,4)</f>
        <v>0</v>
      </c>
      <c r="V989" s="235"/>
    </row>
    <row r="990" spans="1:22" ht="15.75" x14ac:dyDescent="0.25">
      <c r="A990" s="231"/>
      <c r="B990" s="232"/>
      <c r="C990" s="400"/>
      <c r="D990" s="233"/>
      <c r="E990" s="405"/>
      <c r="F990" s="405"/>
      <c r="G990" s="405"/>
      <c r="H990" s="408">
        <f>ROUND(+E990+F990+G990,4)</f>
        <v>0</v>
      </c>
      <c r="I990" s="234"/>
      <c r="J990" s="411"/>
      <c r="K990" s="411"/>
      <c r="L990" s="414">
        <v>0.1</v>
      </c>
      <c r="M990" s="414">
        <f>ROUND(+L990*C990,4)</f>
        <v>0</v>
      </c>
      <c r="N990" s="414"/>
      <c r="O990" s="414"/>
      <c r="P990" s="414"/>
      <c r="Q990" s="419">
        <f>ROUND(+N990+O990+P990,4)</f>
        <v>0</v>
      </c>
      <c r="R990" s="419">
        <f>ROUND(IF(+Q990-H990&lt;=0,0,Q990-H990),4)</f>
        <v>0</v>
      </c>
      <c r="S990" s="423">
        <v>0.5</v>
      </c>
      <c r="T990" s="419">
        <f>ROUND(+(R990*C990)*S990,4)</f>
        <v>0</v>
      </c>
      <c r="U990" s="419">
        <f>ROUND(+J990+M990+T990,4)</f>
        <v>0</v>
      </c>
      <c r="V990" s="235"/>
    </row>
    <row r="991" spans="1:22" ht="15.75" x14ac:dyDescent="0.25">
      <c r="A991" s="231"/>
      <c r="B991" s="232"/>
      <c r="C991" s="400"/>
      <c r="D991" s="233"/>
      <c r="E991" s="405"/>
      <c r="F991" s="405"/>
      <c r="G991" s="405"/>
      <c r="H991" s="408">
        <f>ROUND(+E991+F991+G991,4)</f>
        <v>0</v>
      </c>
      <c r="I991" s="234"/>
      <c r="J991" s="411"/>
      <c r="K991" s="411"/>
      <c r="L991" s="414">
        <v>0.1</v>
      </c>
      <c r="M991" s="414">
        <f>ROUND(+L991*C991,4)</f>
        <v>0</v>
      </c>
      <c r="N991" s="414"/>
      <c r="O991" s="414"/>
      <c r="P991" s="414"/>
      <c r="Q991" s="419">
        <f>ROUND(+N991+O991+P991,4)</f>
        <v>0</v>
      </c>
      <c r="R991" s="419">
        <f>ROUND(IF(+Q991-H991&lt;=0,0,Q991-H991),4)</f>
        <v>0</v>
      </c>
      <c r="S991" s="423">
        <v>0.5</v>
      </c>
      <c r="T991" s="419">
        <f>ROUND(+(R991*C991)*S991,4)</f>
        <v>0</v>
      </c>
      <c r="U991" s="419">
        <f>ROUND(+J991+M991+T991,4)</f>
        <v>0</v>
      </c>
      <c r="V991" s="235"/>
    </row>
    <row r="992" spans="1:22" ht="15.75" x14ac:dyDescent="0.25">
      <c r="A992" s="231"/>
      <c r="B992" s="232"/>
      <c r="C992" s="400"/>
      <c r="D992" s="233"/>
      <c r="E992" s="405"/>
      <c r="F992" s="405"/>
      <c r="G992" s="405"/>
      <c r="H992" s="408">
        <f>ROUND(+E992+F992+G992,4)</f>
        <v>0</v>
      </c>
      <c r="I992" s="234"/>
      <c r="J992" s="411"/>
      <c r="K992" s="411"/>
      <c r="L992" s="414">
        <v>0.1</v>
      </c>
      <c r="M992" s="414">
        <f>ROUND(+L992*C992,4)</f>
        <v>0</v>
      </c>
      <c r="N992" s="414"/>
      <c r="O992" s="414"/>
      <c r="P992" s="414"/>
      <c r="Q992" s="419">
        <f>ROUND(+N992+O992+P992,4)</f>
        <v>0</v>
      </c>
      <c r="R992" s="419">
        <f>ROUND(IF(+Q992-H992&lt;=0,0,Q992-H992),4)</f>
        <v>0</v>
      </c>
      <c r="S992" s="423">
        <v>0.5</v>
      </c>
      <c r="T992" s="419">
        <f>ROUND(+(R992*C992)*S992,4)</f>
        <v>0</v>
      </c>
      <c r="U992" s="419">
        <f>ROUND(+J992+M992+T992,4)</f>
        <v>0</v>
      </c>
      <c r="V992" s="235"/>
    </row>
    <row r="993" spans="1:22" ht="15.75" x14ac:dyDescent="0.25">
      <c r="A993" s="231"/>
      <c r="B993" s="232"/>
      <c r="C993" s="400"/>
      <c r="D993" s="233"/>
      <c r="E993" s="405"/>
      <c r="F993" s="405"/>
      <c r="G993" s="405"/>
      <c r="H993" s="408">
        <f>ROUND(+E993+F993+G993,4)</f>
        <v>0</v>
      </c>
      <c r="I993" s="234"/>
      <c r="J993" s="411"/>
      <c r="K993" s="411"/>
      <c r="L993" s="414">
        <v>0.1</v>
      </c>
      <c r="M993" s="414">
        <f>ROUND(+L993*C993,4)</f>
        <v>0</v>
      </c>
      <c r="N993" s="414"/>
      <c r="O993" s="414"/>
      <c r="P993" s="414"/>
      <c r="Q993" s="419">
        <f>ROUND(+N993+O993+P993,4)</f>
        <v>0</v>
      </c>
      <c r="R993" s="419">
        <f>ROUND(IF(+Q993-H993&lt;=0,0,Q993-H993),4)</f>
        <v>0</v>
      </c>
      <c r="S993" s="423">
        <v>0.5</v>
      </c>
      <c r="T993" s="419">
        <f>ROUND(+(R993*C993)*S993,4)</f>
        <v>0</v>
      </c>
      <c r="U993" s="419">
        <f>ROUND(+J993+M993+T993,4)</f>
        <v>0</v>
      </c>
      <c r="V993" s="235"/>
    </row>
    <row r="994" spans="1:22" ht="15.75" x14ac:dyDescent="0.25">
      <c r="A994" s="231"/>
      <c r="B994" s="232"/>
      <c r="C994" s="400"/>
      <c r="D994" s="233"/>
      <c r="E994" s="405"/>
      <c r="F994" s="405"/>
      <c r="G994" s="405"/>
      <c r="H994" s="408">
        <f>ROUND(+E994+F994+G994,4)</f>
        <v>0</v>
      </c>
      <c r="I994" s="234"/>
      <c r="J994" s="411"/>
      <c r="K994" s="411"/>
      <c r="L994" s="414">
        <v>0.1</v>
      </c>
      <c r="M994" s="414">
        <f>ROUND(+L994*C994,4)</f>
        <v>0</v>
      </c>
      <c r="N994" s="414"/>
      <c r="O994" s="414"/>
      <c r="P994" s="414"/>
      <c r="Q994" s="419">
        <f>ROUND(+N994+O994+P994,4)</f>
        <v>0</v>
      </c>
      <c r="R994" s="419">
        <f>ROUND(IF(+Q994-H994&lt;=0,0,Q994-H994),4)</f>
        <v>0</v>
      </c>
      <c r="S994" s="423">
        <v>0.5</v>
      </c>
      <c r="T994" s="419">
        <f>ROUND(+(R994*C994)*S994,4)</f>
        <v>0</v>
      </c>
      <c r="U994" s="419">
        <f>ROUND(+J994+M994+T994,4)</f>
        <v>0</v>
      </c>
      <c r="V994" s="235"/>
    </row>
    <row r="995" spans="1:22" ht="15.75" x14ac:dyDescent="0.25">
      <c r="A995" s="231"/>
      <c r="B995" s="232"/>
      <c r="C995" s="400"/>
      <c r="D995" s="233"/>
      <c r="E995" s="405"/>
      <c r="F995" s="405"/>
      <c r="G995" s="405"/>
      <c r="H995" s="408">
        <f>ROUND(+E995+F995+G995,4)</f>
        <v>0</v>
      </c>
      <c r="I995" s="234"/>
      <c r="J995" s="411"/>
      <c r="K995" s="411"/>
      <c r="L995" s="414">
        <v>0.1</v>
      </c>
      <c r="M995" s="414">
        <f>ROUND(+L995*C995,4)</f>
        <v>0</v>
      </c>
      <c r="N995" s="414"/>
      <c r="O995" s="414"/>
      <c r="P995" s="414"/>
      <c r="Q995" s="419">
        <f>ROUND(+N995+O995+P995,4)</f>
        <v>0</v>
      </c>
      <c r="R995" s="419">
        <f>ROUND(IF(+Q995-H995&lt;=0,0,Q995-H995),4)</f>
        <v>0</v>
      </c>
      <c r="S995" s="423">
        <v>0.5</v>
      </c>
      <c r="T995" s="419">
        <f>ROUND(+(R995*C995)*S995,4)</f>
        <v>0</v>
      </c>
      <c r="U995" s="419">
        <f>ROUND(+J995+M995+T995,4)</f>
        <v>0</v>
      </c>
      <c r="V995" s="235"/>
    </row>
    <row r="996" spans="1:22" ht="15.75" x14ac:dyDescent="0.25">
      <c r="A996" s="231"/>
      <c r="B996" s="232"/>
      <c r="C996" s="400"/>
      <c r="D996" s="233"/>
      <c r="E996" s="405"/>
      <c r="F996" s="405"/>
      <c r="G996" s="405"/>
      <c r="H996" s="408">
        <f>ROUND(+E996+F996+G996,4)</f>
        <v>0</v>
      </c>
      <c r="I996" s="234"/>
      <c r="J996" s="411"/>
      <c r="K996" s="411"/>
      <c r="L996" s="414">
        <v>0.1</v>
      </c>
      <c r="M996" s="414">
        <f>ROUND(+L996*C996,4)</f>
        <v>0</v>
      </c>
      <c r="N996" s="414"/>
      <c r="O996" s="414"/>
      <c r="P996" s="414"/>
      <c r="Q996" s="419">
        <f>ROUND(+N996+O996+P996,4)</f>
        <v>0</v>
      </c>
      <c r="R996" s="419">
        <f>ROUND(IF(+Q996-H996&lt;=0,0,Q996-H996),4)</f>
        <v>0</v>
      </c>
      <c r="S996" s="423">
        <v>0.5</v>
      </c>
      <c r="T996" s="419">
        <f>ROUND(+(R996*C996)*S996,4)</f>
        <v>0</v>
      </c>
      <c r="U996" s="419">
        <f>ROUND(+J996+M996+T996,4)</f>
        <v>0</v>
      </c>
      <c r="V996" s="235"/>
    </row>
    <row r="997" spans="1:22" ht="15.75" x14ac:dyDescent="0.25">
      <c r="A997" s="231"/>
      <c r="B997" s="232"/>
      <c r="C997" s="400"/>
      <c r="D997" s="233"/>
      <c r="E997" s="405"/>
      <c r="F997" s="405"/>
      <c r="G997" s="405"/>
      <c r="H997" s="408">
        <f>ROUND(+E997+F997+G997,4)</f>
        <v>0</v>
      </c>
      <c r="I997" s="234"/>
      <c r="J997" s="411"/>
      <c r="K997" s="411"/>
      <c r="L997" s="414">
        <v>0.1</v>
      </c>
      <c r="M997" s="414">
        <f>ROUND(+L997*C997,4)</f>
        <v>0</v>
      </c>
      <c r="N997" s="414"/>
      <c r="O997" s="414"/>
      <c r="P997" s="414"/>
      <c r="Q997" s="419">
        <f>ROUND(+N997+O997+P997,4)</f>
        <v>0</v>
      </c>
      <c r="R997" s="419">
        <f>ROUND(IF(+Q997-H997&lt;=0,0,Q997-H997),4)</f>
        <v>0</v>
      </c>
      <c r="S997" s="423">
        <v>0.5</v>
      </c>
      <c r="T997" s="419">
        <f>ROUND(+(R997*C997)*S997,4)</f>
        <v>0</v>
      </c>
      <c r="U997" s="419">
        <f>ROUND(+J997+M997+T997,4)</f>
        <v>0</v>
      </c>
      <c r="V997" s="235"/>
    </row>
    <row r="998" spans="1:22" ht="15.75" x14ac:dyDescent="0.25">
      <c r="A998" s="231"/>
      <c r="B998" s="232"/>
      <c r="C998" s="400"/>
      <c r="D998" s="233"/>
      <c r="E998" s="405"/>
      <c r="F998" s="405"/>
      <c r="G998" s="405"/>
      <c r="H998" s="408">
        <f>ROUND(+E998+F998+G998,4)</f>
        <v>0</v>
      </c>
      <c r="I998" s="234"/>
      <c r="J998" s="411"/>
      <c r="K998" s="411"/>
      <c r="L998" s="414">
        <v>0.1</v>
      </c>
      <c r="M998" s="414">
        <f>ROUND(+L998*C998,4)</f>
        <v>0</v>
      </c>
      <c r="N998" s="414"/>
      <c r="O998" s="414"/>
      <c r="P998" s="414"/>
      <c r="Q998" s="419">
        <f>ROUND(+N998+O998+P998,4)</f>
        <v>0</v>
      </c>
      <c r="R998" s="419">
        <f>ROUND(IF(+Q998-H998&lt;=0,0,Q998-H998),4)</f>
        <v>0</v>
      </c>
      <c r="S998" s="423">
        <v>0.5</v>
      </c>
      <c r="T998" s="419">
        <f>ROUND(+(R998*C998)*S998,4)</f>
        <v>0</v>
      </c>
      <c r="U998" s="419">
        <f>ROUND(+J998+M998+T998,4)</f>
        <v>0</v>
      </c>
      <c r="V998" s="235"/>
    </row>
    <row r="999" spans="1:22" ht="15.75" x14ac:dyDescent="0.25">
      <c r="A999" s="231"/>
      <c r="B999" s="232"/>
      <c r="C999" s="400"/>
      <c r="D999" s="233"/>
      <c r="E999" s="405"/>
      <c r="F999" s="405"/>
      <c r="G999" s="405"/>
      <c r="H999" s="408">
        <f>ROUND(+E999+F999+G999,4)</f>
        <v>0</v>
      </c>
      <c r="I999" s="234"/>
      <c r="J999" s="411"/>
      <c r="K999" s="411"/>
      <c r="L999" s="414">
        <v>0.1</v>
      </c>
      <c r="M999" s="414">
        <f>ROUND(+L999*C999,4)</f>
        <v>0</v>
      </c>
      <c r="N999" s="414"/>
      <c r="O999" s="414"/>
      <c r="P999" s="414"/>
      <c r="Q999" s="419">
        <f>ROUND(+N999+O999+P999,4)</f>
        <v>0</v>
      </c>
      <c r="R999" s="419">
        <f>ROUND(IF(+Q999-H999&lt;=0,0,Q999-H999),4)</f>
        <v>0</v>
      </c>
      <c r="S999" s="423">
        <v>0.5</v>
      </c>
      <c r="T999" s="419">
        <f>ROUND(+(R999*C999)*S999,4)</f>
        <v>0</v>
      </c>
      <c r="U999" s="419">
        <f>ROUND(+J999+M999+T999,4)</f>
        <v>0</v>
      </c>
      <c r="V999" s="235"/>
    </row>
    <row r="1000" spans="1:22" ht="15.75" x14ac:dyDescent="0.25">
      <c r="A1000" s="231"/>
      <c r="B1000" s="232"/>
      <c r="C1000" s="400"/>
      <c r="D1000" s="233"/>
      <c r="E1000" s="405"/>
      <c r="F1000" s="405"/>
      <c r="G1000" s="405"/>
      <c r="H1000" s="408">
        <f>ROUND(+E1000+F1000+G1000,4)</f>
        <v>0</v>
      </c>
      <c r="I1000" s="234"/>
      <c r="J1000" s="411"/>
      <c r="K1000" s="411"/>
      <c r="L1000" s="414">
        <v>0.1</v>
      </c>
      <c r="M1000" s="414">
        <f>ROUND(+L1000*C1000,4)</f>
        <v>0</v>
      </c>
      <c r="N1000" s="414"/>
      <c r="O1000" s="414"/>
      <c r="P1000" s="414"/>
      <c r="Q1000" s="419">
        <f>ROUND(+N1000+O1000+P1000,4)</f>
        <v>0</v>
      </c>
      <c r="R1000" s="419">
        <f>ROUND(IF(+Q1000-H1000&lt;=0,0,Q1000-H1000),4)</f>
        <v>0</v>
      </c>
      <c r="S1000" s="423">
        <v>0.5</v>
      </c>
      <c r="T1000" s="419">
        <f>ROUND(+(R1000*C1000)*S1000,4)</f>
        <v>0</v>
      </c>
      <c r="U1000" s="419">
        <f>ROUND(+J1000+M1000+T1000,4)</f>
        <v>0</v>
      </c>
      <c r="V1000" s="235"/>
    </row>
    <row r="1001" spans="1:22" ht="15.75" x14ac:dyDescent="0.25">
      <c r="A1001" s="231"/>
      <c r="B1001" s="232"/>
      <c r="C1001" s="400"/>
      <c r="D1001" s="233"/>
      <c r="E1001" s="405"/>
      <c r="F1001" s="405"/>
      <c r="G1001" s="405"/>
      <c r="H1001" s="408">
        <f>ROUND(+E1001+F1001+G1001,4)</f>
        <v>0</v>
      </c>
      <c r="I1001" s="234"/>
      <c r="J1001" s="411"/>
      <c r="K1001" s="411"/>
      <c r="L1001" s="414">
        <v>0.1</v>
      </c>
      <c r="M1001" s="414">
        <f>ROUND(+L1001*C1001,4)</f>
        <v>0</v>
      </c>
      <c r="N1001" s="414"/>
      <c r="O1001" s="414"/>
      <c r="P1001" s="414"/>
      <c r="Q1001" s="419">
        <f>ROUND(+N1001+O1001+P1001,4)</f>
        <v>0</v>
      </c>
      <c r="R1001" s="419">
        <f>ROUND(IF(+Q1001-H1001&lt;=0,0,Q1001-H1001),4)</f>
        <v>0</v>
      </c>
      <c r="S1001" s="423">
        <v>0.5</v>
      </c>
      <c r="T1001" s="419">
        <f>ROUND(+(R1001*C1001)*S1001,4)</f>
        <v>0</v>
      </c>
      <c r="U1001" s="419">
        <f>ROUND(+J1001+M1001+T1001,4)</f>
        <v>0</v>
      </c>
      <c r="V1001" s="235"/>
    </row>
    <row r="1002" spans="1:22" ht="15.75" x14ac:dyDescent="0.25">
      <c r="A1002" s="231"/>
      <c r="B1002" s="232"/>
      <c r="C1002" s="400"/>
      <c r="D1002" s="233"/>
      <c r="E1002" s="405"/>
      <c r="F1002" s="405"/>
      <c r="G1002" s="405"/>
      <c r="H1002" s="408">
        <f>ROUND(+E1002+F1002+G1002,4)</f>
        <v>0</v>
      </c>
      <c r="I1002" s="234"/>
      <c r="J1002" s="411"/>
      <c r="K1002" s="411"/>
      <c r="L1002" s="414">
        <v>0.1</v>
      </c>
      <c r="M1002" s="414">
        <f>ROUND(+L1002*C1002,4)</f>
        <v>0</v>
      </c>
      <c r="N1002" s="414"/>
      <c r="O1002" s="414"/>
      <c r="P1002" s="414"/>
      <c r="Q1002" s="419">
        <f>ROUND(+N1002+O1002+P1002,4)</f>
        <v>0</v>
      </c>
      <c r="R1002" s="419">
        <f>ROUND(IF(+Q1002-H1002&lt;=0,0,Q1002-H1002),4)</f>
        <v>0</v>
      </c>
      <c r="S1002" s="423">
        <v>0.5</v>
      </c>
      <c r="T1002" s="419">
        <f>ROUND(+(R1002*C1002)*S1002,4)</f>
        <v>0</v>
      </c>
      <c r="U1002" s="419">
        <f>ROUND(+J1002+M1002+T1002,4)</f>
        <v>0</v>
      </c>
      <c r="V1002" s="235"/>
    </row>
    <row r="1003" spans="1:22" ht="15.75" x14ac:dyDescent="0.25">
      <c r="A1003" s="231"/>
      <c r="B1003" s="232"/>
      <c r="C1003" s="400"/>
      <c r="D1003" s="233"/>
      <c r="E1003" s="405"/>
      <c r="F1003" s="405"/>
      <c r="G1003" s="405"/>
      <c r="H1003" s="408">
        <f>ROUND(+E1003+F1003+G1003,4)</f>
        <v>0</v>
      </c>
      <c r="I1003" s="234"/>
      <c r="J1003" s="411"/>
      <c r="K1003" s="411"/>
      <c r="L1003" s="414">
        <v>0.1</v>
      </c>
      <c r="M1003" s="414">
        <f>ROUND(+L1003*C1003,4)</f>
        <v>0</v>
      </c>
      <c r="N1003" s="414"/>
      <c r="O1003" s="414"/>
      <c r="P1003" s="414"/>
      <c r="Q1003" s="419">
        <f>ROUND(+N1003+O1003+P1003,4)</f>
        <v>0</v>
      </c>
      <c r="R1003" s="419">
        <f>ROUND(IF(+Q1003-H1003&lt;=0,0,Q1003-H1003),4)</f>
        <v>0</v>
      </c>
      <c r="S1003" s="423">
        <v>0.5</v>
      </c>
      <c r="T1003" s="419">
        <f>ROUND(+(R1003*C1003)*S1003,4)</f>
        <v>0</v>
      </c>
      <c r="U1003" s="419">
        <f>ROUND(+J1003+M1003+T1003,4)</f>
        <v>0</v>
      </c>
      <c r="V1003" s="235"/>
    </row>
    <row r="1004" spans="1:22" ht="15.75" x14ac:dyDescent="0.25">
      <c r="A1004" s="231"/>
      <c r="B1004" s="232"/>
      <c r="C1004" s="400"/>
      <c r="D1004" s="233"/>
      <c r="E1004" s="405"/>
      <c r="F1004" s="405"/>
      <c r="G1004" s="405"/>
      <c r="H1004" s="408">
        <f>ROUND(+E1004+F1004+G1004,4)</f>
        <v>0</v>
      </c>
      <c r="I1004" s="234"/>
      <c r="J1004" s="411"/>
      <c r="K1004" s="411"/>
      <c r="L1004" s="414">
        <v>0.1</v>
      </c>
      <c r="M1004" s="414">
        <f>ROUND(+L1004*C1004,4)</f>
        <v>0</v>
      </c>
      <c r="N1004" s="414"/>
      <c r="O1004" s="414"/>
      <c r="P1004" s="414"/>
      <c r="Q1004" s="419">
        <f>ROUND(+N1004+O1004+P1004,4)</f>
        <v>0</v>
      </c>
      <c r="R1004" s="419">
        <f>ROUND(IF(+Q1004-H1004&lt;=0,0,Q1004-H1004),4)</f>
        <v>0</v>
      </c>
      <c r="S1004" s="423">
        <v>0.5</v>
      </c>
      <c r="T1004" s="419">
        <f>ROUND(+(R1004*C1004)*S1004,4)</f>
        <v>0</v>
      </c>
      <c r="U1004" s="419">
        <f>ROUND(+J1004+M1004+T1004,4)</f>
        <v>0</v>
      </c>
      <c r="V1004" s="235"/>
    </row>
    <row r="1005" spans="1:22" ht="15.75" x14ac:dyDescent="0.25">
      <c r="A1005" s="231"/>
      <c r="B1005" s="232"/>
      <c r="C1005" s="400"/>
      <c r="D1005" s="233"/>
      <c r="E1005" s="405"/>
      <c r="F1005" s="405"/>
      <c r="G1005" s="405"/>
      <c r="H1005" s="408">
        <f>ROUND(+E1005+F1005+G1005,4)</f>
        <v>0</v>
      </c>
      <c r="I1005" s="234"/>
      <c r="J1005" s="411"/>
      <c r="K1005" s="411"/>
      <c r="L1005" s="414">
        <v>0.1</v>
      </c>
      <c r="M1005" s="414">
        <f>ROUND(+L1005*C1005,4)</f>
        <v>0</v>
      </c>
      <c r="N1005" s="414"/>
      <c r="O1005" s="414"/>
      <c r="P1005" s="414"/>
      <c r="Q1005" s="419">
        <f>ROUND(+N1005+O1005+P1005,4)</f>
        <v>0</v>
      </c>
      <c r="R1005" s="419">
        <f>ROUND(IF(+Q1005-H1005&lt;=0,0,Q1005-H1005),4)</f>
        <v>0</v>
      </c>
      <c r="S1005" s="423">
        <v>0.5</v>
      </c>
      <c r="T1005" s="419">
        <f>ROUND(+(R1005*C1005)*S1005,4)</f>
        <v>0</v>
      </c>
      <c r="U1005" s="419">
        <f>ROUND(+J1005+M1005+T1005,4)</f>
        <v>0</v>
      </c>
      <c r="V1005" s="235"/>
    </row>
    <row r="1006" spans="1:22" ht="15.75" x14ac:dyDescent="0.25">
      <c r="A1006" s="231"/>
      <c r="B1006" s="232"/>
      <c r="C1006" s="400"/>
      <c r="D1006" s="233"/>
      <c r="E1006" s="405"/>
      <c r="F1006" s="405"/>
      <c r="G1006" s="405"/>
      <c r="H1006" s="408">
        <f>ROUND(+E1006+F1006+G1006,4)</f>
        <v>0</v>
      </c>
      <c r="I1006" s="234"/>
      <c r="J1006" s="411"/>
      <c r="K1006" s="411"/>
      <c r="L1006" s="414">
        <v>0.1</v>
      </c>
      <c r="M1006" s="414">
        <f>ROUND(+L1006*C1006,4)</f>
        <v>0</v>
      </c>
      <c r="N1006" s="414"/>
      <c r="O1006" s="414"/>
      <c r="P1006" s="414"/>
      <c r="Q1006" s="419">
        <f>ROUND(+N1006+O1006+P1006,4)</f>
        <v>0</v>
      </c>
      <c r="R1006" s="419">
        <f>ROUND(IF(+Q1006-H1006&lt;=0,0,Q1006-H1006),4)</f>
        <v>0</v>
      </c>
      <c r="S1006" s="423">
        <v>0.5</v>
      </c>
      <c r="T1006" s="419">
        <f>ROUND(+(R1006*C1006)*S1006,4)</f>
        <v>0</v>
      </c>
      <c r="U1006" s="419">
        <f>ROUND(+J1006+M1006+T1006,4)</f>
        <v>0</v>
      </c>
      <c r="V1006" s="235"/>
    </row>
    <row r="1007" spans="1:22" ht="15.75" x14ac:dyDescent="0.25">
      <c r="A1007" s="231"/>
      <c r="B1007" s="232"/>
      <c r="C1007" s="400"/>
      <c r="D1007" s="233"/>
      <c r="E1007" s="405"/>
      <c r="F1007" s="405"/>
      <c r="G1007" s="405"/>
      <c r="H1007" s="408">
        <f>ROUND(+E1007+F1007+G1007,4)</f>
        <v>0</v>
      </c>
      <c r="I1007" s="234"/>
      <c r="J1007" s="411"/>
      <c r="K1007" s="411"/>
      <c r="L1007" s="414">
        <v>0.1</v>
      </c>
      <c r="M1007" s="414">
        <f>ROUND(+L1007*C1007,4)</f>
        <v>0</v>
      </c>
      <c r="N1007" s="414"/>
      <c r="O1007" s="414"/>
      <c r="P1007" s="414"/>
      <c r="Q1007" s="419">
        <f>ROUND(+N1007+O1007+P1007,4)</f>
        <v>0</v>
      </c>
      <c r="R1007" s="419">
        <f>ROUND(IF(+Q1007-H1007&lt;=0,0,Q1007-H1007),4)</f>
        <v>0</v>
      </c>
      <c r="S1007" s="423">
        <v>0.5</v>
      </c>
      <c r="T1007" s="419">
        <f>ROUND(+(R1007*C1007)*S1007,4)</f>
        <v>0</v>
      </c>
      <c r="U1007" s="419">
        <f>ROUND(+J1007+M1007+T1007,4)</f>
        <v>0</v>
      </c>
      <c r="V1007" s="235"/>
    </row>
    <row r="1008" spans="1:22" ht="15.75" x14ac:dyDescent="0.25">
      <c r="A1008" s="231"/>
      <c r="B1008" s="232"/>
      <c r="C1008" s="400"/>
      <c r="D1008" s="233"/>
      <c r="E1008" s="405"/>
      <c r="F1008" s="405"/>
      <c r="G1008" s="405"/>
      <c r="H1008" s="408">
        <f>ROUND(+E1008+F1008+G1008,4)</f>
        <v>0</v>
      </c>
      <c r="I1008" s="234"/>
      <c r="J1008" s="411"/>
      <c r="K1008" s="411"/>
      <c r="L1008" s="414">
        <v>0.1</v>
      </c>
      <c r="M1008" s="414">
        <f>ROUND(+L1008*C1008,4)</f>
        <v>0</v>
      </c>
      <c r="N1008" s="414"/>
      <c r="O1008" s="414"/>
      <c r="P1008" s="414"/>
      <c r="Q1008" s="419">
        <f>ROUND(+N1008+O1008+P1008,4)</f>
        <v>0</v>
      </c>
      <c r="R1008" s="419">
        <f>ROUND(IF(+Q1008-H1008&lt;=0,0,Q1008-H1008),4)</f>
        <v>0</v>
      </c>
      <c r="S1008" s="423">
        <v>0.5</v>
      </c>
      <c r="T1008" s="419">
        <f>ROUND(+(R1008*C1008)*S1008,4)</f>
        <v>0</v>
      </c>
      <c r="U1008" s="419">
        <f>ROUND(+J1008+M1008+T1008,4)</f>
        <v>0</v>
      </c>
      <c r="V1008" s="235"/>
    </row>
    <row r="1009" spans="1:22" ht="15.75" x14ac:dyDescent="0.25">
      <c r="A1009" s="231"/>
      <c r="B1009" s="232"/>
      <c r="C1009" s="400"/>
      <c r="D1009" s="233"/>
      <c r="E1009" s="405"/>
      <c r="F1009" s="405"/>
      <c r="G1009" s="405"/>
      <c r="H1009" s="408">
        <f>ROUND(+E1009+F1009+G1009,4)</f>
        <v>0</v>
      </c>
      <c r="I1009" s="234"/>
      <c r="J1009" s="411"/>
      <c r="K1009" s="411"/>
      <c r="L1009" s="414">
        <v>0.1</v>
      </c>
      <c r="M1009" s="414">
        <f>ROUND(+L1009*C1009,4)</f>
        <v>0</v>
      </c>
      <c r="N1009" s="414"/>
      <c r="O1009" s="414"/>
      <c r="P1009" s="414"/>
      <c r="Q1009" s="419">
        <f>ROUND(+N1009+O1009+P1009,4)</f>
        <v>0</v>
      </c>
      <c r="R1009" s="419">
        <f>ROUND(IF(+Q1009-H1009&lt;=0,0,Q1009-H1009),4)</f>
        <v>0</v>
      </c>
      <c r="S1009" s="423">
        <v>0.5</v>
      </c>
      <c r="T1009" s="419">
        <f>ROUND(+(R1009*C1009)*S1009,4)</f>
        <v>0</v>
      </c>
      <c r="U1009" s="419">
        <f>ROUND(+J1009+M1009+T1009,4)</f>
        <v>0</v>
      </c>
      <c r="V1009" s="235"/>
    </row>
    <row r="1010" spans="1:22" ht="15.75" x14ac:dyDescent="0.25">
      <c r="A1010" s="231"/>
      <c r="B1010" s="232"/>
      <c r="C1010" s="400"/>
      <c r="D1010" s="233"/>
      <c r="E1010" s="405"/>
      <c r="F1010" s="405"/>
      <c r="G1010" s="405"/>
      <c r="H1010" s="408">
        <f>ROUND(+E1010+F1010+G1010,4)</f>
        <v>0</v>
      </c>
      <c r="I1010" s="234"/>
      <c r="J1010" s="411"/>
      <c r="K1010" s="411"/>
      <c r="L1010" s="414">
        <v>0.1</v>
      </c>
      <c r="M1010" s="414">
        <f>ROUND(+L1010*C1010,4)</f>
        <v>0</v>
      </c>
      <c r="N1010" s="414"/>
      <c r="O1010" s="414"/>
      <c r="P1010" s="414"/>
      <c r="Q1010" s="419">
        <f>ROUND(+N1010+O1010+P1010,4)</f>
        <v>0</v>
      </c>
      <c r="R1010" s="419">
        <f>ROUND(IF(+Q1010-H1010&lt;=0,0,Q1010-H1010),4)</f>
        <v>0</v>
      </c>
      <c r="S1010" s="423">
        <v>0.5</v>
      </c>
      <c r="T1010" s="419">
        <f>ROUND(+(R1010*C1010)*S1010,4)</f>
        <v>0</v>
      </c>
      <c r="U1010" s="419">
        <f>ROUND(+J1010+M1010+T1010,4)</f>
        <v>0</v>
      </c>
      <c r="V1010" s="235"/>
    </row>
    <row r="1011" spans="1:22" ht="15.75" x14ac:dyDescent="0.25">
      <c r="A1011" s="231"/>
      <c r="B1011" s="232"/>
      <c r="C1011" s="400"/>
      <c r="D1011" s="233"/>
      <c r="E1011" s="405"/>
      <c r="F1011" s="405"/>
      <c r="G1011" s="405"/>
      <c r="H1011" s="408">
        <f>ROUND(+E1011+F1011+G1011,4)</f>
        <v>0</v>
      </c>
      <c r="I1011" s="234"/>
      <c r="J1011" s="411"/>
      <c r="K1011" s="411"/>
      <c r="L1011" s="414">
        <v>0.1</v>
      </c>
      <c r="M1011" s="414">
        <f>ROUND(+L1011*C1011,4)</f>
        <v>0</v>
      </c>
      <c r="N1011" s="414"/>
      <c r="O1011" s="414"/>
      <c r="P1011" s="414"/>
      <c r="Q1011" s="419">
        <f>ROUND(+N1011+O1011+P1011,4)</f>
        <v>0</v>
      </c>
      <c r="R1011" s="419">
        <f>ROUND(IF(+Q1011-H1011&lt;=0,0,Q1011-H1011),4)</f>
        <v>0</v>
      </c>
      <c r="S1011" s="423">
        <v>0.5</v>
      </c>
      <c r="T1011" s="419">
        <f>ROUND(+(R1011*C1011)*S1011,4)</f>
        <v>0</v>
      </c>
      <c r="U1011" s="419">
        <f>ROUND(+J1011+M1011+T1011,4)</f>
        <v>0</v>
      </c>
      <c r="V1011" s="235"/>
    </row>
    <row r="1012" spans="1:22" ht="15.75" x14ac:dyDescent="0.25">
      <c r="A1012" s="231"/>
      <c r="B1012" s="232"/>
      <c r="C1012" s="400"/>
      <c r="D1012" s="233"/>
      <c r="E1012" s="405"/>
      <c r="F1012" s="405"/>
      <c r="G1012" s="405"/>
      <c r="H1012" s="408">
        <f>ROUND(+E1012+F1012+G1012,4)</f>
        <v>0</v>
      </c>
      <c r="I1012" s="234"/>
      <c r="J1012" s="411"/>
      <c r="K1012" s="411"/>
      <c r="L1012" s="414">
        <v>0.1</v>
      </c>
      <c r="M1012" s="414">
        <f>ROUND(+L1012*C1012,4)</f>
        <v>0</v>
      </c>
      <c r="N1012" s="414"/>
      <c r="O1012" s="414"/>
      <c r="P1012" s="414"/>
      <c r="Q1012" s="419">
        <f>ROUND(+N1012+O1012+P1012,4)</f>
        <v>0</v>
      </c>
      <c r="R1012" s="419">
        <f>ROUND(IF(+Q1012-H1012&lt;=0,0,Q1012-H1012),4)</f>
        <v>0</v>
      </c>
      <c r="S1012" s="423">
        <v>0.5</v>
      </c>
      <c r="T1012" s="419">
        <f>ROUND(+(R1012*C1012)*S1012,4)</f>
        <v>0</v>
      </c>
      <c r="U1012" s="419">
        <f>ROUND(+J1012+M1012+T1012,4)</f>
        <v>0</v>
      </c>
      <c r="V1012" s="235"/>
    </row>
    <row r="1013" spans="1:22" ht="15.75" x14ac:dyDescent="0.25">
      <c r="A1013" s="231"/>
      <c r="B1013" s="232"/>
      <c r="C1013" s="400"/>
      <c r="D1013" s="233"/>
      <c r="E1013" s="405"/>
      <c r="F1013" s="405"/>
      <c r="G1013" s="405"/>
      <c r="H1013" s="408">
        <f>ROUND(+E1013+F1013+G1013,4)</f>
        <v>0</v>
      </c>
      <c r="I1013" s="234"/>
      <c r="J1013" s="411"/>
      <c r="K1013" s="411"/>
      <c r="L1013" s="414">
        <v>0.1</v>
      </c>
      <c r="M1013" s="414">
        <f>ROUND(+L1013*C1013,4)</f>
        <v>0</v>
      </c>
      <c r="N1013" s="414"/>
      <c r="O1013" s="414"/>
      <c r="P1013" s="414"/>
      <c r="Q1013" s="419">
        <f>ROUND(+N1013+O1013+P1013,4)</f>
        <v>0</v>
      </c>
      <c r="R1013" s="419">
        <f>ROUND(IF(+Q1013-H1013&lt;=0,0,Q1013-H1013),4)</f>
        <v>0</v>
      </c>
      <c r="S1013" s="423">
        <v>0.5</v>
      </c>
      <c r="T1013" s="419">
        <f>ROUND(+(R1013*C1013)*S1013,4)</f>
        <v>0</v>
      </c>
      <c r="U1013" s="419">
        <f>ROUND(+J1013+M1013+T1013,4)</f>
        <v>0</v>
      </c>
      <c r="V1013" s="235"/>
    </row>
    <row r="1014" spans="1:22" ht="15.75" x14ac:dyDescent="0.25">
      <c r="A1014" s="231"/>
      <c r="B1014" s="232"/>
      <c r="C1014" s="400"/>
      <c r="D1014" s="233"/>
      <c r="E1014" s="405"/>
      <c r="F1014" s="405"/>
      <c r="G1014" s="405"/>
      <c r="H1014" s="408">
        <f>ROUND(+E1014+F1014+G1014,4)</f>
        <v>0</v>
      </c>
      <c r="I1014" s="234"/>
      <c r="J1014" s="411"/>
      <c r="K1014" s="411"/>
      <c r="L1014" s="414">
        <v>0.1</v>
      </c>
      <c r="M1014" s="414">
        <f>ROUND(+L1014*C1014,4)</f>
        <v>0</v>
      </c>
      <c r="N1014" s="414"/>
      <c r="O1014" s="414"/>
      <c r="P1014" s="414"/>
      <c r="Q1014" s="419">
        <f>ROUND(+N1014+O1014+P1014,4)</f>
        <v>0</v>
      </c>
      <c r="R1014" s="419">
        <f>ROUND(IF(+Q1014-H1014&lt;=0,0,Q1014-H1014),4)</f>
        <v>0</v>
      </c>
      <c r="S1014" s="423">
        <v>0.5</v>
      </c>
      <c r="T1014" s="419">
        <f>ROUND(+(R1014*C1014)*S1014,4)</f>
        <v>0</v>
      </c>
      <c r="U1014" s="419">
        <f>ROUND(+J1014+M1014+T1014,4)</f>
        <v>0</v>
      </c>
      <c r="V1014" s="235"/>
    </row>
    <row r="1015" spans="1:22" ht="15.75" x14ac:dyDescent="0.25">
      <c r="A1015" s="231"/>
      <c r="B1015" s="232"/>
      <c r="C1015" s="400"/>
      <c r="D1015" s="233"/>
      <c r="E1015" s="405"/>
      <c r="F1015" s="405"/>
      <c r="G1015" s="405"/>
      <c r="H1015" s="408">
        <f>ROUND(+E1015+F1015+G1015,4)</f>
        <v>0</v>
      </c>
      <c r="I1015" s="234"/>
      <c r="J1015" s="411"/>
      <c r="K1015" s="411"/>
      <c r="L1015" s="414">
        <v>0.1</v>
      </c>
      <c r="M1015" s="414">
        <f>ROUND(+L1015*C1015,4)</f>
        <v>0</v>
      </c>
      <c r="N1015" s="414"/>
      <c r="O1015" s="414"/>
      <c r="P1015" s="414"/>
      <c r="Q1015" s="419">
        <f>ROUND(+N1015+O1015+P1015,4)</f>
        <v>0</v>
      </c>
      <c r="R1015" s="419">
        <f>ROUND(IF(+Q1015-H1015&lt;=0,0,Q1015-H1015),4)</f>
        <v>0</v>
      </c>
      <c r="S1015" s="423">
        <v>0.5</v>
      </c>
      <c r="T1015" s="419">
        <f>ROUND(+(R1015*C1015)*S1015,4)</f>
        <v>0</v>
      </c>
      <c r="U1015" s="419">
        <f>ROUND(+J1015+M1015+T1015,4)</f>
        <v>0</v>
      </c>
      <c r="V1015" s="235"/>
    </row>
    <row r="1016" spans="1:22" ht="15.75" x14ac:dyDescent="0.25">
      <c r="A1016" s="231"/>
      <c r="B1016" s="232"/>
      <c r="C1016" s="400"/>
      <c r="D1016" s="233"/>
      <c r="E1016" s="405"/>
      <c r="F1016" s="405"/>
      <c r="G1016" s="405"/>
      <c r="H1016" s="408">
        <f>ROUND(+E1016+F1016+G1016,4)</f>
        <v>0</v>
      </c>
      <c r="I1016" s="234"/>
      <c r="J1016" s="411"/>
      <c r="K1016" s="411"/>
      <c r="L1016" s="414">
        <v>0.1</v>
      </c>
      <c r="M1016" s="414">
        <f>ROUND(+L1016*C1016,4)</f>
        <v>0</v>
      </c>
      <c r="N1016" s="414"/>
      <c r="O1016" s="414"/>
      <c r="P1016" s="414"/>
      <c r="Q1016" s="419">
        <f>ROUND(+N1016+O1016+P1016,4)</f>
        <v>0</v>
      </c>
      <c r="R1016" s="419">
        <f>ROUND(IF(+Q1016-H1016&lt;=0,0,Q1016-H1016),4)</f>
        <v>0</v>
      </c>
      <c r="S1016" s="423">
        <v>0.5</v>
      </c>
      <c r="T1016" s="419">
        <f>ROUND(+(R1016*C1016)*S1016,4)</f>
        <v>0</v>
      </c>
      <c r="U1016" s="419">
        <f>ROUND(+J1016+M1016+T1016,4)</f>
        <v>0</v>
      </c>
      <c r="V1016" s="235"/>
    </row>
    <row r="1017" spans="1:22" ht="15.75" x14ac:dyDescent="0.25">
      <c r="A1017" s="231"/>
      <c r="B1017" s="232"/>
      <c r="C1017" s="400"/>
      <c r="D1017" s="233"/>
      <c r="E1017" s="405"/>
      <c r="F1017" s="405"/>
      <c r="G1017" s="405"/>
      <c r="H1017" s="408">
        <f>ROUND(+E1017+F1017+G1017,4)</f>
        <v>0</v>
      </c>
      <c r="I1017" s="234"/>
      <c r="J1017" s="411"/>
      <c r="K1017" s="411"/>
      <c r="L1017" s="414">
        <v>0.1</v>
      </c>
      <c r="M1017" s="414">
        <f>ROUND(+L1017*C1017,4)</f>
        <v>0</v>
      </c>
      <c r="N1017" s="414"/>
      <c r="O1017" s="414"/>
      <c r="P1017" s="414"/>
      <c r="Q1017" s="419">
        <f>ROUND(+N1017+O1017+P1017,4)</f>
        <v>0</v>
      </c>
      <c r="R1017" s="419">
        <f>ROUND(IF(+Q1017-H1017&lt;=0,0,Q1017-H1017),4)</f>
        <v>0</v>
      </c>
      <c r="S1017" s="423">
        <v>0.5</v>
      </c>
      <c r="T1017" s="419">
        <f>ROUND(+(R1017*C1017)*S1017,4)</f>
        <v>0</v>
      </c>
      <c r="U1017" s="419">
        <f>ROUND(+J1017+M1017+T1017,4)</f>
        <v>0</v>
      </c>
      <c r="V1017" s="235"/>
    </row>
    <row r="1018" spans="1:22" ht="15.75" x14ac:dyDescent="0.25">
      <c r="A1018" s="231"/>
      <c r="B1018" s="232"/>
      <c r="C1018" s="400"/>
      <c r="D1018" s="233"/>
      <c r="E1018" s="405"/>
      <c r="F1018" s="405"/>
      <c r="G1018" s="405"/>
      <c r="H1018" s="408">
        <f>ROUND(+E1018+F1018+G1018,4)</f>
        <v>0</v>
      </c>
      <c r="I1018" s="234"/>
      <c r="J1018" s="411"/>
      <c r="K1018" s="411"/>
      <c r="L1018" s="414">
        <v>0.1</v>
      </c>
      <c r="M1018" s="414">
        <f>ROUND(+L1018*C1018,4)</f>
        <v>0</v>
      </c>
      <c r="N1018" s="414"/>
      <c r="O1018" s="414"/>
      <c r="P1018" s="414"/>
      <c r="Q1018" s="419">
        <f>ROUND(+N1018+O1018+P1018,4)</f>
        <v>0</v>
      </c>
      <c r="R1018" s="419">
        <f>ROUND(IF(+Q1018-H1018&lt;=0,0,Q1018-H1018),4)</f>
        <v>0</v>
      </c>
      <c r="S1018" s="423">
        <v>0.5</v>
      </c>
      <c r="T1018" s="419">
        <f>ROUND(+(R1018*C1018)*S1018,4)</f>
        <v>0</v>
      </c>
      <c r="U1018" s="419">
        <f>ROUND(+J1018+M1018+T1018,4)</f>
        <v>0</v>
      </c>
      <c r="V1018" s="235"/>
    </row>
    <row r="1019" spans="1:22" ht="15.75" x14ac:dyDescent="0.25">
      <c r="A1019" s="231"/>
      <c r="B1019" s="232"/>
      <c r="C1019" s="400"/>
      <c r="D1019" s="233"/>
      <c r="E1019" s="405"/>
      <c r="F1019" s="405"/>
      <c r="G1019" s="405"/>
      <c r="H1019" s="408">
        <f>ROUND(+E1019+F1019+G1019,4)</f>
        <v>0</v>
      </c>
      <c r="I1019" s="234"/>
      <c r="J1019" s="411"/>
      <c r="K1019" s="411"/>
      <c r="L1019" s="414">
        <v>0.1</v>
      </c>
      <c r="M1019" s="414">
        <f>ROUND(+L1019*C1019,4)</f>
        <v>0</v>
      </c>
      <c r="N1019" s="414"/>
      <c r="O1019" s="414"/>
      <c r="P1019" s="414"/>
      <c r="Q1019" s="419">
        <f>ROUND(+N1019+O1019+P1019,4)</f>
        <v>0</v>
      </c>
      <c r="R1019" s="419">
        <f>ROUND(IF(+Q1019-H1019&lt;=0,0,Q1019-H1019),4)</f>
        <v>0</v>
      </c>
      <c r="S1019" s="423">
        <v>0.5</v>
      </c>
      <c r="T1019" s="419">
        <f>ROUND(+(R1019*C1019)*S1019,4)</f>
        <v>0</v>
      </c>
      <c r="U1019" s="419">
        <f>ROUND(+J1019+M1019+T1019,4)</f>
        <v>0</v>
      </c>
      <c r="V1019" s="235"/>
    </row>
    <row r="1020" spans="1:22" ht="15.75" x14ac:dyDescent="0.25">
      <c r="A1020" s="231"/>
      <c r="B1020" s="232"/>
      <c r="C1020" s="400"/>
      <c r="D1020" s="233"/>
      <c r="E1020" s="405"/>
      <c r="F1020" s="405"/>
      <c r="G1020" s="405"/>
      <c r="H1020" s="408">
        <f>ROUND(+E1020+F1020+G1020,4)</f>
        <v>0</v>
      </c>
      <c r="I1020" s="234"/>
      <c r="J1020" s="411"/>
      <c r="K1020" s="411"/>
      <c r="L1020" s="414">
        <v>0.1</v>
      </c>
      <c r="M1020" s="414">
        <f>ROUND(+L1020*C1020,4)</f>
        <v>0</v>
      </c>
      <c r="N1020" s="414"/>
      <c r="O1020" s="414"/>
      <c r="P1020" s="414"/>
      <c r="Q1020" s="419">
        <f>ROUND(+N1020+O1020+P1020,4)</f>
        <v>0</v>
      </c>
      <c r="R1020" s="419">
        <f>ROUND(IF(+Q1020-H1020&lt;=0,0,Q1020-H1020),4)</f>
        <v>0</v>
      </c>
      <c r="S1020" s="423">
        <v>0.5</v>
      </c>
      <c r="T1020" s="419">
        <f>ROUND(+(R1020*C1020)*S1020,4)</f>
        <v>0</v>
      </c>
      <c r="U1020" s="419">
        <f>ROUND(+J1020+M1020+T1020,4)</f>
        <v>0</v>
      </c>
      <c r="V1020" s="235"/>
    </row>
    <row r="1021" spans="1:22" ht="15.75" x14ac:dyDescent="0.25">
      <c r="A1021" s="231"/>
      <c r="B1021" s="232"/>
      <c r="C1021" s="400"/>
      <c r="D1021" s="233"/>
      <c r="E1021" s="405"/>
      <c r="F1021" s="405"/>
      <c r="G1021" s="405"/>
      <c r="H1021" s="408">
        <f>ROUND(+E1021+F1021+G1021,4)</f>
        <v>0</v>
      </c>
      <c r="I1021" s="234"/>
      <c r="J1021" s="411"/>
      <c r="K1021" s="411"/>
      <c r="L1021" s="414">
        <v>0.1</v>
      </c>
      <c r="M1021" s="414">
        <f>ROUND(+L1021*C1021,4)</f>
        <v>0</v>
      </c>
      <c r="N1021" s="414"/>
      <c r="O1021" s="414"/>
      <c r="P1021" s="414"/>
      <c r="Q1021" s="419">
        <f>ROUND(+N1021+O1021+P1021,4)</f>
        <v>0</v>
      </c>
      <c r="R1021" s="419">
        <f>ROUND(IF(+Q1021-H1021&lt;=0,0,Q1021-H1021),4)</f>
        <v>0</v>
      </c>
      <c r="S1021" s="423">
        <v>0.5</v>
      </c>
      <c r="T1021" s="419">
        <f>ROUND(+(R1021*C1021)*S1021,4)</f>
        <v>0</v>
      </c>
      <c r="U1021" s="419">
        <f>ROUND(+J1021+M1021+T1021,4)</f>
        <v>0</v>
      </c>
      <c r="V1021" s="235"/>
    </row>
    <row r="1022" spans="1:22" ht="15.75" x14ac:dyDescent="0.25">
      <c r="A1022" s="231"/>
      <c r="B1022" s="232"/>
      <c r="C1022" s="400"/>
      <c r="D1022" s="233"/>
      <c r="E1022" s="405"/>
      <c r="F1022" s="405"/>
      <c r="G1022" s="405"/>
      <c r="H1022" s="408">
        <f>ROUND(+E1022+F1022+G1022,4)</f>
        <v>0</v>
      </c>
      <c r="I1022" s="234"/>
      <c r="J1022" s="411"/>
      <c r="K1022" s="411"/>
      <c r="L1022" s="414">
        <v>0.1</v>
      </c>
      <c r="M1022" s="414">
        <f>ROUND(+L1022*C1022,4)</f>
        <v>0</v>
      </c>
      <c r="N1022" s="414"/>
      <c r="O1022" s="414"/>
      <c r="P1022" s="414"/>
      <c r="Q1022" s="419">
        <f>ROUND(+N1022+O1022+P1022,4)</f>
        <v>0</v>
      </c>
      <c r="R1022" s="419">
        <f>ROUND(IF(+Q1022-H1022&lt;=0,0,Q1022-H1022),4)</f>
        <v>0</v>
      </c>
      <c r="S1022" s="423">
        <v>0.5</v>
      </c>
      <c r="T1022" s="419">
        <f>ROUND(+(R1022*C1022)*S1022,4)</f>
        <v>0</v>
      </c>
      <c r="U1022" s="419">
        <f>ROUND(+J1022+M1022+T1022,4)</f>
        <v>0</v>
      </c>
      <c r="V1022" s="235"/>
    </row>
    <row r="1023" spans="1:22" ht="15.75" x14ac:dyDescent="0.25">
      <c r="A1023" s="231"/>
      <c r="B1023" s="232"/>
      <c r="C1023" s="400"/>
      <c r="D1023" s="233"/>
      <c r="E1023" s="405"/>
      <c r="F1023" s="405"/>
      <c r="G1023" s="405"/>
      <c r="H1023" s="408">
        <f>ROUND(+E1023+F1023+G1023,4)</f>
        <v>0</v>
      </c>
      <c r="I1023" s="234"/>
      <c r="J1023" s="411"/>
      <c r="K1023" s="411"/>
      <c r="L1023" s="414">
        <v>0.1</v>
      </c>
      <c r="M1023" s="414">
        <f>ROUND(+L1023*C1023,4)</f>
        <v>0</v>
      </c>
      <c r="N1023" s="414"/>
      <c r="O1023" s="414"/>
      <c r="P1023" s="414"/>
      <c r="Q1023" s="419">
        <f>ROUND(+N1023+O1023+P1023,4)</f>
        <v>0</v>
      </c>
      <c r="R1023" s="419">
        <f>ROUND(IF(+Q1023-H1023&lt;=0,0,Q1023-H1023),4)</f>
        <v>0</v>
      </c>
      <c r="S1023" s="423">
        <v>0.5</v>
      </c>
      <c r="T1023" s="419">
        <f>ROUND(+(R1023*C1023)*S1023,4)</f>
        <v>0</v>
      </c>
      <c r="U1023" s="419">
        <f>ROUND(+J1023+M1023+T1023,4)</f>
        <v>0</v>
      </c>
      <c r="V1023" s="235"/>
    </row>
    <row r="1024" spans="1:22" ht="15.75" x14ac:dyDescent="0.25">
      <c r="A1024" s="231"/>
      <c r="B1024" s="232"/>
      <c r="C1024" s="400"/>
      <c r="D1024" s="233"/>
      <c r="E1024" s="405"/>
      <c r="F1024" s="405"/>
      <c r="G1024" s="405"/>
      <c r="H1024" s="408">
        <f>ROUND(+E1024+F1024+G1024,4)</f>
        <v>0</v>
      </c>
      <c r="I1024" s="234"/>
      <c r="J1024" s="411"/>
      <c r="K1024" s="411"/>
      <c r="L1024" s="414">
        <v>0.1</v>
      </c>
      <c r="M1024" s="414">
        <f>ROUND(+L1024*C1024,4)</f>
        <v>0</v>
      </c>
      <c r="N1024" s="414"/>
      <c r="O1024" s="414"/>
      <c r="P1024" s="414"/>
      <c r="Q1024" s="419">
        <f>ROUND(+N1024+O1024+P1024,4)</f>
        <v>0</v>
      </c>
      <c r="R1024" s="419">
        <f>ROUND(IF(+Q1024-H1024&lt;=0,0,Q1024-H1024),4)</f>
        <v>0</v>
      </c>
      <c r="S1024" s="423">
        <v>0.5</v>
      </c>
      <c r="T1024" s="419">
        <f>ROUND(+(R1024*C1024)*S1024,4)</f>
        <v>0</v>
      </c>
      <c r="U1024" s="419">
        <f>ROUND(+J1024+M1024+T1024,4)</f>
        <v>0</v>
      </c>
      <c r="V1024" s="235"/>
    </row>
    <row r="1025" spans="1:22" ht="15.75" x14ac:dyDescent="0.25">
      <c r="A1025" s="231"/>
      <c r="B1025" s="232"/>
      <c r="C1025" s="400"/>
      <c r="D1025" s="233"/>
      <c r="E1025" s="405"/>
      <c r="F1025" s="405"/>
      <c r="G1025" s="405"/>
      <c r="H1025" s="408">
        <f>ROUND(+E1025+F1025+G1025,4)</f>
        <v>0</v>
      </c>
      <c r="I1025" s="234"/>
      <c r="J1025" s="411"/>
      <c r="K1025" s="411"/>
      <c r="L1025" s="414">
        <v>0.1</v>
      </c>
      <c r="M1025" s="414">
        <f>ROUND(+L1025*C1025,4)</f>
        <v>0</v>
      </c>
      <c r="N1025" s="414"/>
      <c r="O1025" s="414"/>
      <c r="P1025" s="414"/>
      <c r="Q1025" s="419">
        <f>ROUND(+N1025+O1025+P1025,4)</f>
        <v>0</v>
      </c>
      <c r="R1025" s="419">
        <f>ROUND(IF(+Q1025-H1025&lt;=0,0,Q1025-H1025),4)</f>
        <v>0</v>
      </c>
      <c r="S1025" s="423">
        <v>0.5</v>
      </c>
      <c r="T1025" s="419">
        <f>ROUND(+(R1025*C1025)*S1025,4)</f>
        <v>0</v>
      </c>
      <c r="U1025" s="419">
        <f>ROUND(+J1025+M1025+T1025,4)</f>
        <v>0</v>
      </c>
      <c r="V1025" s="235"/>
    </row>
    <row r="1026" spans="1:22" ht="15.75" x14ac:dyDescent="0.25">
      <c r="A1026" s="231"/>
      <c r="B1026" s="232"/>
      <c r="C1026" s="400"/>
      <c r="D1026" s="233"/>
      <c r="E1026" s="405"/>
      <c r="F1026" s="405"/>
      <c r="G1026" s="405"/>
      <c r="H1026" s="408">
        <f>ROUND(+E1026+F1026+G1026,4)</f>
        <v>0</v>
      </c>
      <c r="I1026" s="234"/>
      <c r="J1026" s="411"/>
      <c r="K1026" s="411"/>
      <c r="L1026" s="414">
        <v>0.1</v>
      </c>
      <c r="M1026" s="414">
        <f>ROUND(+L1026*C1026,4)</f>
        <v>0</v>
      </c>
      <c r="N1026" s="414"/>
      <c r="O1026" s="414"/>
      <c r="P1026" s="414"/>
      <c r="Q1026" s="419">
        <f>ROUND(+N1026+O1026+P1026,4)</f>
        <v>0</v>
      </c>
      <c r="R1026" s="419">
        <f>ROUND(IF(+Q1026-H1026&lt;=0,0,Q1026-H1026),4)</f>
        <v>0</v>
      </c>
      <c r="S1026" s="423">
        <v>0.5</v>
      </c>
      <c r="T1026" s="419">
        <f>ROUND(+(R1026*C1026)*S1026,4)</f>
        <v>0</v>
      </c>
      <c r="U1026" s="419">
        <f>ROUND(+J1026+M1026+T1026,4)</f>
        <v>0</v>
      </c>
      <c r="V1026" s="235"/>
    </row>
    <row r="1027" spans="1:22" ht="15.75" x14ac:dyDescent="0.25">
      <c r="A1027" s="231"/>
      <c r="B1027" s="232"/>
      <c r="C1027" s="400"/>
      <c r="D1027" s="233"/>
      <c r="E1027" s="405"/>
      <c r="F1027" s="405"/>
      <c r="G1027" s="405"/>
      <c r="H1027" s="408">
        <f>ROUND(+E1027+F1027+G1027,4)</f>
        <v>0</v>
      </c>
      <c r="I1027" s="234"/>
      <c r="J1027" s="411"/>
      <c r="K1027" s="411"/>
      <c r="L1027" s="414">
        <v>0.1</v>
      </c>
      <c r="M1027" s="414">
        <f>ROUND(+L1027*C1027,4)</f>
        <v>0</v>
      </c>
      <c r="N1027" s="414"/>
      <c r="O1027" s="414"/>
      <c r="P1027" s="414"/>
      <c r="Q1027" s="419">
        <f>ROUND(+N1027+O1027+P1027,4)</f>
        <v>0</v>
      </c>
      <c r="R1027" s="419">
        <f>ROUND(IF(+Q1027-H1027&lt;=0,0,Q1027-H1027),4)</f>
        <v>0</v>
      </c>
      <c r="S1027" s="423">
        <v>0.5</v>
      </c>
      <c r="T1027" s="419">
        <f>ROUND(+(R1027*C1027)*S1027,4)</f>
        <v>0</v>
      </c>
      <c r="U1027" s="419">
        <f>ROUND(+J1027+M1027+T1027,4)</f>
        <v>0</v>
      </c>
      <c r="V1027" s="235"/>
    </row>
    <row r="1028" spans="1:22" ht="15.75" x14ac:dyDescent="0.25">
      <c r="A1028" s="231"/>
      <c r="B1028" s="232"/>
      <c r="C1028" s="400"/>
      <c r="D1028" s="233"/>
      <c r="E1028" s="405"/>
      <c r="F1028" s="405"/>
      <c r="G1028" s="405"/>
      <c r="H1028" s="408">
        <f>ROUND(+E1028+F1028+G1028,4)</f>
        <v>0</v>
      </c>
      <c r="I1028" s="234"/>
      <c r="J1028" s="411"/>
      <c r="K1028" s="411"/>
      <c r="L1028" s="414">
        <v>0.1</v>
      </c>
      <c r="M1028" s="414">
        <f>ROUND(+L1028*C1028,4)</f>
        <v>0</v>
      </c>
      <c r="N1028" s="414"/>
      <c r="O1028" s="414"/>
      <c r="P1028" s="414"/>
      <c r="Q1028" s="419">
        <f>ROUND(+N1028+O1028+P1028,4)</f>
        <v>0</v>
      </c>
      <c r="R1028" s="419">
        <f>ROUND(IF(+Q1028-H1028&lt;=0,0,Q1028-H1028),4)</f>
        <v>0</v>
      </c>
      <c r="S1028" s="423">
        <v>0.5</v>
      </c>
      <c r="T1028" s="419">
        <f>ROUND(+(R1028*C1028)*S1028,4)</f>
        <v>0</v>
      </c>
      <c r="U1028" s="419">
        <f>ROUND(+J1028+M1028+T1028,4)</f>
        <v>0</v>
      </c>
      <c r="V1028" s="235"/>
    </row>
    <row r="1029" spans="1:22" ht="15.75" x14ac:dyDescent="0.25">
      <c r="A1029" s="231"/>
      <c r="B1029" s="232"/>
      <c r="C1029" s="400"/>
      <c r="D1029" s="233"/>
      <c r="E1029" s="405"/>
      <c r="F1029" s="405"/>
      <c r="G1029" s="405"/>
      <c r="H1029" s="408">
        <f>ROUND(+E1029+F1029+G1029,4)</f>
        <v>0</v>
      </c>
      <c r="I1029" s="234"/>
      <c r="J1029" s="411"/>
      <c r="K1029" s="411"/>
      <c r="L1029" s="414">
        <v>0.1</v>
      </c>
      <c r="M1029" s="414">
        <f>ROUND(+L1029*C1029,4)</f>
        <v>0</v>
      </c>
      <c r="N1029" s="414"/>
      <c r="O1029" s="414"/>
      <c r="P1029" s="414"/>
      <c r="Q1029" s="419">
        <f>ROUND(+N1029+O1029+P1029,4)</f>
        <v>0</v>
      </c>
      <c r="R1029" s="419">
        <f>ROUND(IF(+Q1029-H1029&lt;=0,0,Q1029-H1029),4)</f>
        <v>0</v>
      </c>
      <c r="S1029" s="423">
        <v>0.5</v>
      </c>
      <c r="T1029" s="419">
        <f>ROUND(+(R1029*C1029)*S1029,4)</f>
        <v>0</v>
      </c>
      <c r="U1029" s="419">
        <f>ROUND(+J1029+M1029+T1029,4)</f>
        <v>0</v>
      </c>
      <c r="V1029" s="235"/>
    </row>
    <row r="1030" spans="1:22" ht="15.75" x14ac:dyDescent="0.25">
      <c r="A1030" s="231"/>
      <c r="B1030" s="232"/>
      <c r="C1030" s="400"/>
      <c r="D1030" s="233"/>
      <c r="E1030" s="405"/>
      <c r="F1030" s="405"/>
      <c r="G1030" s="405"/>
      <c r="H1030" s="408">
        <f>ROUND(+E1030+F1030+G1030,4)</f>
        <v>0</v>
      </c>
      <c r="I1030" s="234"/>
      <c r="J1030" s="411"/>
      <c r="K1030" s="411"/>
      <c r="L1030" s="414">
        <v>0.1</v>
      </c>
      <c r="M1030" s="414">
        <f>ROUND(+L1030*C1030,4)</f>
        <v>0</v>
      </c>
      <c r="N1030" s="414"/>
      <c r="O1030" s="414"/>
      <c r="P1030" s="414"/>
      <c r="Q1030" s="419">
        <f>ROUND(+N1030+O1030+P1030,4)</f>
        <v>0</v>
      </c>
      <c r="R1030" s="419">
        <f>ROUND(IF(+Q1030-H1030&lt;=0,0,Q1030-H1030),4)</f>
        <v>0</v>
      </c>
      <c r="S1030" s="423">
        <v>0.5</v>
      </c>
      <c r="T1030" s="419">
        <f>ROUND(+(R1030*C1030)*S1030,4)</f>
        <v>0</v>
      </c>
      <c r="U1030" s="419">
        <f>ROUND(+J1030+M1030+T1030,4)</f>
        <v>0</v>
      </c>
      <c r="V1030" s="235"/>
    </row>
    <row r="1031" spans="1:22" ht="15.75" x14ac:dyDescent="0.25">
      <c r="A1031" s="231"/>
      <c r="B1031" s="232"/>
      <c r="C1031" s="400"/>
      <c r="D1031" s="233"/>
      <c r="E1031" s="405"/>
      <c r="F1031" s="405"/>
      <c r="G1031" s="405"/>
      <c r="H1031" s="408">
        <f>ROUND(+E1031+F1031+G1031,4)</f>
        <v>0</v>
      </c>
      <c r="I1031" s="234"/>
      <c r="J1031" s="411"/>
      <c r="K1031" s="411"/>
      <c r="L1031" s="414">
        <v>0.1</v>
      </c>
      <c r="M1031" s="414">
        <f>ROUND(+L1031*C1031,4)</f>
        <v>0</v>
      </c>
      <c r="N1031" s="414"/>
      <c r="O1031" s="414"/>
      <c r="P1031" s="414"/>
      <c r="Q1031" s="419">
        <f>ROUND(+N1031+O1031+P1031,4)</f>
        <v>0</v>
      </c>
      <c r="R1031" s="419">
        <f>ROUND(IF(+Q1031-H1031&lt;=0,0,Q1031-H1031),4)</f>
        <v>0</v>
      </c>
      <c r="S1031" s="423">
        <v>0.5</v>
      </c>
      <c r="T1031" s="419">
        <f>ROUND(+(R1031*C1031)*S1031,4)</f>
        <v>0</v>
      </c>
      <c r="U1031" s="419">
        <f>ROUND(+J1031+M1031+T1031,4)</f>
        <v>0</v>
      </c>
      <c r="V1031" s="235"/>
    </row>
    <row r="1032" spans="1:22" ht="15.75" x14ac:dyDescent="0.25">
      <c r="A1032" s="231"/>
      <c r="B1032" s="232"/>
      <c r="C1032" s="400"/>
      <c r="D1032" s="233"/>
      <c r="E1032" s="405"/>
      <c r="F1032" s="405"/>
      <c r="G1032" s="405"/>
      <c r="H1032" s="408">
        <f>ROUND(+E1032+F1032+G1032,4)</f>
        <v>0</v>
      </c>
      <c r="I1032" s="234"/>
      <c r="J1032" s="411"/>
      <c r="K1032" s="411"/>
      <c r="L1032" s="414">
        <v>0.1</v>
      </c>
      <c r="M1032" s="414">
        <f>ROUND(+L1032*C1032,4)</f>
        <v>0</v>
      </c>
      <c r="N1032" s="414"/>
      <c r="O1032" s="414"/>
      <c r="P1032" s="414"/>
      <c r="Q1032" s="419">
        <f>ROUND(+N1032+O1032+P1032,4)</f>
        <v>0</v>
      </c>
      <c r="R1032" s="419">
        <f>ROUND(IF(+Q1032-H1032&lt;=0,0,Q1032-H1032),4)</f>
        <v>0</v>
      </c>
      <c r="S1032" s="423">
        <v>0.5</v>
      </c>
      <c r="T1032" s="419">
        <f>ROUND(+(R1032*C1032)*S1032,4)</f>
        <v>0</v>
      </c>
      <c r="U1032" s="419">
        <f>ROUND(+J1032+M1032+T1032,4)</f>
        <v>0</v>
      </c>
      <c r="V1032" s="235"/>
    </row>
    <row r="1033" spans="1:22" ht="15.75" x14ac:dyDescent="0.25">
      <c r="A1033" s="231"/>
      <c r="B1033" s="232"/>
      <c r="C1033" s="400"/>
      <c r="D1033" s="233"/>
      <c r="E1033" s="405"/>
      <c r="F1033" s="405"/>
      <c r="G1033" s="405"/>
      <c r="H1033" s="408">
        <f>ROUND(+E1033+F1033+G1033,4)</f>
        <v>0</v>
      </c>
      <c r="I1033" s="234"/>
      <c r="J1033" s="411"/>
      <c r="K1033" s="411"/>
      <c r="L1033" s="414">
        <v>0.1</v>
      </c>
      <c r="M1033" s="414">
        <f>ROUND(+L1033*C1033,4)</f>
        <v>0</v>
      </c>
      <c r="N1033" s="414"/>
      <c r="O1033" s="414"/>
      <c r="P1033" s="414"/>
      <c r="Q1033" s="419">
        <f>ROUND(+N1033+O1033+P1033,4)</f>
        <v>0</v>
      </c>
      <c r="R1033" s="419">
        <f>ROUND(IF(+Q1033-H1033&lt;=0,0,Q1033-H1033),4)</f>
        <v>0</v>
      </c>
      <c r="S1033" s="423">
        <v>0.5</v>
      </c>
      <c r="T1033" s="419">
        <f>ROUND(+(R1033*C1033)*S1033,4)</f>
        <v>0</v>
      </c>
      <c r="U1033" s="419">
        <f>ROUND(+J1033+M1033+T1033,4)</f>
        <v>0</v>
      </c>
      <c r="V1033" s="235"/>
    </row>
    <row r="1034" spans="1:22" ht="15.75" x14ac:dyDescent="0.25">
      <c r="A1034" s="231"/>
      <c r="B1034" s="232"/>
      <c r="C1034" s="400"/>
      <c r="D1034" s="233"/>
      <c r="E1034" s="405"/>
      <c r="F1034" s="405"/>
      <c r="G1034" s="405"/>
      <c r="H1034" s="408">
        <f>ROUND(+E1034+F1034+G1034,4)</f>
        <v>0</v>
      </c>
      <c r="I1034" s="234"/>
      <c r="J1034" s="411"/>
      <c r="K1034" s="411"/>
      <c r="L1034" s="414">
        <v>0.1</v>
      </c>
      <c r="M1034" s="414">
        <f>ROUND(+L1034*C1034,4)</f>
        <v>0</v>
      </c>
      <c r="N1034" s="414"/>
      <c r="O1034" s="414"/>
      <c r="P1034" s="414"/>
      <c r="Q1034" s="419">
        <f>ROUND(+N1034+O1034+P1034,4)</f>
        <v>0</v>
      </c>
      <c r="R1034" s="419">
        <f>ROUND(IF(+Q1034-H1034&lt;=0,0,Q1034-H1034),4)</f>
        <v>0</v>
      </c>
      <c r="S1034" s="423">
        <v>0.5</v>
      </c>
      <c r="T1034" s="419">
        <f>ROUND(+(R1034*C1034)*S1034,4)</f>
        <v>0</v>
      </c>
      <c r="U1034" s="419">
        <f>ROUND(+J1034+M1034+T1034,4)</f>
        <v>0</v>
      </c>
      <c r="V1034" s="235"/>
    </row>
    <row r="1035" spans="1:22" ht="15.75" x14ac:dyDescent="0.25">
      <c r="A1035" s="231"/>
      <c r="B1035" s="232"/>
      <c r="C1035" s="400"/>
      <c r="D1035" s="233"/>
      <c r="E1035" s="405"/>
      <c r="F1035" s="405"/>
      <c r="G1035" s="405"/>
      <c r="H1035" s="408">
        <f>ROUND(+E1035+F1035+G1035,4)</f>
        <v>0</v>
      </c>
      <c r="I1035" s="234"/>
      <c r="J1035" s="411"/>
      <c r="K1035" s="411"/>
      <c r="L1035" s="414">
        <v>0.1</v>
      </c>
      <c r="M1035" s="414">
        <f>ROUND(+L1035*C1035,4)</f>
        <v>0</v>
      </c>
      <c r="N1035" s="414"/>
      <c r="O1035" s="414"/>
      <c r="P1035" s="414"/>
      <c r="Q1035" s="419">
        <f>ROUND(+N1035+O1035+P1035,4)</f>
        <v>0</v>
      </c>
      <c r="R1035" s="419">
        <f>ROUND(IF(+Q1035-H1035&lt;=0,0,Q1035-H1035),4)</f>
        <v>0</v>
      </c>
      <c r="S1035" s="423">
        <v>0.5</v>
      </c>
      <c r="T1035" s="419">
        <f>ROUND(+(R1035*C1035)*S1035,4)</f>
        <v>0</v>
      </c>
      <c r="U1035" s="419">
        <f>ROUND(+J1035+M1035+T1035,4)</f>
        <v>0</v>
      </c>
      <c r="V1035" s="235"/>
    </row>
    <row r="1036" spans="1:22" ht="15.75" x14ac:dyDescent="0.25">
      <c r="A1036" s="231"/>
      <c r="B1036" s="232"/>
      <c r="C1036" s="400"/>
      <c r="D1036" s="233"/>
      <c r="E1036" s="405"/>
      <c r="F1036" s="405"/>
      <c r="G1036" s="405"/>
      <c r="H1036" s="408">
        <f>ROUND(+E1036+F1036+G1036,4)</f>
        <v>0</v>
      </c>
      <c r="I1036" s="234"/>
      <c r="J1036" s="411"/>
      <c r="K1036" s="411"/>
      <c r="L1036" s="414">
        <v>0.1</v>
      </c>
      <c r="M1036" s="414">
        <f>ROUND(+L1036*C1036,4)</f>
        <v>0</v>
      </c>
      <c r="N1036" s="414"/>
      <c r="O1036" s="414"/>
      <c r="P1036" s="414"/>
      <c r="Q1036" s="419">
        <f>ROUND(+N1036+O1036+P1036,4)</f>
        <v>0</v>
      </c>
      <c r="R1036" s="419">
        <f>ROUND(IF(+Q1036-H1036&lt;=0,0,Q1036-H1036),4)</f>
        <v>0</v>
      </c>
      <c r="S1036" s="423">
        <v>0.5</v>
      </c>
      <c r="T1036" s="419">
        <f>ROUND(+(R1036*C1036)*S1036,4)</f>
        <v>0</v>
      </c>
      <c r="U1036" s="419">
        <f>ROUND(+J1036+M1036+T1036,4)</f>
        <v>0</v>
      </c>
      <c r="V1036" s="235"/>
    </row>
    <row r="1037" spans="1:22" ht="15.75" x14ac:dyDescent="0.25">
      <c r="A1037" s="231"/>
      <c r="B1037" s="232"/>
      <c r="C1037" s="400"/>
      <c r="D1037" s="233"/>
      <c r="E1037" s="405"/>
      <c r="F1037" s="405"/>
      <c r="G1037" s="405"/>
      <c r="H1037" s="408">
        <f>ROUND(+E1037+F1037+G1037,4)</f>
        <v>0</v>
      </c>
      <c r="I1037" s="234"/>
      <c r="J1037" s="411"/>
      <c r="K1037" s="411"/>
      <c r="L1037" s="414">
        <v>0.1</v>
      </c>
      <c r="M1037" s="414">
        <f>ROUND(+L1037*C1037,4)</f>
        <v>0</v>
      </c>
      <c r="N1037" s="414"/>
      <c r="O1037" s="414"/>
      <c r="P1037" s="414"/>
      <c r="Q1037" s="419">
        <f>ROUND(+N1037+O1037+P1037,4)</f>
        <v>0</v>
      </c>
      <c r="R1037" s="419">
        <f>ROUND(IF(+Q1037-H1037&lt;=0,0,Q1037-H1037),4)</f>
        <v>0</v>
      </c>
      <c r="S1037" s="423">
        <v>0.5</v>
      </c>
      <c r="T1037" s="419">
        <f>ROUND(+(R1037*C1037)*S1037,4)</f>
        <v>0</v>
      </c>
      <c r="U1037" s="419">
        <f>ROUND(+J1037+M1037+T1037,4)</f>
        <v>0</v>
      </c>
      <c r="V1037" s="235"/>
    </row>
    <row r="1038" spans="1:22" ht="15.75" x14ac:dyDescent="0.25">
      <c r="A1038" s="231"/>
      <c r="B1038" s="232"/>
      <c r="C1038" s="400"/>
      <c r="D1038" s="233"/>
      <c r="E1038" s="405"/>
      <c r="F1038" s="405"/>
      <c r="G1038" s="405"/>
      <c r="H1038" s="408">
        <f>ROUND(+E1038+F1038+G1038,4)</f>
        <v>0</v>
      </c>
      <c r="I1038" s="234"/>
      <c r="J1038" s="411"/>
      <c r="K1038" s="411"/>
      <c r="L1038" s="414">
        <v>0.1</v>
      </c>
      <c r="M1038" s="414">
        <f>ROUND(+L1038*C1038,4)</f>
        <v>0</v>
      </c>
      <c r="N1038" s="414"/>
      <c r="O1038" s="414"/>
      <c r="P1038" s="414"/>
      <c r="Q1038" s="419">
        <f>ROUND(+N1038+O1038+P1038,4)</f>
        <v>0</v>
      </c>
      <c r="R1038" s="419">
        <f>ROUND(IF(+Q1038-H1038&lt;=0,0,Q1038-H1038),4)</f>
        <v>0</v>
      </c>
      <c r="S1038" s="423">
        <v>0.5</v>
      </c>
      <c r="T1038" s="419">
        <f>ROUND(+(R1038*C1038)*S1038,4)</f>
        <v>0</v>
      </c>
      <c r="U1038" s="419">
        <f>ROUND(+J1038+M1038+T1038,4)</f>
        <v>0</v>
      </c>
      <c r="V1038" s="235"/>
    </row>
    <row r="1039" spans="1:22" ht="15.75" x14ac:dyDescent="0.25">
      <c r="A1039" s="231"/>
      <c r="B1039" s="232"/>
      <c r="C1039" s="400"/>
      <c r="D1039" s="233"/>
      <c r="E1039" s="405"/>
      <c r="F1039" s="405"/>
      <c r="G1039" s="405"/>
      <c r="H1039" s="408">
        <f>ROUND(+E1039+F1039+G1039,4)</f>
        <v>0</v>
      </c>
      <c r="I1039" s="234"/>
      <c r="J1039" s="411"/>
      <c r="K1039" s="411"/>
      <c r="L1039" s="414">
        <v>0.1</v>
      </c>
      <c r="M1039" s="414">
        <f>ROUND(+L1039*C1039,4)</f>
        <v>0</v>
      </c>
      <c r="N1039" s="414"/>
      <c r="O1039" s="414"/>
      <c r="P1039" s="414"/>
      <c r="Q1039" s="419">
        <f>ROUND(+N1039+O1039+P1039,4)</f>
        <v>0</v>
      </c>
      <c r="R1039" s="419">
        <f>ROUND(IF(+Q1039-H1039&lt;=0,0,Q1039-H1039),4)</f>
        <v>0</v>
      </c>
      <c r="S1039" s="423">
        <v>0.5</v>
      </c>
      <c r="T1039" s="419">
        <f>ROUND(+(R1039*C1039)*S1039,4)</f>
        <v>0</v>
      </c>
      <c r="U1039" s="419">
        <f>ROUND(+J1039+M1039+T1039,4)</f>
        <v>0</v>
      </c>
      <c r="V1039" s="235"/>
    </row>
    <row r="1040" spans="1:22" ht="15.75" x14ac:dyDescent="0.25">
      <c r="A1040" s="231"/>
      <c r="B1040" s="232"/>
      <c r="C1040" s="400"/>
      <c r="D1040" s="233"/>
      <c r="E1040" s="405"/>
      <c r="F1040" s="405"/>
      <c r="G1040" s="405"/>
      <c r="H1040" s="408">
        <f>ROUND(+E1040+F1040+G1040,4)</f>
        <v>0</v>
      </c>
      <c r="I1040" s="234"/>
      <c r="J1040" s="411"/>
      <c r="K1040" s="411"/>
      <c r="L1040" s="414">
        <v>0.1</v>
      </c>
      <c r="M1040" s="414">
        <f>ROUND(+L1040*C1040,4)</f>
        <v>0</v>
      </c>
      <c r="N1040" s="414"/>
      <c r="O1040" s="414"/>
      <c r="P1040" s="414"/>
      <c r="Q1040" s="419">
        <f>ROUND(+N1040+O1040+P1040,4)</f>
        <v>0</v>
      </c>
      <c r="R1040" s="419">
        <f>ROUND(IF(+Q1040-H1040&lt;=0,0,Q1040-H1040),4)</f>
        <v>0</v>
      </c>
      <c r="S1040" s="423">
        <v>0.5</v>
      </c>
      <c r="T1040" s="419">
        <f>ROUND(+(R1040*C1040)*S1040,4)</f>
        <v>0</v>
      </c>
      <c r="U1040" s="419">
        <f>ROUND(+J1040+M1040+T1040,4)</f>
        <v>0</v>
      </c>
      <c r="V1040" s="235"/>
    </row>
    <row r="1041" spans="1:22" ht="15.75" x14ac:dyDescent="0.25">
      <c r="A1041" s="231"/>
      <c r="B1041" s="232"/>
      <c r="C1041" s="400"/>
      <c r="D1041" s="233"/>
      <c r="E1041" s="405"/>
      <c r="F1041" s="405"/>
      <c r="G1041" s="405"/>
      <c r="H1041" s="408">
        <f>ROUND(+E1041+F1041+G1041,4)</f>
        <v>0</v>
      </c>
      <c r="I1041" s="234"/>
      <c r="J1041" s="411"/>
      <c r="K1041" s="411"/>
      <c r="L1041" s="414">
        <v>0.1</v>
      </c>
      <c r="M1041" s="414">
        <f>ROUND(+L1041*C1041,4)</f>
        <v>0</v>
      </c>
      <c r="N1041" s="414"/>
      <c r="O1041" s="414"/>
      <c r="P1041" s="414"/>
      <c r="Q1041" s="419">
        <f>ROUND(+N1041+O1041+P1041,4)</f>
        <v>0</v>
      </c>
      <c r="R1041" s="419">
        <f>ROUND(IF(+Q1041-H1041&lt;=0,0,Q1041-H1041),4)</f>
        <v>0</v>
      </c>
      <c r="S1041" s="423">
        <v>0.5</v>
      </c>
      <c r="T1041" s="419">
        <f>ROUND(+(R1041*C1041)*S1041,4)</f>
        <v>0</v>
      </c>
      <c r="U1041" s="419">
        <f>ROUND(+J1041+M1041+T1041,4)</f>
        <v>0</v>
      </c>
      <c r="V1041" s="235"/>
    </row>
    <row r="1042" spans="1:22" ht="15.75" x14ac:dyDescent="0.25">
      <c r="A1042" s="231"/>
      <c r="B1042" s="232"/>
      <c r="C1042" s="400"/>
      <c r="D1042" s="233"/>
      <c r="E1042" s="405"/>
      <c r="F1042" s="405"/>
      <c r="G1042" s="405"/>
      <c r="H1042" s="408">
        <f>ROUND(+E1042+F1042+G1042,4)</f>
        <v>0</v>
      </c>
      <c r="I1042" s="234"/>
      <c r="J1042" s="411"/>
      <c r="K1042" s="411"/>
      <c r="L1042" s="414">
        <v>0.1</v>
      </c>
      <c r="M1042" s="414">
        <f>ROUND(+L1042*C1042,4)</f>
        <v>0</v>
      </c>
      <c r="N1042" s="414"/>
      <c r="O1042" s="414"/>
      <c r="P1042" s="414"/>
      <c r="Q1042" s="419">
        <f>ROUND(+N1042+O1042+P1042,4)</f>
        <v>0</v>
      </c>
      <c r="R1042" s="419">
        <f>ROUND(IF(+Q1042-H1042&lt;=0,0,Q1042-H1042),4)</f>
        <v>0</v>
      </c>
      <c r="S1042" s="423">
        <v>0.5</v>
      </c>
      <c r="T1042" s="419">
        <f>ROUND(+(R1042*C1042)*S1042,4)</f>
        <v>0</v>
      </c>
      <c r="U1042" s="419">
        <f>ROUND(+J1042+M1042+T1042,4)</f>
        <v>0</v>
      </c>
      <c r="V1042" s="235"/>
    </row>
    <row r="1043" spans="1:22" ht="15.75" x14ac:dyDescent="0.25">
      <c r="A1043" s="231"/>
      <c r="B1043" s="232"/>
      <c r="C1043" s="400"/>
      <c r="D1043" s="233"/>
      <c r="E1043" s="405"/>
      <c r="F1043" s="405"/>
      <c r="G1043" s="405"/>
      <c r="H1043" s="408">
        <f>ROUND(+E1043+F1043+G1043,4)</f>
        <v>0</v>
      </c>
      <c r="I1043" s="234"/>
      <c r="J1043" s="411"/>
      <c r="K1043" s="411"/>
      <c r="L1043" s="414">
        <v>0.1</v>
      </c>
      <c r="M1043" s="414">
        <f>ROUND(+L1043*C1043,4)</f>
        <v>0</v>
      </c>
      <c r="N1043" s="414"/>
      <c r="O1043" s="414"/>
      <c r="P1043" s="414"/>
      <c r="Q1043" s="419">
        <f>ROUND(+N1043+O1043+P1043,4)</f>
        <v>0</v>
      </c>
      <c r="R1043" s="419">
        <f>ROUND(IF(+Q1043-H1043&lt;=0,0,Q1043-H1043),4)</f>
        <v>0</v>
      </c>
      <c r="S1043" s="423">
        <v>0.5</v>
      </c>
      <c r="T1043" s="419">
        <f>ROUND(+(R1043*C1043)*S1043,4)</f>
        <v>0</v>
      </c>
      <c r="U1043" s="419">
        <f>ROUND(+J1043+M1043+T1043,4)</f>
        <v>0</v>
      </c>
      <c r="V1043" s="235"/>
    </row>
    <row r="1044" spans="1:22" ht="15.75" x14ac:dyDescent="0.25">
      <c r="A1044" s="231"/>
      <c r="B1044" s="232"/>
      <c r="C1044" s="400"/>
      <c r="D1044" s="233"/>
      <c r="E1044" s="405"/>
      <c r="F1044" s="405"/>
      <c r="G1044" s="405"/>
      <c r="H1044" s="408">
        <f>ROUND(+E1044+F1044+G1044,4)</f>
        <v>0</v>
      </c>
      <c r="I1044" s="234"/>
      <c r="J1044" s="411"/>
      <c r="K1044" s="411"/>
      <c r="L1044" s="414">
        <v>0.1</v>
      </c>
      <c r="M1044" s="414">
        <f>ROUND(+L1044*C1044,4)</f>
        <v>0</v>
      </c>
      <c r="N1044" s="414"/>
      <c r="O1044" s="414"/>
      <c r="P1044" s="414"/>
      <c r="Q1044" s="419">
        <f>ROUND(+N1044+O1044+P1044,4)</f>
        <v>0</v>
      </c>
      <c r="R1044" s="419">
        <f>ROUND(IF(+Q1044-H1044&lt;=0,0,Q1044-H1044),4)</f>
        <v>0</v>
      </c>
      <c r="S1044" s="423">
        <v>0.5</v>
      </c>
      <c r="T1044" s="419">
        <f>ROUND(+(R1044*C1044)*S1044,4)</f>
        <v>0</v>
      </c>
      <c r="U1044" s="419">
        <f>ROUND(+J1044+M1044+T1044,4)</f>
        <v>0</v>
      </c>
      <c r="V1044" s="235"/>
    </row>
    <row r="1045" spans="1:22" ht="15.75" x14ac:dyDescent="0.25">
      <c r="A1045" s="231"/>
      <c r="B1045" s="232"/>
      <c r="C1045" s="400"/>
      <c r="D1045" s="233"/>
      <c r="E1045" s="405"/>
      <c r="F1045" s="405"/>
      <c r="G1045" s="405"/>
      <c r="H1045" s="408">
        <f>ROUND(+E1045+F1045+G1045,4)</f>
        <v>0</v>
      </c>
      <c r="I1045" s="234"/>
      <c r="J1045" s="411"/>
      <c r="K1045" s="411"/>
      <c r="L1045" s="414">
        <v>0.1</v>
      </c>
      <c r="M1045" s="414">
        <f>ROUND(+L1045*C1045,4)</f>
        <v>0</v>
      </c>
      <c r="N1045" s="414"/>
      <c r="O1045" s="414"/>
      <c r="P1045" s="414"/>
      <c r="Q1045" s="419">
        <f>ROUND(+N1045+O1045+P1045,4)</f>
        <v>0</v>
      </c>
      <c r="R1045" s="419">
        <f>ROUND(IF(+Q1045-H1045&lt;=0,0,Q1045-H1045),4)</f>
        <v>0</v>
      </c>
      <c r="S1045" s="423">
        <v>0.5</v>
      </c>
      <c r="T1045" s="419">
        <f>ROUND(+(R1045*C1045)*S1045,4)</f>
        <v>0</v>
      </c>
      <c r="U1045" s="419">
        <f>ROUND(+J1045+M1045+T1045,4)</f>
        <v>0</v>
      </c>
      <c r="V1045" s="235"/>
    </row>
    <row r="1046" spans="1:22" ht="15.75" x14ac:dyDescent="0.25">
      <c r="A1046" s="231"/>
      <c r="B1046" s="232"/>
      <c r="C1046" s="400"/>
      <c r="D1046" s="233"/>
      <c r="E1046" s="405"/>
      <c r="F1046" s="405"/>
      <c r="G1046" s="405"/>
      <c r="H1046" s="408">
        <f>ROUND(+E1046+F1046+G1046,4)</f>
        <v>0</v>
      </c>
      <c r="I1046" s="234"/>
      <c r="J1046" s="411"/>
      <c r="K1046" s="411"/>
      <c r="L1046" s="414">
        <v>0.1</v>
      </c>
      <c r="M1046" s="414">
        <f>ROUND(+L1046*C1046,4)</f>
        <v>0</v>
      </c>
      <c r="N1046" s="414"/>
      <c r="O1046" s="414"/>
      <c r="P1046" s="414"/>
      <c r="Q1046" s="419">
        <f>ROUND(+N1046+O1046+P1046,4)</f>
        <v>0</v>
      </c>
      <c r="R1046" s="419">
        <f>ROUND(IF(+Q1046-H1046&lt;=0,0,Q1046-H1046),4)</f>
        <v>0</v>
      </c>
      <c r="S1046" s="423">
        <v>0.5</v>
      </c>
      <c r="T1046" s="419">
        <f>ROUND(+(R1046*C1046)*S1046,4)</f>
        <v>0</v>
      </c>
      <c r="U1046" s="419">
        <f>ROUND(+J1046+M1046+T1046,4)</f>
        <v>0</v>
      </c>
      <c r="V1046" s="235"/>
    </row>
    <row r="1047" spans="1:22" ht="15.75" x14ac:dyDescent="0.25">
      <c r="A1047" s="231"/>
      <c r="B1047" s="232"/>
      <c r="C1047" s="400"/>
      <c r="D1047" s="233"/>
      <c r="E1047" s="405"/>
      <c r="F1047" s="405"/>
      <c r="G1047" s="405"/>
      <c r="H1047" s="408">
        <f>ROUND(+E1047+F1047+G1047,4)</f>
        <v>0</v>
      </c>
      <c r="I1047" s="234"/>
      <c r="J1047" s="411"/>
      <c r="K1047" s="411"/>
      <c r="L1047" s="414">
        <v>0.1</v>
      </c>
      <c r="M1047" s="414">
        <f>ROUND(+L1047*C1047,4)</f>
        <v>0</v>
      </c>
      <c r="N1047" s="414"/>
      <c r="O1047" s="414"/>
      <c r="P1047" s="414"/>
      <c r="Q1047" s="419">
        <f>ROUND(+N1047+O1047+P1047,4)</f>
        <v>0</v>
      </c>
      <c r="R1047" s="419">
        <f>ROUND(IF(+Q1047-H1047&lt;=0,0,Q1047-H1047),4)</f>
        <v>0</v>
      </c>
      <c r="S1047" s="423">
        <v>0.5</v>
      </c>
      <c r="T1047" s="419">
        <f>ROUND(+(R1047*C1047)*S1047,4)</f>
        <v>0</v>
      </c>
      <c r="U1047" s="419">
        <f>ROUND(+J1047+M1047+T1047,4)</f>
        <v>0</v>
      </c>
      <c r="V1047" s="235"/>
    </row>
    <row r="1048" spans="1:22" ht="15.75" x14ac:dyDescent="0.25">
      <c r="A1048" s="231"/>
      <c r="B1048" s="232"/>
      <c r="C1048" s="400"/>
      <c r="D1048" s="233"/>
      <c r="E1048" s="405"/>
      <c r="F1048" s="405"/>
      <c r="G1048" s="405"/>
      <c r="H1048" s="408">
        <f>ROUND(+E1048+F1048+G1048,4)</f>
        <v>0</v>
      </c>
      <c r="I1048" s="234"/>
      <c r="J1048" s="411"/>
      <c r="K1048" s="411"/>
      <c r="L1048" s="414">
        <v>0.1</v>
      </c>
      <c r="M1048" s="414">
        <f>ROUND(+L1048*C1048,4)</f>
        <v>0</v>
      </c>
      <c r="N1048" s="414"/>
      <c r="O1048" s="414"/>
      <c r="P1048" s="414"/>
      <c r="Q1048" s="419">
        <f>ROUND(+N1048+O1048+P1048,4)</f>
        <v>0</v>
      </c>
      <c r="R1048" s="419">
        <f>ROUND(IF(+Q1048-H1048&lt;=0,0,Q1048-H1048),4)</f>
        <v>0</v>
      </c>
      <c r="S1048" s="423">
        <v>0.5</v>
      </c>
      <c r="T1048" s="419">
        <f>ROUND(+(R1048*C1048)*S1048,4)</f>
        <v>0</v>
      </c>
      <c r="U1048" s="419">
        <f>ROUND(+J1048+M1048+T1048,4)</f>
        <v>0</v>
      </c>
      <c r="V1048" s="235"/>
    </row>
    <row r="1049" spans="1:22" ht="15.75" x14ac:dyDescent="0.25">
      <c r="A1049" s="231"/>
      <c r="B1049" s="232"/>
      <c r="C1049" s="400"/>
      <c r="D1049" s="233"/>
      <c r="E1049" s="405"/>
      <c r="F1049" s="405"/>
      <c r="G1049" s="405"/>
      <c r="H1049" s="408">
        <f>ROUND(+E1049+F1049+G1049,4)</f>
        <v>0</v>
      </c>
      <c r="I1049" s="234"/>
      <c r="J1049" s="411"/>
      <c r="K1049" s="411"/>
      <c r="L1049" s="414">
        <v>0.1</v>
      </c>
      <c r="M1049" s="414">
        <f>ROUND(+L1049*C1049,4)</f>
        <v>0</v>
      </c>
      <c r="N1049" s="414"/>
      <c r="O1049" s="414"/>
      <c r="P1049" s="414"/>
      <c r="Q1049" s="419">
        <f>ROUND(+N1049+O1049+P1049,4)</f>
        <v>0</v>
      </c>
      <c r="R1049" s="419">
        <f>ROUND(IF(+Q1049-H1049&lt;=0,0,Q1049-H1049),4)</f>
        <v>0</v>
      </c>
      <c r="S1049" s="423">
        <v>0.5</v>
      </c>
      <c r="T1049" s="419">
        <f>ROUND(+(R1049*C1049)*S1049,4)</f>
        <v>0</v>
      </c>
      <c r="U1049" s="419">
        <f>ROUND(+J1049+M1049+T1049,4)</f>
        <v>0</v>
      </c>
      <c r="V1049" s="235"/>
    </row>
    <row r="1050" spans="1:22" ht="15.75" x14ac:dyDescent="0.25">
      <c r="A1050" s="231"/>
      <c r="B1050" s="232"/>
      <c r="C1050" s="400"/>
      <c r="D1050" s="233"/>
      <c r="E1050" s="405"/>
      <c r="F1050" s="405"/>
      <c r="G1050" s="405"/>
      <c r="H1050" s="408">
        <f>ROUND(+E1050+F1050+G1050,4)</f>
        <v>0</v>
      </c>
      <c r="I1050" s="234"/>
      <c r="J1050" s="411"/>
      <c r="K1050" s="411"/>
      <c r="L1050" s="414">
        <v>0.1</v>
      </c>
      <c r="M1050" s="414">
        <f>ROUND(+L1050*C1050,4)</f>
        <v>0</v>
      </c>
      <c r="N1050" s="414"/>
      <c r="O1050" s="414"/>
      <c r="P1050" s="414"/>
      <c r="Q1050" s="419">
        <f>ROUND(+N1050+O1050+P1050,4)</f>
        <v>0</v>
      </c>
      <c r="R1050" s="419">
        <f>ROUND(IF(+Q1050-H1050&lt;=0,0,Q1050-H1050),4)</f>
        <v>0</v>
      </c>
      <c r="S1050" s="423">
        <v>0.5</v>
      </c>
      <c r="T1050" s="419">
        <f>ROUND(+(R1050*C1050)*S1050,4)</f>
        <v>0</v>
      </c>
      <c r="U1050" s="419">
        <f>ROUND(+J1050+M1050+T1050,4)</f>
        <v>0</v>
      </c>
      <c r="V1050" s="235"/>
    </row>
    <row r="1051" spans="1:22" ht="15.75" x14ac:dyDescent="0.25">
      <c r="A1051" s="231"/>
      <c r="B1051" s="232"/>
      <c r="C1051" s="400"/>
      <c r="D1051" s="233"/>
      <c r="E1051" s="405"/>
      <c r="F1051" s="405"/>
      <c r="G1051" s="405"/>
      <c r="H1051" s="408">
        <f>ROUND(+E1051+F1051+G1051,4)</f>
        <v>0</v>
      </c>
      <c r="I1051" s="234"/>
      <c r="J1051" s="411"/>
      <c r="K1051" s="411"/>
      <c r="L1051" s="414">
        <v>0.1</v>
      </c>
      <c r="M1051" s="414">
        <f>ROUND(+L1051*C1051,4)</f>
        <v>0</v>
      </c>
      <c r="N1051" s="414"/>
      <c r="O1051" s="414"/>
      <c r="P1051" s="414"/>
      <c r="Q1051" s="419">
        <f>ROUND(+N1051+O1051+P1051,4)</f>
        <v>0</v>
      </c>
      <c r="R1051" s="419">
        <f>ROUND(IF(+Q1051-H1051&lt;=0,0,Q1051-H1051),4)</f>
        <v>0</v>
      </c>
      <c r="S1051" s="423">
        <v>0.5</v>
      </c>
      <c r="T1051" s="419">
        <f>ROUND(+(R1051*C1051)*S1051,4)</f>
        <v>0</v>
      </c>
      <c r="U1051" s="419">
        <f>ROUND(+J1051+M1051+T1051,4)</f>
        <v>0</v>
      </c>
      <c r="V1051" s="235"/>
    </row>
    <row r="1052" spans="1:22" ht="15.75" x14ac:dyDescent="0.25">
      <c r="A1052" s="231"/>
      <c r="B1052" s="232"/>
      <c r="C1052" s="400"/>
      <c r="D1052" s="233"/>
      <c r="E1052" s="405"/>
      <c r="F1052" s="405"/>
      <c r="G1052" s="405"/>
      <c r="H1052" s="408">
        <f>ROUND(+E1052+F1052+G1052,4)</f>
        <v>0</v>
      </c>
      <c r="I1052" s="234"/>
      <c r="J1052" s="411"/>
      <c r="K1052" s="411"/>
      <c r="L1052" s="414">
        <v>0.1</v>
      </c>
      <c r="M1052" s="414">
        <f>ROUND(+L1052*C1052,4)</f>
        <v>0</v>
      </c>
      <c r="N1052" s="414"/>
      <c r="O1052" s="414"/>
      <c r="P1052" s="414"/>
      <c r="Q1052" s="419">
        <f>ROUND(+N1052+O1052+P1052,4)</f>
        <v>0</v>
      </c>
      <c r="R1052" s="419">
        <f>ROUND(IF(+Q1052-H1052&lt;=0,0,Q1052-H1052),4)</f>
        <v>0</v>
      </c>
      <c r="S1052" s="423">
        <v>0.5</v>
      </c>
      <c r="T1052" s="419">
        <f>ROUND(+(R1052*C1052)*S1052,4)</f>
        <v>0</v>
      </c>
      <c r="U1052" s="419">
        <f>ROUND(+J1052+M1052+T1052,4)</f>
        <v>0</v>
      </c>
      <c r="V1052" s="235"/>
    </row>
    <row r="1053" spans="1:22" ht="15.75" x14ac:dyDescent="0.25">
      <c r="A1053" s="231"/>
      <c r="B1053" s="232"/>
      <c r="C1053" s="400"/>
      <c r="D1053" s="233"/>
      <c r="E1053" s="405"/>
      <c r="F1053" s="405"/>
      <c r="G1053" s="405"/>
      <c r="H1053" s="408">
        <f>ROUND(+E1053+F1053+G1053,4)</f>
        <v>0</v>
      </c>
      <c r="I1053" s="234"/>
      <c r="J1053" s="411"/>
      <c r="K1053" s="411"/>
      <c r="L1053" s="414">
        <v>0.1</v>
      </c>
      <c r="M1053" s="414">
        <f>ROUND(+L1053*C1053,4)</f>
        <v>0</v>
      </c>
      <c r="N1053" s="414"/>
      <c r="O1053" s="414"/>
      <c r="P1053" s="414"/>
      <c r="Q1053" s="419">
        <f>ROUND(+N1053+O1053+P1053,4)</f>
        <v>0</v>
      </c>
      <c r="R1053" s="419">
        <f>ROUND(IF(+Q1053-H1053&lt;=0,0,Q1053-H1053),4)</f>
        <v>0</v>
      </c>
      <c r="S1053" s="423">
        <v>0.5</v>
      </c>
      <c r="T1053" s="419">
        <f>ROUND(+(R1053*C1053)*S1053,4)</f>
        <v>0</v>
      </c>
      <c r="U1053" s="419">
        <f>ROUND(+J1053+M1053+T1053,4)</f>
        <v>0</v>
      </c>
      <c r="V1053" s="235"/>
    </row>
    <row r="1054" spans="1:22" ht="15.75" x14ac:dyDescent="0.25">
      <c r="A1054" s="231"/>
      <c r="B1054" s="232"/>
      <c r="C1054" s="400"/>
      <c r="D1054" s="233"/>
      <c r="E1054" s="405"/>
      <c r="F1054" s="405"/>
      <c r="G1054" s="405"/>
      <c r="H1054" s="408">
        <f>ROUND(+E1054+F1054+G1054,4)</f>
        <v>0</v>
      </c>
      <c r="I1054" s="234"/>
      <c r="J1054" s="411"/>
      <c r="K1054" s="411"/>
      <c r="L1054" s="414">
        <v>0.1</v>
      </c>
      <c r="M1054" s="414">
        <f>ROUND(+L1054*C1054,4)</f>
        <v>0</v>
      </c>
      <c r="N1054" s="414"/>
      <c r="O1054" s="414"/>
      <c r="P1054" s="414"/>
      <c r="Q1054" s="419">
        <f>ROUND(+N1054+O1054+P1054,4)</f>
        <v>0</v>
      </c>
      <c r="R1054" s="419">
        <f>ROUND(IF(+Q1054-H1054&lt;=0,0,Q1054-H1054),4)</f>
        <v>0</v>
      </c>
      <c r="S1054" s="423">
        <v>0.5</v>
      </c>
      <c r="T1054" s="419">
        <f>ROUND(+(R1054*C1054)*S1054,4)</f>
        <v>0</v>
      </c>
      <c r="U1054" s="419">
        <f>ROUND(+J1054+M1054+T1054,4)</f>
        <v>0</v>
      </c>
      <c r="V1054" s="235"/>
    </row>
    <row r="1055" spans="1:22" ht="15.75" x14ac:dyDescent="0.25">
      <c r="A1055" s="231"/>
      <c r="B1055" s="232"/>
      <c r="C1055" s="400"/>
      <c r="D1055" s="233"/>
      <c r="E1055" s="405"/>
      <c r="F1055" s="405"/>
      <c r="G1055" s="405"/>
      <c r="H1055" s="408">
        <f>ROUND(+E1055+F1055+G1055,4)</f>
        <v>0</v>
      </c>
      <c r="I1055" s="234"/>
      <c r="J1055" s="411"/>
      <c r="K1055" s="411"/>
      <c r="L1055" s="414">
        <v>0.1</v>
      </c>
      <c r="M1055" s="414">
        <f>ROUND(+L1055*C1055,4)</f>
        <v>0</v>
      </c>
      <c r="N1055" s="414"/>
      <c r="O1055" s="414"/>
      <c r="P1055" s="414"/>
      <c r="Q1055" s="419">
        <f>ROUND(+N1055+O1055+P1055,4)</f>
        <v>0</v>
      </c>
      <c r="R1055" s="419">
        <f>ROUND(IF(+Q1055-H1055&lt;=0,0,Q1055-H1055),4)</f>
        <v>0</v>
      </c>
      <c r="S1055" s="423">
        <v>0.5</v>
      </c>
      <c r="T1055" s="419">
        <f>ROUND(+(R1055*C1055)*S1055,4)</f>
        <v>0</v>
      </c>
      <c r="U1055" s="419">
        <f>ROUND(+J1055+M1055+T1055,4)</f>
        <v>0</v>
      </c>
      <c r="V1055" s="235"/>
    </row>
    <row r="1056" spans="1:22" ht="15.75" x14ac:dyDescent="0.25">
      <c r="A1056" s="231"/>
      <c r="B1056" s="232"/>
      <c r="C1056" s="400"/>
      <c r="D1056" s="233"/>
      <c r="E1056" s="405"/>
      <c r="F1056" s="405"/>
      <c r="G1056" s="405"/>
      <c r="H1056" s="408">
        <f>ROUND(+E1056+F1056+G1056,4)</f>
        <v>0</v>
      </c>
      <c r="I1056" s="234"/>
      <c r="J1056" s="411"/>
      <c r="K1056" s="411"/>
      <c r="L1056" s="414">
        <v>0.1</v>
      </c>
      <c r="M1056" s="414">
        <f>ROUND(+L1056*C1056,4)</f>
        <v>0</v>
      </c>
      <c r="N1056" s="414"/>
      <c r="O1056" s="414"/>
      <c r="P1056" s="414"/>
      <c r="Q1056" s="419">
        <f>ROUND(+N1056+O1056+P1056,4)</f>
        <v>0</v>
      </c>
      <c r="R1056" s="419">
        <f>ROUND(IF(+Q1056-H1056&lt;=0,0,Q1056-H1056),4)</f>
        <v>0</v>
      </c>
      <c r="S1056" s="423">
        <v>0.5</v>
      </c>
      <c r="T1056" s="419">
        <f>ROUND(+(R1056*C1056)*S1056,4)</f>
        <v>0</v>
      </c>
      <c r="U1056" s="419">
        <f>ROUND(+J1056+M1056+T1056,4)</f>
        <v>0</v>
      </c>
      <c r="V1056" s="235"/>
    </row>
    <row r="1057" spans="1:22" ht="15.75" x14ac:dyDescent="0.25">
      <c r="A1057" s="231"/>
      <c r="B1057" s="232"/>
      <c r="C1057" s="400"/>
      <c r="D1057" s="233"/>
      <c r="E1057" s="405"/>
      <c r="F1057" s="405"/>
      <c r="G1057" s="405"/>
      <c r="H1057" s="408">
        <f>ROUND(+E1057+F1057+G1057,4)</f>
        <v>0</v>
      </c>
      <c r="I1057" s="234"/>
      <c r="J1057" s="411"/>
      <c r="K1057" s="411"/>
      <c r="L1057" s="414">
        <v>0.1</v>
      </c>
      <c r="M1057" s="414">
        <f>ROUND(+L1057*C1057,4)</f>
        <v>0</v>
      </c>
      <c r="N1057" s="414"/>
      <c r="O1057" s="414"/>
      <c r="P1057" s="414"/>
      <c r="Q1057" s="419">
        <f>ROUND(+N1057+O1057+P1057,4)</f>
        <v>0</v>
      </c>
      <c r="R1057" s="419">
        <f>ROUND(IF(+Q1057-H1057&lt;=0,0,Q1057-H1057),4)</f>
        <v>0</v>
      </c>
      <c r="S1057" s="423">
        <v>0.5</v>
      </c>
      <c r="T1057" s="419">
        <f>ROUND(+(R1057*C1057)*S1057,4)</f>
        <v>0</v>
      </c>
      <c r="U1057" s="419">
        <f>ROUND(+J1057+M1057+T1057,4)</f>
        <v>0</v>
      </c>
      <c r="V1057" s="235"/>
    </row>
    <row r="1058" spans="1:22" ht="15.75" x14ac:dyDescent="0.25">
      <c r="A1058" s="231"/>
      <c r="B1058" s="232"/>
      <c r="C1058" s="400"/>
      <c r="D1058" s="233"/>
      <c r="E1058" s="405"/>
      <c r="F1058" s="405"/>
      <c r="G1058" s="405"/>
      <c r="H1058" s="408">
        <f>ROUND(+E1058+F1058+G1058,4)</f>
        <v>0</v>
      </c>
      <c r="I1058" s="234"/>
      <c r="J1058" s="411"/>
      <c r="K1058" s="411"/>
      <c r="L1058" s="414">
        <v>0.1</v>
      </c>
      <c r="M1058" s="414">
        <f>ROUND(+L1058*C1058,4)</f>
        <v>0</v>
      </c>
      <c r="N1058" s="414"/>
      <c r="O1058" s="414"/>
      <c r="P1058" s="414"/>
      <c r="Q1058" s="419">
        <f>ROUND(+N1058+O1058+P1058,4)</f>
        <v>0</v>
      </c>
      <c r="R1058" s="419">
        <f>ROUND(IF(+Q1058-H1058&lt;=0,0,Q1058-H1058),4)</f>
        <v>0</v>
      </c>
      <c r="S1058" s="423">
        <v>0.5</v>
      </c>
      <c r="T1058" s="419">
        <f>ROUND(+(R1058*C1058)*S1058,4)</f>
        <v>0</v>
      </c>
      <c r="U1058" s="419">
        <f>ROUND(+J1058+M1058+T1058,4)</f>
        <v>0</v>
      </c>
      <c r="V1058" s="235"/>
    </row>
    <row r="1059" spans="1:22" ht="15.75" x14ac:dyDescent="0.25">
      <c r="A1059" s="231"/>
      <c r="B1059" s="232"/>
      <c r="C1059" s="400"/>
      <c r="D1059" s="233"/>
      <c r="E1059" s="405"/>
      <c r="F1059" s="405"/>
      <c r="G1059" s="405"/>
      <c r="H1059" s="408">
        <f>ROUND(+E1059+F1059+G1059,4)</f>
        <v>0</v>
      </c>
      <c r="I1059" s="234"/>
      <c r="J1059" s="411"/>
      <c r="K1059" s="411"/>
      <c r="L1059" s="414">
        <v>0.1</v>
      </c>
      <c r="M1059" s="414">
        <f>ROUND(+L1059*C1059,4)</f>
        <v>0</v>
      </c>
      <c r="N1059" s="414"/>
      <c r="O1059" s="414"/>
      <c r="P1059" s="414"/>
      <c r="Q1059" s="419">
        <f>ROUND(+N1059+O1059+P1059,4)</f>
        <v>0</v>
      </c>
      <c r="R1059" s="419">
        <f>ROUND(IF(+Q1059-H1059&lt;=0,0,Q1059-H1059),4)</f>
        <v>0</v>
      </c>
      <c r="S1059" s="423">
        <v>0.5</v>
      </c>
      <c r="T1059" s="419">
        <f>ROUND(+(R1059*C1059)*S1059,4)</f>
        <v>0</v>
      </c>
      <c r="U1059" s="419">
        <f>ROUND(+J1059+M1059+T1059,4)</f>
        <v>0</v>
      </c>
      <c r="V1059" s="235"/>
    </row>
    <row r="1060" spans="1:22" ht="15.75" x14ac:dyDescent="0.25">
      <c r="A1060" s="231"/>
      <c r="B1060" s="232"/>
      <c r="C1060" s="400"/>
      <c r="D1060" s="233"/>
      <c r="E1060" s="405"/>
      <c r="F1060" s="405"/>
      <c r="G1060" s="405"/>
      <c r="H1060" s="408">
        <f>ROUND(+E1060+F1060+G1060,4)</f>
        <v>0</v>
      </c>
      <c r="I1060" s="234"/>
      <c r="J1060" s="411"/>
      <c r="K1060" s="411"/>
      <c r="L1060" s="414">
        <v>0.1</v>
      </c>
      <c r="M1060" s="414">
        <f>ROUND(+L1060*C1060,4)</f>
        <v>0</v>
      </c>
      <c r="N1060" s="414"/>
      <c r="O1060" s="414"/>
      <c r="P1060" s="414"/>
      <c r="Q1060" s="419">
        <f>ROUND(+N1060+O1060+P1060,4)</f>
        <v>0</v>
      </c>
      <c r="R1060" s="419">
        <f>ROUND(IF(+Q1060-H1060&lt;=0,0,Q1060-H1060),4)</f>
        <v>0</v>
      </c>
      <c r="S1060" s="423">
        <v>0.5</v>
      </c>
      <c r="T1060" s="419">
        <f>ROUND(+(R1060*C1060)*S1060,4)</f>
        <v>0</v>
      </c>
      <c r="U1060" s="419">
        <f>ROUND(+J1060+M1060+T1060,4)</f>
        <v>0</v>
      </c>
      <c r="V1060" s="235"/>
    </row>
    <row r="1061" spans="1:22" ht="15.75" x14ac:dyDescent="0.25">
      <c r="A1061" s="231"/>
      <c r="B1061" s="232"/>
      <c r="C1061" s="400"/>
      <c r="D1061" s="233"/>
      <c r="E1061" s="405"/>
      <c r="F1061" s="405"/>
      <c r="G1061" s="405"/>
      <c r="H1061" s="408">
        <f>ROUND(+E1061+F1061+G1061,4)</f>
        <v>0</v>
      </c>
      <c r="I1061" s="234"/>
      <c r="J1061" s="411"/>
      <c r="K1061" s="411"/>
      <c r="L1061" s="414">
        <v>0.1</v>
      </c>
      <c r="M1061" s="414">
        <f>ROUND(+L1061*C1061,4)</f>
        <v>0</v>
      </c>
      <c r="N1061" s="414"/>
      <c r="O1061" s="414"/>
      <c r="P1061" s="414"/>
      <c r="Q1061" s="419">
        <f>ROUND(+N1061+O1061+P1061,4)</f>
        <v>0</v>
      </c>
      <c r="R1061" s="419">
        <f>ROUND(IF(+Q1061-H1061&lt;=0,0,Q1061-H1061),4)</f>
        <v>0</v>
      </c>
      <c r="S1061" s="423">
        <v>0.5</v>
      </c>
      <c r="T1061" s="419">
        <f>ROUND(+(R1061*C1061)*S1061,4)</f>
        <v>0</v>
      </c>
      <c r="U1061" s="419">
        <f>ROUND(+J1061+M1061+T1061,4)</f>
        <v>0</v>
      </c>
      <c r="V1061" s="235"/>
    </row>
    <row r="1062" spans="1:22" ht="15.75" x14ac:dyDescent="0.25">
      <c r="A1062" s="231"/>
      <c r="B1062" s="232"/>
      <c r="C1062" s="400"/>
      <c r="D1062" s="233"/>
      <c r="E1062" s="405"/>
      <c r="F1062" s="405"/>
      <c r="G1062" s="405"/>
      <c r="H1062" s="408">
        <f>ROUND(+E1062+F1062+G1062,4)</f>
        <v>0</v>
      </c>
      <c r="I1062" s="234"/>
      <c r="J1062" s="411"/>
      <c r="K1062" s="411"/>
      <c r="L1062" s="414">
        <v>0.1</v>
      </c>
      <c r="M1062" s="414">
        <f>ROUND(+L1062*C1062,4)</f>
        <v>0</v>
      </c>
      <c r="N1062" s="414"/>
      <c r="O1062" s="414"/>
      <c r="P1062" s="414"/>
      <c r="Q1062" s="419">
        <f>ROUND(+N1062+O1062+P1062,4)</f>
        <v>0</v>
      </c>
      <c r="R1062" s="419">
        <f>ROUND(IF(+Q1062-H1062&lt;=0,0,Q1062-H1062),4)</f>
        <v>0</v>
      </c>
      <c r="S1062" s="423">
        <v>0.5</v>
      </c>
      <c r="T1062" s="419">
        <f>ROUND(+(R1062*C1062)*S1062,4)</f>
        <v>0</v>
      </c>
      <c r="U1062" s="419">
        <f>ROUND(+J1062+M1062+T1062,4)</f>
        <v>0</v>
      </c>
      <c r="V1062" s="235"/>
    </row>
    <row r="1063" spans="1:22" ht="15.75" x14ac:dyDescent="0.25">
      <c r="A1063" s="231"/>
      <c r="B1063" s="232"/>
      <c r="C1063" s="400"/>
      <c r="D1063" s="233"/>
      <c r="E1063" s="405"/>
      <c r="F1063" s="405"/>
      <c r="G1063" s="405"/>
      <c r="H1063" s="408">
        <f>ROUND(+E1063+F1063+G1063,4)</f>
        <v>0</v>
      </c>
      <c r="I1063" s="234"/>
      <c r="J1063" s="411"/>
      <c r="K1063" s="411"/>
      <c r="L1063" s="414">
        <v>0.1</v>
      </c>
      <c r="M1063" s="414">
        <f>ROUND(+L1063*C1063,4)</f>
        <v>0</v>
      </c>
      <c r="N1063" s="414"/>
      <c r="O1063" s="414"/>
      <c r="P1063" s="414"/>
      <c r="Q1063" s="419">
        <f>ROUND(+N1063+O1063+P1063,4)</f>
        <v>0</v>
      </c>
      <c r="R1063" s="419">
        <f>ROUND(IF(+Q1063-H1063&lt;=0,0,Q1063-H1063),4)</f>
        <v>0</v>
      </c>
      <c r="S1063" s="423">
        <v>0.5</v>
      </c>
      <c r="T1063" s="419">
        <f>ROUND(+(R1063*C1063)*S1063,4)</f>
        <v>0</v>
      </c>
      <c r="U1063" s="419">
        <f>ROUND(+J1063+M1063+T1063,4)</f>
        <v>0</v>
      </c>
      <c r="V1063" s="235"/>
    </row>
    <row r="1064" spans="1:22" ht="15.75" x14ac:dyDescent="0.25">
      <c r="A1064" s="231"/>
      <c r="B1064" s="232"/>
      <c r="C1064" s="400"/>
      <c r="D1064" s="233"/>
      <c r="E1064" s="405"/>
      <c r="F1064" s="405"/>
      <c r="G1064" s="405"/>
      <c r="H1064" s="408">
        <f>ROUND(+E1064+F1064+G1064,4)</f>
        <v>0</v>
      </c>
      <c r="I1064" s="234"/>
      <c r="J1064" s="411"/>
      <c r="K1064" s="411"/>
      <c r="L1064" s="414">
        <v>0.1</v>
      </c>
      <c r="M1064" s="414">
        <f>ROUND(+L1064*C1064,4)</f>
        <v>0</v>
      </c>
      <c r="N1064" s="414"/>
      <c r="O1064" s="414"/>
      <c r="P1064" s="414"/>
      <c r="Q1064" s="419">
        <f>ROUND(+N1064+O1064+P1064,4)</f>
        <v>0</v>
      </c>
      <c r="R1064" s="419">
        <f>ROUND(IF(+Q1064-H1064&lt;=0,0,Q1064-H1064),4)</f>
        <v>0</v>
      </c>
      <c r="S1064" s="423">
        <v>0.5</v>
      </c>
      <c r="T1064" s="419">
        <f>ROUND(+(R1064*C1064)*S1064,4)</f>
        <v>0</v>
      </c>
      <c r="U1064" s="419">
        <f>ROUND(+J1064+M1064+T1064,4)</f>
        <v>0</v>
      </c>
      <c r="V1064" s="235"/>
    </row>
    <row r="1065" spans="1:22" ht="15.75" x14ac:dyDescent="0.25">
      <c r="A1065" s="231"/>
      <c r="B1065" s="232"/>
      <c r="C1065" s="400"/>
      <c r="D1065" s="233"/>
      <c r="E1065" s="405"/>
      <c r="F1065" s="405"/>
      <c r="G1065" s="405"/>
      <c r="H1065" s="408">
        <f>ROUND(+E1065+F1065+G1065,4)</f>
        <v>0</v>
      </c>
      <c r="I1065" s="234"/>
      <c r="J1065" s="411"/>
      <c r="K1065" s="411"/>
      <c r="L1065" s="414">
        <v>0.1</v>
      </c>
      <c r="M1065" s="414">
        <f>ROUND(+L1065*C1065,4)</f>
        <v>0</v>
      </c>
      <c r="N1065" s="414"/>
      <c r="O1065" s="414"/>
      <c r="P1065" s="414"/>
      <c r="Q1065" s="419">
        <f>ROUND(+N1065+O1065+P1065,4)</f>
        <v>0</v>
      </c>
      <c r="R1065" s="419">
        <f>ROUND(IF(+Q1065-H1065&lt;=0,0,Q1065-H1065),4)</f>
        <v>0</v>
      </c>
      <c r="S1065" s="423">
        <v>0.5</v>
      </c>
      <c r="T1065" s="419">
        <f>ROUND(+(R1065*C1065)*S1065,4)</f>
        <v>0</v>
      </c>
      <c r="U1065" s="419">
        <f>ROUND(+J1065+M1065+T1065,4)</f>
        <v>0</v>
      </c>
      <c r="V1065" s="235"/>
    </row>
    <row r="1066" spans="1:22" ht="15.75" x14ac:dyDescent="0.25">
      <c r="A1066" s="231"/>
      <c r="B1066" s="232"/>
      <c r="C1066" s="400"/>
      <c r="D1066" s="233"/>
      <c r="E1066" s="405"/>
      <c r="F1066" s="405"/>
      <c r="G1066" s="405"/>
      <c r="H1066" s="408">
        <f>ROUND(+E1066+F1066+G1066,4)</f>
        <v>0</v>
      </c>
      <c r="I1066" s="234"/>
      <c r="J1066" s="411"/>
      <c r="K1066" s="411"/>
      <c r="L1066" s="414">
        <v>0.1</v>
      </c>
      <c r="M1066" s="414">
        <f>ROUND(+L1066*C1066,4)</f>
        <v>0</v>
      </c>
      <c r="N1066" s="414"/>
      <c r="O1066" s="414"/>
      <c r="P1066" s="414"/>
      <c r="Q1066" s="419">
        <f>ROUND(+N1066+O1066+P1066,4)</f>
        <v>0</v>
      </c>
      <c r="R1066" s="419">
        <f>ROUND(IF(+Q1066-H1066&lt;=0,0,Q1066-H1066),4)</f>
        <v>0</v>
      </c>
      <c r="S1066" s="423">
        <v>0.5</v>
      </c>
      <c r="T1066" s="419">
        <f>ROUND(+(R1066*C1066)*S1066,4)</f>
        <v>0</v>
      </c>
      <c r="U1066" s="419">
        <f>ROUND(+J1066+M1066+T1066,4)</f>
        <v>0</v>
      </c>
      <c r="V1066" s="235"/>
    </row>
    <row r="1067" spans="1:22" ht="15.75" x14ac:dyDescent="0.25">
      <c r="A1067" s="231"/>
      <c r="B1067" s="232"/>
      <c r="C1067" s="400"/>
      <c r="D1067" s="233"/>
      <c r="E1067" s="405"/>
      <c r="F1067" s="405"/>
      <c r="G1067" s="405"/>
      <c r="H1067" s="408">
        <f>ROUND(+E1067+F1067+G1067,4)</f>
        <v>0</v>
      </c>
      <c r="I1067" s="234"/>
      <c r="J1067" s="411"/>
      <c r="K1067" s="411"/>
      <c r="L1067" s="414">
        <v>0.1</v>
      </c>
      <c r="M1067" s="414">
        <f>ROUND(+L1067*C1067,4)</f>
        <v>0</v>
      </c>
      <c r="N1067" s="414"/>
      <c r="O1067" s="414"/>
      <c r="P1067" s="414"/>
      <c r="Q1067" s="419">
        <f>ROUND(+N1067+O1067+P1067,4)</f>
        <v>0</v>
      </c>
      <c r="R1067" s="419">
        <f>ROUND(IF(+Q1067-H1067&lt;=0,0,Q1067-H1067),4)</f>
        <v>0</v>
      </c>
      <c r="S1067" s="423">
        <v>0.5</v>
      </c>
      <c r="T1067" s="419">
        <f>ROUND(+(R1067*C1067)*S1067,4)</f>
        <v>0</v>
      </c>
      <c r="U1067" s="419">
        <f>ROUND(+J1067+M1067+T1067,4)</f>
        <v>0</v>
      </c>
      <c r="V1067" s="235"/>
    </row>
    <row r="1068" spans="1:22" ht="15.75" x14ac:dyDescent="0.25">
      <c r="A1068" s="231"/>
      <c r="B1068" s="232"/>
      <c r="C1068" s="400"/>
      <c r="D1068" s="233"/>
      <c r="E1068" s="405"/>
      <c r="F1068" s="405"/>
      <c r="G1068" s="405"/>
      <c r="H1068" s="408">
        <f>ROUND(+E1068+F1068+G1068,4)</f>
        <v>0</v>
      </c>
      <c r="I1068" s="234"/>
      <c r="J1068" s="411"/>
      <c r="K1068" s="411"/>
      <c r="L1068" s="414">
        <v>0.1</v>
      </c>
      <c r="M1068" s="414">
        <f>ROUND(+L1068*C1068,4)</f>
        <v>0</v>
      </c>
      <c r="N1068" s="414"/>
      <c r="O1068" s="414"/>
      <c r="P1068" s="414"/>
      <c r="Q1068" s="419">
        <f>ROUND(+N1068+O1068+P1068,4)</f>
        <v>0</v>
      </c>
      <c r="R1068" s="419">
        <f>ROUND(IF(+Q1068-H1068&lt;=0,0,Q1068-H1068),4)</f>
        <v>0</v>
      </c>
      <c r="S1068" s="423">
        <v>0.5</v>
      </c>
      <c r="T1068" s="419">
        <f>ROUND(+(R1068*C1068)*S1068,4)</f>
        <v>0</v>
      </c>
      <c r="U1068" s="419">
        <f>ROUND(+J1068+M1068+T1068,4)</f>
        <v>0</v>
      </c>
      <c r="V1068" s="235"/>
    </row>
    <row r="1069" spans="1:22" ht="15.75" x14ac:dyDescent="0.25">
      <c r="A1069" s="231"/>
      <c r="B1069" s="232"/>
      <c r="C1069" s="400"/>
      <c r="D1069" s="233"/>
      <c r="E1069" s="405"/>
      <c r="F1069" s="405"/>
      <c r="G1069" s="405"/>
      <c r="H1069" s="408">
        <f>ROUND(+E1069+F1069+G1069,4)</f>
        <v>0</v>
      </c>
      <c r="I1069" s="234"/>
      <c r="J1069" s="411"/>
      <c r="K1069" s="411"/>
      <c r="L1069" s="414">
        <v>0.1</v>
      </c>
      <c r="M1069" s="414">
        <f>ROUND(+L1069*C1069,4)</f>
        <v>0</v>
      </c>
      <c r="N1069" s="414"/>
      <c r="O1069" s="414"/>
      <c r="P1069" s="414"/>
      <c r="Q1069" s="419">
        <f>ROUND(+N1069+O1069+P1069,4)</f>
        <v>0</v>
      </c>
      <c r="R1069" s="419">
        <f>ROUND(IF(+Q1069-H1069&lt;=0,0,Q1069-H1069),4)</f>
        <v>0</v>
      </c>
      <c r="S1069" s="423">
        <v>0.5</v>
      </c>
      <c r="T1069" s="419">
        <f>ROUND(+(R1069*C1069)*S1069,4)</f>
        <v>0</v>
      </c>
      <c r="U1069" s="419">
        <f>ROUND(+J1069+M1069+T1069,4)</f>
        <v>0</v>
      </c>
      <c r="V1069" s="235"/>
    </row>
    <row r="1070" spans="1:22" ht="15.75" x14ac:dyDescent="0.25">
      <c r="A1070" s="231"/>
      <c r="B1070" s="232"/>
      <c r="C1070" s="400"/>
      <c r="D1070" s="233"/>
      <c r="E1070" s="405"/>
      <c r="F1070" s="405"/>
      <c r="G1070" s="405"/>
      <c r="H1070" s="408">
        <f>ROUND(+E1070+F1070+G1070,4)</f>
        <v>0</v>
      </c>
      <c r="I1070" s="234"/>
      <c r="J1070" s="411"/>
      <c r="K1070" s="411"/>
      <c r="L1070" s="414">
        <v>0.1</v>
      </c>
      <c r="M1070" s="414">
        <f>ROUND(+L1070*C1070,4)</f>
        <v>0</v>
      </c>
      <c r="N1070" s="414"/>
      <c r="O1070" s="414"/>
      <c r="P1070" s="414"/>
      <c r="Q1070" s="419">
        <f>ROUND(+N1070+O1070+P1070,4)</f>
        <v>0</v>
      </c>
      <c r="R1070" s="419">
        <f>ROUND(IF(+Q1070-H1070&lt;=0,0,Q1070-H1070),4)</f>
        <v>0</v>
      </c>
      <c r="S1070" s="423">
        <v>0.5</v>
      </c>
      <c r="T1070" s="419">
        <f>ROUND(+(R1070*C1070)*S1070,4)</f>
        <v>0</v>
      </c>
      <c r="U1070" s="419">
        <f>ROUND(+J1070+M1070+T1070,4)</f>
        <v>0</v>
      </c>
      <c r="V1070" s="235"/>
    </row>
    <row r="1071" spans="1:22" ht="15.75" x14ac:dyDescent="0.25">
      <c r="A1071" s="231"/>
      <c r="B1071" s="232"/>
      <c r="C1071" s="400"/>
      <c r="D1071" s="233"/>
      <c r="E1071" s="405"/>
      <c r="F1071" s="405"/>
      <c r="G1071" s="405"/>
      <c r="H1071" s="408">
        <f>ROUND(+E1071+F1071+G1071,4)</f>
        <v>0</v>
      </c>
      <c r="I1071" s="234"/>
      <c r="J1071" s="411"/>
      <c r="K1071" s="411"/>
      <c r="L1071" s="414">
        <v>0.1</v>
      </c>
      <c r="M1071" s="414">
        <f>ROUND(+L1071*C1071,4)</f>
        <v>0</v>
      </c>
      <c r="N1071" s="414"/>
      <c r="O1071" s="414"/>
      <c r="P1071" s="414"/>
      <c r="Q1071" s="419">
        <f>ROUND(+N1071+O1071+P1071,4)</f>
        <v>0</v>
      </c>
      <c r="R1071" s="419">
        <f>ROUND(IF(+Q1071-H1071&lt;=0,0,Q1071-H1071),4)</f>
        <v>0</v>
      </c>
      <c r="S1071" s="423">
        <v>0.5</v>
      </c>
      <c r="T1071" s="419">
        <f>ROUND(+(R1071*C1071)*S1071,4)</f>
        <v>0</v>
      </c>
      <c r="U1071" s="419">
        <f>ROUND(+J1071+M1071+T1071,4)</f>
        <v>0</v>
      </c>
      <c r="V1071" s="235"/>
    </row>
    <row r="1072" spans="1:22" ht="15.75" x14ac:dyDescent="0.25">
      <c r="A1072" s="231"/>
      <c r="B1072" s="232"/>
      <c r="C1072" s="400"/>
      <c r="D1072" s="233"/>
      <c r="E1072" s="405"/>
      <c r="F1072" s="405"/>
      <c r="G1072" s="405"/>
      <c r="H1072" s="408">
        <f>ROUND(+E1072+F1072+G1072,4)</f>
        <v>0</v>
      </c>
      <c r="I1072" s="234"/>
      <c r="J1072" s="411"/>
      <c r="K1072" s="411"/>
      <c r="L1072" s="414">
        <v>0.1</v>
      </c>
      <c r="M1072" s="414">
        <f>ROUND(+L1072*C1072,4)</f>
        <v>0</v>
      </c>
      <c r="N1072" s="414"/>
      <c r="O1072" s="414"/>
      <c r="P1072" s="414"/>
      <c r="Q1072" s="419">
        <f>ROUND(+N1072+O1072+P1072,4)</f>
        <v>0</v>
      </c>
      <c r="R1072" s="419">
        <f>ROUND(IF(+Q1072-H1072&lt;=0,0,Q1072-H1072),4)</f>
        <v>0</v>
      </c>
      <c r="S1072" s="423">
        <v>0.5</v>
      </c>
      <c r="T1072" s="419">
        <f>ROUND(+(R1072*C1072)*S1072,4)</f>
        <v>0</v>
      </c>
      <c r="U1072" s="419">
        <f>ROUND(+J1072+M1072+T1072,4)</f>
        <v>0</v>
      </c>
      <c r="V1072" s="235"/>
    </row>
    <row r="1073" spans="1:22" ht="15.75" x14ac:dyDescent="0.25">
      <c r="A1073" s="231"/>
      <c r="B1073" s="232"/>
      <c r="C1073" s="400"/>
      <c r="D1073" s="233"/>
      <c r="E1073" s="405"/>
      <c r="F1073" s="405"/>
      <c r="G1073" s="405"/>
      <c r="H1073" s="408">
        <f>ROUND(+E1073+F1073+G1073,4)</f>
        <v>0</v>
      </c>
      <c r="I1073" s="234"/>
      <c r="J1073" s="411"/>
      <c r="K1073" s="411"/>
      <c r="L1073" s="414">
        <v>0.1</v>
      </c>
      <c r="M1073" s="414">
        <f>ROUND(+L1073*C1073,4)</f>
        <v>0</v>
      </c>
      <c r="N1073" s="414"/>
      <c r="O1073" s="414"/>
      <c r="P1073" s="414"/>
      <c r="Q1073" s="419">
        <f>ROUND(+N1073+O1073+P1073,4)</f>
        <v>0</v>
      </c>
      <c r="R1073" s="419">
        <f>ROUND(IF(+Q1073-H1073&lt;=0,0,Q1073-H1073),4)</f>
        <v>0</v>
      </c>
      <c r="S1073" s="423">
        <v>0.5</v>
      </c>
      <c r="T1073" s="419">
        <f>ROUND(+(R1073*C1073)*S1073,4)</f>
        <v>0</v>
      </c>
      <c r="U1073" s="419">
        <f>ROUND(+J1073+M1073+T1073,4)</f>
        <v>0</v>
      </c>
      <c r="V1073" s="235"/>
    </row>
    <row r="1074" spans="1:22" ht="15.75" x14ac:dyDescent="0.25">
      <c r="A1074" s="231"/>
      <c r="B1074" s="232"/>
      <c r="C1074" s="400"/>
      <c r="D1074" s="233"/>
      <c r="E1074" s="405"/>
      <c r="F1074" s="405"/>
      <c r="G1074" s="405"/>
      <c r="H1074" s="408">
        <f>ROUND(+E1074+F1074+G1074,4)</f>
        <v>0</v>
      </c>
      <c r="I1074" s="234"/>
      <c r="J1074" s="411"/>
      <c r="K1074" s="411"/>
      <c r="L1074" s="414">
        <v>0.1</v>
      </c>
      <c r="M1074" s="414">
        <f>ROUND(+L1074*C1074,4)</f>
        <v>0</v>
      </c>
      <c r="N1074" s="414"/>
      <c r="O1074" s="414"/>
      <c r="P1074" s="414"/>
      <c r="Q1074" s="419">
        <f>ROUND(+N1074+O1074+P1074,4)</f>
        <v>0</v>
      </c>
      <c r="R1074" s="419">
        <f>ROUND(IF(+Q1074-H1074&lt;=0,0,Q1074-H1074),4)</f>
        <v>0</v>
      </c>
      <c r="S1074" s="423">
        <v>0.5</v>
      </c>
      <c r="T1074" s="419">
        <f>ROUND(+(R1074*C1074)*S1074,4)</f>
        <v>0</v>
      </c>
      <c r="U1074" s="419">
        <f>ROUND(+J1074+M1074+T1074,4)</f>
        <v>0</v>
      </c>
      <c r="V1074" s="235"/>
    </row>
    <row r="1075" spans="1:22" ht="15.75" x14ac:dyDescent="0.25">
      <c r="A1075" s="231"/>
      <c r="B1075" s="232"/>
      <c r="C1075" s="400"/>
      <c r="D1075" s="233"/>
      <c r="E1075" s="405"/>
      <c r="F1075" s="405"/>
      <c r="G1075" s="405"/>
      <c r="H1075" s="408">
        <f>ROUND(+E1075+F1075+G1075,4)</f>
        <v>0</v>
      </c>
      <c r="I1075" s="234"/>
      <c r="J1075" s="411"/>
      <c r="K1075" s="411"/>
      <c r="L1075" s="414">
        <v>0.1</v>
      </c>
      <c r="M1075" s="414">
        <f>ROUND(+L1075*C1075,4)</f>
        <v>0</v>
      </c>
      <c r="N1075" s="414"/>
      <c r="O1075" s="414"/>
      <c r="P1075" s="414"/>
      <c r="Q1075" s="419">
        <f>ROUND(+N1075+O1075+P1075,4)</f>
        <v>0</v>
      </c>
      <c r="R1075" s="419">
        <f>ROUND(IF(+Q1075-H1075&lt;=0,0,Q1075-H1075),4)</f>
        <v>0</v>
      </c>
      <c r="S1075" s="423">
        <v>0.5</v>
      </c>
      <c r="T1075" s="419">
        <f>ROUND(+(R1075*C1075)*S1075,4)</f>
        <v>0</v>
      </c>
      <c r="U1075" s="419">
        <f>ROUND(+J1075+M1075+T1075,4)</f>
        <v>0</v>
      </c>
      <c r="V1075" s="235"/>
    </row>
    <row r="1076" spans="1:22" ht="15.75" x14ac:dyDescent="0.25">
      <c r="A1076" s="231"/>
      <c r="B1076" s="232"/>
      <c r="C1076" s="400"/>
      <c r="D1076" s="233"/>
      <c r="E1076" s="405"/>
      <c r="F1076" s="405"/>
      <c r="G1076" s="405"/>
      <c r="H1076" s="408">
        <f>ROUND(+E1076+F1076+G1076,4)</f>
        <v>0</v>
      </c>
      <c r="I1076" s="234"/>
      <c r="J1076" s="411"/>
      <c r="K1076" s="411"/>
      <c r="L1076" s="414">
        <v>0.1</v>
      </c>
      <c r="M1076" s="414">
        <f>ROUND(+L1076*C1076,4)</f>
        <v>0</v>
      </c>
      <c r="N1076" s="414"/>
      <c r="O1076" s="414"/>
      <c r="P1076" s="414"/>
      <c r="Q1076" s="419">
        <f>ROUND(+N1076+O1076+P1076,4)</f>
        <v>0</v>
      </c>
      <c r="R1076" s="419">
        <f>ROUND(IF(+Q1076-H1076&lt;=0,0,Q1076-H1076),4)</f>
        <v>0</v>
      </c>
      <c r="S1076" s="423">
        <v>0.5</v>
      </c>
      <c r="T1076" s="419">
        <f>ROUND(+(R1076*C1076)*S1076,4)</f>
        <v>0</v>
      </c>
      <c r="U1076" s="419">
        <f>ROUND(+J1076+M1076+T1076,4)</f>
        <v>0</v>
      </c>
      <c r="V1076" s="235"/>
    </row>
    <row r="1077" spans="1:22" ht="15.75" x14ac:dyDescent="0.25">
      <c r="A1077" s="231"/>
      <c r="B1077" s="232"/>
      <c r="C1077" s="400"/>
      <c r="D1077" s="233"/>
      <c r="E1077" s="405"/>
      <c r="F1077" s="405"/>
      <c r="G1077" s="405"/>
      <c r="H1077" s="408">
        <f>ROUND(+E1077+F1077+G1077,4)</f>
        <v>0</v>
      </c>
      <c r="I1077" s="234"/>
      <c r="J1077" s="411"/>
      <c r="K1077" s="411"/>
      <c r="L1077" s="414">
        <v>0.1</v>
      </c>
      <c r="M1077" s="414">
        <f>ROUND(+L1077*C1077,4)</f>
        <v>0</v>
      </c>
      <c r="N1077" s="414"/>
      <c r="O1077" s="414"/>
      <c r="P1077" s="414"/>
      <c r="Q1077" s="419">
        <f>ROUND(+N1077+O1077+P1077,4)</f>
        <v>0</v>
      </c>
      <c r="R1077" s="419">
        <f>ROUND(IF(+Q1077-H1077&lt;=0,0,Q1077-H1077),4)</f>
        <v>0</v>
      </c>
      <c r="S1077" s="423">
        <v>0.5</v>
      </c>
      <c r="T1077" s="419">
        <f>ROUND(+(R1077*C1077)*S1077,4)</f>
        <v>0</v>
      </c>
      <c r="U1077" s="419">
        <f>ROUND(+J1077+M1077+T1077,4)</f>
        <v>0</v>
      </c>
      <c r="V1077" s="235"/>
    </row>
    <row r="1078" spans="1:22" ht="15.75" x14ac:dyDescent="0.25">
      <c r="A1078" s="231"/>
      <c r="B1078" s="232"/>
      <c r="C1078" s="400"/>
      <c r="D1078" s="233"/>
      <c r="E1078" s="405"/>
      <c r="F1078" s="405"/>
      <c r="G1078" s="405"/>
      <c r="H1078" s="408">
        <f>ROUND(+E1078+F1078+G1078,4)</f>
        <v>0</v>
      </c>
      <c r="I1078" s="234"/>
      <c r="J1078" s="411"/>
      <c r="K1078" s="411"/>
      <c r="L1078" s="414">
        <v>0.1</v>
      </c>
      <c r="M1078" s="414">
        <f>ROUND(+L1078*C1078,4)</f>
        <v>0</v>
      </c>
      <c r="N1078" s="414"/>
      <c r="O1078" s="414"/>
      <c r="P1078" s="414"/>
      <c r="Q1078" s="419">
        <f>ROUND(+N1078+O1078+P1078,4)</f>
        <v>0</v>
      </c>
      <c r="R1078" s="419">
        <f>ROUND(IF(+Q1078-H1078&lt;=0,0,Q1078-H1078),4)</f>
        <v>0</v>
      </c>
      <c r="S1078" s="423">
        <v>0.5</v>
      </c>
      <c r="T1078" s="419">
        <f>ROUND(+(R1078*C1078)*S1078,4)</f>
        <v>0</v>
      </c>
      <c r="U1078" s="419">
        <f>ROUND(+J1078+M1078+T1078,4)</f>
        <v>0</v>
      </c>
      <c r="V1078" s="235"/>
    </row>
    <row r="1079" spans="1:22" ht="15.75" x14ac:dyDescent="0.25">
      <c r="A1079" s="231"/>
      <c r="B1079" s="232"/>
      <c r="C1079" s="400"/>
      <c r="D1079" s="233"/>
      <c r="E1079" s="405"/>
      <c r="F1079" s="405"/>
      <c r="G1079" s="405"/>
      <c r="H1079" s="408">
        <f>ROUND(+E1079+F1079+G1079,4)</f>
        <v>0</v>
      </c>
      <c r="I1079" s="234"/>
      <c r="J1079" s="411"/>
      <c r="K1079" s="411"/>
      <c r="L1079" s="414">
        <v>0.1</v>
      </c>
      <c r="M1079" s="414">
        <f>ROUND(+L1079*C1079,4)</f>
        <v>0</v>
      </c>
      <c r="N1079" s="414"/>
      <c r="O1079" s="414"/>
      <c r="P1079" s="414"/>
      <c r="Q1079" s="419">
        <f>ROUND(+N1079+O1079+P1079,4)</f>
        <v>0</v>
      </c>
      <c r="R1079" s="419">
        <f>ROUND(IF(+Q1079-H1079&lt;=0,0,Q1079-H1079),4)</f>
        <v>0</v>
      </c>
      <c r="S1079" s="423">
        <v>0.5</v>
      </c>
      <c r="T1079" s="419">
        <f>ROUND(+(R1079*C1079)*S1079,4)</f>
        <v>0</v>
      </c>
      <c r="U1079" s="419">
        <f>ROUND(+J1079+M1079+T1079,4)</f>
        <v>0</v>
      </c>
      <c r="V1079" s="235"/>
    </row>
    <row r="1080" spans="1:22" ht="15.75" x14ac:dyDescent="0.25">
      <c r="A1080" s="231"/>
      <c r="B1080" s="232"/>
      <c r="C1080" s="400"/>
      <c r="D1080" s="233"/>
      <c r="E1080" s="405"/>
      <c r="F1080" s="405"/>
      <c r="G1080" s="405"/>
      <c r="H1080" s="408">
        <f>ROUND(+E1080+F1080+G1080,4)</f>
        <v>0</v>
      </c>
      <c r="I1080" s="234"/>
      <c r="J1080" s="411"/>
      <c r="K1080" s="411"/>
      <c r="L1080" s="414">
        <v>0.1</v>
      </c>
      <c r="M1080" s="414">
        <f>ROUND(+L1080*C1080,4)</f>
        <v>0</v>
      </c>
      <c r="N1080" s="414"/>
      <c r="O1080" s="414"/>
      <c r="P1080" s="414"/>
      <c r="Q1080" s="419">
        <f>ROUND(+N1080+O1080+P1080,4)</f>
        <v>0</v>
      </c>
      <c r="R1080" s="419">
        <f>ROUND(IF(+Q1080-H1080&lt;=0,0,Q1080-H1080),4)</f>
        <v>0</v>
      </c>
      <c r="S1080" s="423">
        <v>0.5</v>
      </c>
      <c r="T1080" s="419">
        <f>ROUND(+(R1080*C1080)*S1080,4)</f>
        <v>0</v>
      </c>
      <c r="U1080" s="419">
        <f>ROUND(+J1080+M1080+T1080,4)</f>
        <v>0</v>
      </c>
      <c r="V1080" s="235"/>
    </row>
    <row r="1081" spans="1:22" ht="15.75" x14ac:dyDescent="0.25">
      <c r="A1081" s="231"/>
      <c r="B1081" s="232"/>
      <c r="C1081" s="400"/>
      <c r="D1081" s="233"/>
      <c r="E1081" s="405"/>
      <c r="F1081" s="405"/>
      <c r="G1081" s="405"/>
      <c r="H1081" s="408">
        <f>ROUND(+E1081+F1081+G1081,4)</f>
        <v>0</v>
      </c>
      <c r="I1081" s="234"/>
      <c r="J1081" s="411"/>
      <c r="K1081" s="411"/>
      <c r="L1081" s="414">
        <v>0.1</v>
      </c>
      <c r="M1081" s="414">
        <f>ROUND(+L1081*C1081,4)</f>
        <v>0</v>
      </c>
      <c r="N1081" s="414"/>
      <c r="O1081" s="414"/>
      <c r="P1081" s="414"/>
      <c r="Q1081" s="419">
        <f>ROUND(+N1081+O1081+P1081,4)</f>
        <v>0</v>
      </c>
      <c r="R1081" s="419">
        <f>ROUND(IF(+Q1081-H1081&lt;=0,0,Q1081-H1081),4)</f>
        <v>0</v>
      </c>
      <c r="S1081" s="423">
        <v>0.5</v>
      </c>
      <c r="T1081" s="419">
        <f>ROUND(+(R1081*C1081)*S1081,4)</f>
        <v>0</v>
      </c>
      <c r="U1081" s="419">
        <f>ROUND(+J1081+M1081+T1081,4)</f>
        <v>0</v>
      </c>
      <c r="V1081" s="235"/>
    </row>
    <row r="1082" spans="1:22" ht="15.75" x14ac:dyDescent="0.25">
      <c r="A1082" s="231"/>
      <c r="B1082" s="232"/>
      <c r="C1082" s="400"/>
      <c r="D1082" s="233"/>
      <c r="E1082" s="405"/>
      <c r="F1082" s="405"/>
      <c r="G1082" s="405"/>
      <c r="H1082" s="408">
        <f>ROUND(+E1082+F1082+G1082,4)</f>
        <v>0</v>
      </c>
      <c r="I1082" s="234"/>
      <c r="J1082" s="411"/>
      <c r="K1082" s="411"/>
      <c r="L1082" s="414">
        <v>0.1</v>
      </c>
      <c r="M1082" s="414">
        <f>ROUND(+L1082*C1082,4)</f>
        <v>0</v>
      </c>
      <c r="N1082" s="414"/>
      <c r="O1082" s="414"/>
      <c r="P1082" s="414"/>
      <c r="Q1082" s="419">
        <f>ROUND(+N1082+O1082+P1082,4)</f>
        <v>0</v>
      </c>
      <c r="R1082" s="419">
        <f>ROUND(IF(+Q1082-H1082&lt;=0,0,Q1082-H1082),4)</f>
        <v>0</v>
      </c>
      <c r="S1082" s="423">
        <v>0.5</v>
      </c>
      <c r="T1082" s="419">
        <f>ROUND(+(R1082*C1082)*S1082,4)</f>
        <v>0</v>
      </c>
      <c r="U1082" s="419">
        <f>ROUND(+J1082+M1082+T1082,4)</f>
        <v>0</v>
      </c>
      <c r="V1082" s="235"/>
    </row>
    <row r="1083" spans="1:22" ht="15.75" x14ac:dyDescent="0.25">
      <c r="A1083" s="231"/>
      <c r="B1083" s="232"/>
      <c r="C1083" s="400"/>
      <c r="D1083" s="233"/>
      <c r="E1083" s="405"/>
      <c r="F1083" s="405"/>
      <c r="G1083" s="405"/>
      <c r="H1083" s="408">
        <f>ROUND(+E1083+F1083+G1083,4)</f>
        <v>0</v>
      </c>
      <c r="I1083" s="234"/>
      <c r="J1083" s="411"/>
      <c r="K1083" s="411"/>
      <c r="L1083" s="414">
        <v>0.1</v>
      </c>
      <c r="M1083" s="414">
        <f>ROUND(+L1083*C1083,4)</f>
        <v>0</v>
      </c>
      <c r="N1083" s="414"/>
      <c r="O1083" s="414"/>
      <c r="P1083" s="414"/>
      <c r="Q1083" s="419">
        <f>ROUND(+N1083+O1083+P1083,4)</f>
        <v>0</v>
      </c>
      <c r="R1083" s="419">
        <f>ROUND(IF(+Q1083-H1083&lt;=0,0,Q1083-H1083),4)</f>
        <v>0</v>
      </c>
      <c r="S1083" s="423">
        <v>0.5</v>
      </c>
      <c r="T1083" s="419">
        <f>ROUND(+(R1083*C1083)*S1083,4)</f>
        <v>0</v>
      </c>
      <c r="U1083" s="419">
        <f>ROUND(+J1083+M1083+T1083,4)</f>
        <v>0</v>
      </c>
      <c r="V1083" s="235"/>
    </row>
    <row r="1084" spans="1:22" ht="15.75" x14ac:dyDescent="0.25">
      <c r="A1084" s="231"/>
      <c r="B1084" s="232"/>
      <c r="C1084" s="400"/>
      <c r="D1084" s="233"/>
      <c r="E1084" s="405"/>
      <c r="F1084" s="405"/>
      <c r="G1084" s="405"/>
      <c r="H1084" s="408">
        <f>ROUND(+E1084+F1084+G1084,4)</f>
        <v>0</v>
      </c>
      <c r="I1084" s="234"/>
      <c r="J1084" s="411"/>
      <c r="K1084" s="411"/>
      <c r="L1084" s="414">
        <v>0.1</v>
      </c>
      <c r="M1084" s="414">
        <f>ROUND(+L1084*C1084,4)</f>
        <v>0</v>
      </c>
      <c r="N1084" s="414"/>
      <c r="O1084" s="414"/>
      <c r="P1084" s="414"/>
      <c r="Q1084" s="419">
        <f>ROUND(+N1084+O1084+P1084,4)</f>
        <v>0</v>
      </c>
      <c r="R1084" s="419">
        <f>ROUND(IF(+Q1084-H1084&lt;=0,0,Q1084-H1084),4)</f>
        <v>0</v>
      </c>
      <c r="S1084" s="423">
        <v>0.5</v>
      </c>
      <c r="T1084" s="419">
        <f>ROUND(+(R1084*C1084)*S1084,4)</f>
        <v>0</v>
      </c>
      <c r="U1084" s="419">
        <f>ROUND(+J1084+M1084+T1084,4)</f>
        <v>0</v>
      </c>
      <c r="V1084" s="235"/>
    </row>
    <row r="1085" spans="1:22" ht="15.75" x14ac:dyDescent="0.25">
      <c r="A1085" s="231"/>
      <c r="B1085" s="232"/>
      <c r="C1085" s="400"/>
      <c r="D1085" s="233"/>
      <c r="E1085" s="405"/>
      <c r="F1085" s="405"/>
      <c r="G1085" s="405"/>
      <c r="H1085" s="408">
        <f>ROUND(+E1085+F1085+G1085,4)</f>
        <v>0</v>
      </c>
      <c r="I1085" s="234"/>
      <c r="J1085" s="411"/>
      <c r="K1085" s="411"/>
      <c r="L1085" s="414">
        <v>0.1</v>
      </c>
      <c r="M1085" s="414">
        <f>ROUND(+L1085*C1085,4)</f>
        <v>0</v>
      </c>
      <c r="N1085" s="414"/>
      <c r="O1085" s="414"/>
      <c r="P1085" s="414"/>
      <c r="Q1085" s="419">
        <f>ROUND(+N1085+O1085+P1085,4)</f>
        <v>0</v>
      </c>
      <c r="R1085" s="419">
        <f>ROUND(IF(+Q1085-H1085&lt;=0,0,Q1085-H1085),4)</f>
        <v>0</v>
      </c>
      <c r="S1085" s="423">
        <v>0.5</v>
      </c>
      <c r="T1085" s="419">
        <f>ROUND(+(R1085*C1085)*S1085,4)</f>
        <v>0</v>
      </c>
      <c r="U1085" s="419">
        <f>ROUND(+J1085+M1085+T1085,4)</f>
        <v>0</v>
      </c>
      <c r="V1085" s="235"/>
    </row>
    <row r="1086" spans="1:22" ht="15.75" x14ac:dyDescent="0.25">
      <c r="A1086" s="231"/>
      <c r="B1086" s="232"/>
      <c r="C1086" s="400"/>
      <c r="D1086" s="233"/>
      <c r="E1086" s="405"/>
      <c r="F1086" s="405"/>
      <c r="G1086" s="405"/>
      <c r="H1086" s="408">
        <f>ROUND(+E1086+F1086+G1086,4)</f>
        <v>0</v>
      </c>
      <c r="I1086" s="234"/>
      <c r="J1086" s="411"/>
      <c r="K1086" s="411"/>
      <c r="L1086" s="414">
        <v>0.1</v>
      </c>
      <c r="M1086" s="414">
        <f>ROUND(+L1086*C1086,4)</f>
        <v>0</v>
      </c>
      <c r="N1086" s="414"/>
      <c r="O1086" s="414"/>
      <c r="P1086" s="414"/>
      <c r="Q1086" s="419">
        <f>ROUND(+N1086+O1086+P1086,4)</f>
        <v>0</v>
      </c>
      <c r="R1086" s="419">
        <f>ROUND(IF(+Q1086-H1086&lt;=0,0,Q1086-H1086),4)</f>
        <v>0</v>
      </c>
      <c r="S1086" s="423">
        <v>0.5</v>
      </c>
      <c r="T1086" s="419">
        <f>ROUND(+(R1086*C1086)*S1086,4)</f>
        <v>0</v>
      </c>
      <c r="U1086" s="419">
        <f>ROUND(+J1086+M1086+T1086,4)</f>
        <v>0</v>
      </c>
      <c r="V1086" s="235"/>
    </row>
    <row r="1087" spans="1:22" ht="15.75" x14ac:dyDescent="0.25">
      <c r="A1087" s="231"/>
      <c r="B1087" s="232"/>
      <c r="C1087" s="400"/>
      <c r="D1087" s="233"/>
      <c r="E1087" s="405"/>
      <c r="F1087" s="405"/>
      <c r="G1087" s="405"/>
      <c r="H1087" s="408">
        <f>ROUND(+E1087+F1087+G1087,4)</f>
        <v>0</v>
      </c>
      <c r="I1087" s="234"/>
      <c r="J1087" s="411"/>
      <c r="K1087" s="411"/>
      <c r="L1087" s="414">
        <v>0.1</v>
      </c>
      <c r="M1087" s="414">
        <f>ROUND(+L1087*C1087,4)</f>
        <v>0</v>
      </c>
      <c r="N1087" s="414"/>
      <c r="O1087" s="414"/>
      <c r="P1087" s="414"/>
      <c r="Q1087" s="419">
        <f>ROUND(+N1087+O1087+P1087,4)</f>
        <v>0</v>
      </c>
      <c r="R1087" s="419">
        <f>ROUND(IF(+Q1087-H1087&lt;=0,0,Q1087-H1087),4)</f>
        <v>0</v>
      </c>
      <c r="S1087" s="423">
        <v>0.5</v>
      </c>
      <c r="T1087" s="419">
        <f>ROUND(+(R1087*C1087)*S1087,4)</f>
        <v>0</v>
      </c>
      <c r="U1087" s="419">
        <f>ROUND(+J1087+M1087+T1087,4)</f>
        <v>0</v>
      </c>
      <c r="V1087" s="235"/>
    </row>
    <row r="1088" spans="1:22" ht="15.75" x14ac:dyDescent="0.25">
      <c r="A1088" s="231"/>
      <c r="B1088" s="232"/>
      <c r="C1088" s="400"/>
      <c r="D1088" s="233"/>
      <c r="E1088" s="405"/>
      <c r="F1088" s="405"/>
      <c r="G1088" s="405"/>
      <c r="H1088" s="408">
        <f>ROUND(+E1088+F1088+G1088,4)</f>
        <v>0</v>
      </c>
      <c r="I1088" s="234"/>
      <c r="J1088" s="411"/>
      <c r="K1088" s="411"/>
      <c r="L1088" s="414">
        <v>0.1</v>
      </c>
      <c r="M1088" s="414">
        <f>ROUND(+L1088*C1088,4)</f>
        <v>0</v>
      </c>
      <c r="N1088" s="414"/>
      <c r="O1088" s="414"/>
      <c r="P1088" s="414"/>
      <c r="Q1088" s="419">
        <f>ROUND(+N1088+O1088+P1088,4)</f>
        <v>0</v>
      </c>
      <c r="R1088" s="419">
        <f>ROUND(IF(+Q1088-H1088&lt;=0,0,Q1088-H1088),4)</f>
        <v>0</v>
      </c>
      <c r="S1088" s="423">
        <v>0.5</v>
      </c>
      <c r="T1088" s="419">
        <f>ROUND(+(R1088*C1088)*S1088,4)</f>
        <v>0</v>
      </c>
      <c r="U1088" s="419">
        <f>ROUND(+J1088+M1088+T1088,4)</f>
        <v>0</v>
      </c>
      <c r="V1088" s="235"/>
    </row>
    <row r="1089" spans="1:22" ht="15.75" x14ac:dyDescent="0.25">
      <c r="A1089" s="231"/>
      <c r="B1089" s="232"/>
      <c r="C1089" s="400"/>
      <c r="D1089" s="233"/>
      <c r="E1089" s="405"/>
      <c r="F1089" s="405"/>
      <c r="G1089" s="405"/>
      <c r="H1089" s="408">
        <f>ROUND(+E1089+F1089+G1089,4)</f>
        <v>0</v>
      </c>
      <c r="I1089" s="234"/>
      <c r="J1089" s="411"/>
      <c r="K1089" s="411"/>
      <c r="L1089" s="414">
        <v>0.1</v>
      </c>
      <c r="M1089" s="414">
        <f>ROUND(+L1089*C1089,4)</f>
        <v>0</v>
      </c>
      <c r="N1089" s="414"/>
      <c r="O1089" s="414"/>
      <c r="P1089" s="414"/>
      <c r="Q1089" s="419">
        <f>ROUND(+N1089+O1089+P1089,4)</f>
        <v>0</v>
      </c>
      <c r="R1089" s="419">
        <f>ROUND(IF(+Q1089-H1089&lt;=0,0,Q1089-H1089),4)</f>
        <v>0</v>
      </c>
      <c r="S1089" s="423">
        <v>0.5</v>
      </c>
      <c r="T1089" s="419">
        <f>ROUND(+(R1089*C1089)*S1089,4)</f>
        <v>0</v>
      </c>
      <c r="U1089" s="419">
        <f>ROUND(+J1089+M1089+T1089,4)</f>
        <v>0</v>
      </c>
      <c r="V1089" s="235"/>
    </row>
    <row r="1090" spans="1:22" ht="15.75" x14ac:dyDescent="0.25">
      <c r="A1090" s="231"/>
      <c r="B1090" s="232"/>
      <c r="C1090" s="400"/>
      <c r="D1090" s="233"/>
      <c r="E1090" s="405"/>
      <c r="F1090" s="405"/>
      <c r="G1090" s="405"/>
      <c r="H1090" s="408">
        <f>ROUND(+E1090+F1090+G1090,4)</f>
        <v>0</v>
      </c>
      <c r="I1090" s="234"/>
      <c r="J1090" s="411"/>
      <c r="K1090" s="411"/>
      <c r="L1090" s="414">
        <v>0.1</v>
      </c>
      <c r="M1090" s="414">
        <f>ROUND(+L1090*C1090,4)</f>
        <v>0</v>
      </c>
      <c r="N1090" s="414"/>
      <c r="O1090" s="414"/>
      <c r="P1090" s="414"/>
      <c r="Q1090" s="419">
        <f>ROUND(+N1090+O1090+P1090,4)</f>
        <v>0</v>
      </c>
      <c r="R1090" s="419">
        <f>ROUND(IF(+Q1090-H1090&lt;=0,0,Q1090-H1090),4)</f>
        <v>0</v>
      </c>
      <c r="S1090" s="423">
        <v>0.5</v>
      </c>
      <c r="T1090" s="419">
        <f>ROUND(+(R1090*C1090)*S1090,4)</f>
        <v>0</v>
      </c>
      <c r="U1090" s="419">
        <f>ROUND(+J1090+M1090+T1090,4)</f>
        <v>0</v>
      </c>
      <c r="V1090" s="235"/>
    </row>
    <row r="1091" spans="1:22" ht="15.75" x14ac:dyDescent="0.25">
      <c r="A1091" s="231"/>
      <c r="B1091" s="232"/>
      <c r="C1091" s="400"/>
      <c r="D1091" s="233"/>
      <c r="E1091" s="405"/>
      <c r="F1091" s="405"/>
      <c r="G1091" s="405"/>
      <c r="H1091" s="408">
        <f>ROUND(+E1091+F1091+G1091,4)</f>
        <v>0</v>
      </c>
      <c r="I1091" s="234"/>
      <c r="J1091" s="411"/>
      <c r="K1091" s="411"/>
      <c r="L1091" s="414">
        <v>0.1</v>
      </c>
      <c r="M1091" s="414">
        <f>ROUND(+L1091*C1091,4)</f>
        <v>0</v>
      </c>
      <c r="N1091" s="414"/>
      <c r="O1091" s="414"/>
      <c r="P1091" s="414"/>
      <c r="Q1091" s="419">
        <f>ROUND(+N1091+O1091+P1091,4)</f>
        <v>0</v>
      </c>
      <c r="R1091" s="419">
        <f>ROUND(IF(+Q1091-H1091&lt;=0,0,Q1091-H1091),4)</f>
        <v>0</v>
      </c>
      <c r="S1091" s="423">
        <v>0.5</v>
      </c>
      <c r="T1091" s="419">
        <f>ROUND(+(R1091*C1091)*S1091,4)</f>
        <v>0</v>
      </c>
      <c r="U1091" s="419">
        <f>ROUND(+J1091+M1091+T1091,4)</f>
        <v>0</v>
      </c>
      <c r="V1091" s="235"/>
    </row>
    <row r="1092" spans="1:22" ht="15.75" x14ac:dyDescent="0.25">
      <c r="A1092" s="231"/>
      <c r="B1092" s="232"/>
      <c r="C1092" s="400"/>
      <c r="D1092" s="233"/>
      <c r="E1092" s="405"/>
      <c r="F1092" s="405"/>
      <c r="G1092" s="405"/>
      <c r="H1092" s="408">
        <f>ROUND(+E1092+F1092+G1092,4)</f>
        <v>0</v>
      </c>
      <c r="I1092" s="234"/>
      <c r="J1092" s="411"/>
      <c r="K1092" s="411"/>
      <c r="L1092" s="414">
        <v>0.1</v>
      </c>
      <c r="M1092" s="414">
        <f>ROUND(+L1092*C1092,4)</f>
        <v>0</v>
      </c>
      <c r="N1092" s="414"/>
      <c r="O1092" s="414"/>
      <c r="P1092" s="414"/>
      <c r="Q1092" s="419">
        <f>ROUND(+N1092+O1092+P1092,4)</f>
        <v>0</v>
      </c>
      <c r="R1092" s="419">
        <f>ROUND(IF(+Q1092-H1092&lt;=0,0,Q1092-H1092),4)</f>
        <v>0</v>
      </c>
      <c r="S1092" s="423">
        <v>0.5</v>
      </c>
      <c r="T1092" s="419">
        <f>ROUND(+(R1092*C1092)*S1092,4)</f>
        <v>0</v>
      </c>
      <c r="U1092" s="419">
        <f>ROUND(+J1092+M1092+T1092,4)</f>
        <v>0</v>
      </c>
      <c r="V1092" s="235"/>
    </row>
    <row r="1093" spans="1:22" ht="15.75" x14ac:dyDescent="0.25">
      <c r="A1093" s="231"/>
      <c r="B1093" s="232"/>
      <c r="C1093" s="400"/>
      <c r="D1093" s="233"/>
      <c r="E1093" s="405"/>
      <c r="F1093" s="405"/>
      <c r="G1093" s="405"/>
      <c r="H1093" s="408">
        <f>ROUND(+E1093+F1093+G1093,4)</f>
        <v>0</v>
      </c>
      <c r="I1093" s="234"/>
      <c r="J1093" s="411"/>
      <c r="K1093" s="411"/>
      <c r="L1093" s="414">
        <v>0.1</v>
      </c>
      <c r="M1093" s="414">
        <f>ROUND(+L1093*C1093,4)</f>
        <v>0</v>
      </c>
      <c r="N1093" s="414"/>
      <c r="O1093" s="414"/>
      <c r="P1093" s="414"/>
      <c r="Q1093" s="419">
        <f>ROUND(+N1093+O1093+P1093,4)</f>
        <v>0</v>
      </c>
      <c r="R1093" s="419">
        <f>ROUND(IF(+Q1093-H1093&lt;=0,0,Q1093-H1093),4)</f>
        <v>0</v>
      </c>
      <c r="S1093" s="423">
        <v>0.5</v>
      </c>
      <c r="T1093" s="419">
        <f>ROUND(+(R1093*C1093)*S1093,4)</f>
        <v>0</v>
      </c>
      <c r="U1093" s="419">
        <f>ROUND(+J1093+M1093+T1093,4)</f>
        <v>0</v>
      </c>
      <c r="V1093" s="235"/>
    </row>
    <row r="1094" spans="1:22" ht="15.75" x14ac:dyDescent="0.25">
      <c r="A1094" s="231"/>
      <c r="B1094" s="232"/>
      <c r="C1094" s="400"/>
      <c r="D1094" s="233"/>
      <c r="E1094" s="405"/>
      <c r="F1094" s="405"/>
      <c r="G1094" s="405"/>
      <c r="H1094" s="408">
        <f>ROUND(+E1094+F1094+G1094,4)</f>
        <v>0</v>
      </c>
      <c r="I1094" s="234"/>
      <c r="J1094" s="411"/>
      <c r="K1094" s="411"/>
      <c r="L1094" s="414">
        <v>0.1</v>
      </c>
      <c r="M1094" s="414">
        <f>ROUND(+L1094*C1094,4)</f>
        <v>0</v>
      </c>
      <c r="N1094" s="414"/>
      <c r="O1094" s="414"/>
      <c r="P1094" s="414"/>
      <c r="Q1094" s="419">
        <f>ROUND(+N1094+O1094+P1094,4)</f>
        <v>0</v>
      </c>
      <c r="R1094" s="419">
        <f>ROUND(IF(+Q1094-H1094&lt;=0,0,Q1094-H1094),4)</f>
        <v>0</v>
      </c>
      <c r="S1094" s="423">
        <v>0.5</v>
      </c>
      <c r="T1094" s="419">
        <f>ROUND(+(R1094*C1094)*S1094,4)</f>
        <v>0</v>
      </c>
      <c r="U1094" s="419">
        <f>ROUND(+J1094+M1094+T1094,4)</f>
        <v>0</v>
      </c>
      <c r="V1094" s="235"/>
    </row>
    <row r="1095" spans="1:22" ht="15.75" x14ac:dyDescent="0.25">
      <c r="A1095" s="231"/>
      <c r="B1095" s="232"/>
      <c r="C1095" s="400"/>
      <c r="D1095" s="233"/>
      <c r="E1095" s="405"/>
      <c r="F1095" s="405"/>
      <c r="G1095" s="405"/>
      <c r="H1095" s="408">
        <f>ROUND(+E1095+F1095+G1095,4)</f>
        <v>0</v>
      </c>
      <c r="I1095" s="234"/>
      <c r="J1095" s="411"/>
      <c r="K1095" s="411"/>
      <c r="L1095" s="414">
        <v>0.1</v>
      </c>
      <c r="M1095" s="414">
        <f>ROUND(+L1095*C1095,4)</f>
        <v>0</v>
      </c>
      <c r="N1095" s="414"/>
      <c r="O1095" s="414"/>
      <c r="P1095" s="414"/>
      <c r="Q1095" s="419">
        <f>ROUND(+N1095+O1095+P1095,4)</f>
        <v>0</v>
      </c>
      <c r="R1095" s="419">
        <f>ROUND(IF(+Q1095-H1095&lt;=0,0,Q1095-H1095),4)</f>
        <v>0</v>
      </c>
      <c r="S1095" s="423">
        <v>0.5</v>
      </c>
      <c r="T1095" s="419">
        <f>ROUND(+(R1095*C1095)*S1095,4)</f>
        <v>0</v>
      </c>
      <c r="U1095" s="419">
        <f>ROUND(+J1095+M1095+T1095,4)</f>
        <v>0</v>
      </c>
      <c r="V1095" s="235"/>
    </row>
    <row r="1096" spans="1:22" ht="15.75" x14ac:dyDescent="0.25">
      <c r="A1096" s="231"/>
      <c r="B1096" s="232"/>
      <c r="C1096" s="400"/>
      <c r="D1096" s="233"/>
      <c r="E1096" s="405"/>
      <c r="F1096" s="405"/>
      <c r="G1096" s="405"/>
      <c r="H1096" s="408">
        <f>ROUND(+E1096+F1096+G1096,4)</f>
        <v>0</v>
      </c>
      <c r="I1096" s="234"/>
      <c r="J1096" s="411"/>
      <c r="K1096" s="411"/>
      <c r="L1096" s="414">
        <v>0.1</v>
      </c>
      <c r="M1096" s="414">
        <f>ROUND(+L1096*C1096,4)</f>
        <v>0</v>
      </c>
      <c r="N1096" s="414"/>
      <c r="O1096" s="414"/>
      <c r="P1096" s="414"/>
      <c r="Q1096" s="419">
        <f>ROUND(+N1096+O1096+P1096,4)</f>
        <v>0</v>
      </c>
      <c r="R1096" s="419">
        <f>ROUND(IF(+Q1096-H1096&lt;=0,0,Q1096-H1096),4)</f>
        <v>0</v>
      </c>
      <c r="S1096" s="423">
        <v>0.5</v>
      </c>
      <c r="T1096" s="419">
        <f>ROUND(+(R1096*C1096)*S1096,4)</f>
        <v>0</v>
      </c>
      <c r="U1096" s="419">
        <f>ROUND(+J1096+M1096+T1096,4)</f>
        <v>0</v>
      </c>
      <c r="V1096" s="235"/>
    </row>
    <row r="1097" spans="1:22" ht="15.75" x14ac:dyDescent="0.25">
      <c r="A1097" s="231"/>
      <c r="B1097" s="232"/>
      <c r="C1097" s="400"/>
      <c r="D1097" s="233"/>
      <c r="E1097" s="405"/>
      <c r="F1097" s="405"/>
      <c r="G1097" s="405"/>
      <c r="H1097" s="408">
        <f>ROUND(+E1097+F1097+G1097,4)</f>
        <v>0</v>
      </c>
      <c r="I1097" s="234"/>
      <c r="J1097" s="411"/>
      <c r="K1097" s="411"/>
      <c r="L1097" s="414">
        <v>0.1</v>
      </c>
      <c r="M1097" s="414">
        <f>ROUND(+L1097*C1097,4)</f>
        <v>0</v>
      </c>
      <c r="N1097" s="414"/>
      <c r="O1097" s="414"/>
      <c r="P1097" s="414"/>
      <c r="Q1097" s="419">
        <f>ROUND(+N1097+O1097+P1097,4)</f>
        <v>0</v>
      </c>
      <c r="R1097" s="419">
        <f>ROUND(IF(+Q1097-H1097&lt;=0,0,Q1097-H1097),4)</f>
        <v>0</v>
      </c>
      <c r="S1097" s="423">
        <v>0.5</v>
      </c>
      <c r="T1097" s="419">
        <f>ROUND(+(R1097*C1097)*S1097,4)</f>
        <v>0</v>
      </c>
      <c r="U1097" s="419">
        <f>ROUND(+J1097+M1097+T1097,4)</f>
        <v>0</v>
      </c>
      <c r="V1097" s="235"/>
    </row>
    <row r="1098" spans="1:22" ht="15.75" x14ac:dyDescent="0.25">
      <c r="A1098" s="231"/>
      <c r="B1098" s="232"/>
      <c r="C1098" s="400"/>
      <c r="D1098" s="233"/>
      <c r="E1098" s="405"/>
      <c r="F1098" s="405"/>
      <c r="G1098" s="405"/>
      <c r="H1098" s="408">
        <f>ROUND(+E1098+F1098+G1098,4)</f>
        <v>0</v>
      </c>
      <c r="I1098" s="234"/>
      <c r="J1098" s="411"/>
      <c r="K1098" s="411"/>
      <c r="L1098" s="414">
        <v>0.1</v>
      </c>
      <c r="M1098" s="414">
        <f>ROUND(+L1098*C1098,4)</f>
        <v>0</v>
      </c>
      <c r="N1098" s="414"/>
      <c r="O1098" s="414"/>
      <c r="P1098" s="414"/>
      <c r="Q1098" s="419">
        <f>ROUND(+N1098+O1098+P1098,4)</f>
        <v>0</v>
      </c>
      <c r="R1098" s="419">
        <f>ROUND(IF(+Q1098-H1098&lt;=0,0,Q1098-H1098),4)</f>
        <v>0</v>
      </c>
      <c r="S1098" s="423">
        <v>0.5</v>
      </c>
      <c r="T1098" s="419">
        <f>ROUND(+(R1098*C1098)*S1098,4)</f>
        <v>0</v>
      </c>
      <c r="U1098" s="419">
        <f>ROUND(+J1098+M1098+T1098,4)</f>
        <v>0</v>
      </c>
      <c r="V1098" s="235"/>
    </row>
    <row r="1099" spans="1:22" ht="15.75" x14ac:dyDescent="0.25">
      <c r="A1099" s="231"/>
      <c r="B1099" s="232"/>
      <c r="C1099" s="400"/>
      <c r="D1099" s="233"/>
      <c r="E1099" s="405"/>
      <c r="F1099" s="405"/>
      <c r="G1099" s="405"/>
      <c r="H1099" s="408">
        <f>ROUND(+E1099+F1099+G1099,4)</f>
        <v>0</v>
      </c>
      <c r="I1099" s="234"/>
      <c r="J1099" s="411"/>
      <c r="K1099" s="411"/>
      <c r="L1099" s="414">
        <v>0.1</v>
      </c>
      <c r="M1099" s="414">
        <f>ROUND(+L1099*C1099,4)</f>
        <v>0</v>
      </c>
      <c r="N1099" s="414"/>
      <c r="O1099" s="414"/>
      <c r="P1099" s="414"/>
      <c r="Q1099" s="419">
        <f>ROUND(+N1099+O1099+P1099,4)</f>
        <v>0</v>
      </c>
      <c r="R1099" s="419">
        <f>ROUND(IF(+Q1099-H1099&lt;=0,0,Q1099-H1099),4)</f>
        <v>0</v>
      </c>
      <c r="S1099" s="423">
        <v>0.5</v>
      </c>
      <c r="T1099" s="419">
        <f>ROUND(+(R1099*C1099)*S1099,4)</f>
        <v>0</v>
      </c>
      <c r="U1099" s="419">
        <f>ROUND(+J1099+M1099+T1099,4)</f>
        <v>0</v>
      </c>
      <c r="V1099" s="235"/>
    </row>
    <row r="1100" spans="1:22" ht="15.75" x14ac:dyDescent="0.25">
      <c r="A1100" s="231"/>
      <c r="B1100" s="232"/>
      <c r="C1100" s="400"/>
      <c r="D1100" s="233"/>
      <c r="E1100" s="405"/>
      <c r="F1100" s="405"/>
      <c r="G1100" s="405"/>
      <c r="H1100" s="408">
        <f>ROUND(+E1100+F1100+G1100,4)</f>
        <v>0</v>
      </c>
      <c r="I1100" s="234"/>
      <c r="J1100" s="411"/>
      <c r="K1100" s="411"/>
      <c r="L1100" s="414">
        <v>0.1</v>
      </c>
      <c r="M1100" s="414">
        <f>ROUND(+L1100*C1100,4)</f>
        <v>0</v>
      </c>
      <c r="N1100" s="414"/>
      <c r="O1100" s="414"/>
      <c r="P1100" s="414"/>
      <c r="Q1100" s="419">
        <f>ROUND(+N1100+O1100+P1100,4)</f>
        <v>0</v>
      </c>
      <c r="R1100" s="419">
        <f>ROUND(IF(+Q1100-H1100&lt;=0,0,Q1100-H1100),4)</f>
        <v>0</v>
      </c>
      <c r="S1100" s="423">
        <v>0.5</v>
      </c>
      <c r="T1100" s="419">
        <f>ROUND(+(R1100*C1100)*S1100,4)</f>
        <v>0</v>
      </c>
      <c r="U1100" s="419">
        <f>ROUND(+J1100+M1100+T1100,4)</f>
        <v>0</v>
      </c>
      <c r="V1100" s="235"/>
    </row>
    <row r="1101" spans="1:22" ht="15.75" x14ac:dyDescent="0.25">
      <c r="A1101" s="231"/>
      <c r="B1101" s="232"/>
      <c r="C1101" s="400"/>
      <c r="D1101" s="233"/>
      <c r="E1101" s="405"/>
      <c r="F1101" s="405"/>
      <c r="G1101" s="405"/>
      <c r="H1101" s="408">
        <f>ROUND(+E1101+F1101+G1101,4)</f>
        <v>0</v>
      </c>
      <c r="I1101" s="234"/>
      <c r="J1101" s="411"/>
      <c r="K1101" s="411"/>
      <c r="L1101" s="414">
        <v>0.1</v>
      </c>
      <c r="M1101" s="414">
        <f>ROUND(+L1101*C1101,4)</f>
        <v>0</v>
      </c>
      <c r="N1101" s="414"/>
      <c r="O1101" s="414"/>
      <c r="P1101" s="414"/>
      <c r="Q1101" s="419">
        <f>ROUND(+N1101+O1101+P1101,4)</f>
        <v>0</v>
      </c>
      <c r="R1101" s="419">
        <f>ROUND(IF(+Q1101-H1101&lt;=0,0,Q1101-H1101),4)</f>
        <v>0</v>
      </c>
      <c r="S1101" s="423">
        <v>0.5</v>
      </c>
      <c r="T1101" s="419">
        <f>ROUND(+(R1101*C1101)*S1101,4)</f>
        <v>0</v>
      </c>
      <c r="U1101" s="419">
        <f>ROUND(+J1101+M1101+T1101,4)</f>
        <v>0</v>
      </c>
      <c r="V1101" s="235"/>
    </row>
    <row r="1102" spans="1:22" ht="15.75" x14ac:dyDescent="0.25">
      <c r="A1102" s="231"/>
      <c r="B1102" s="232"/>
      <c r="C1102" s="400"/>
      <c r="D1102" s="233"/>
      <c r="E1102" s="405"/>
      <c r="F1102" s="405"/>
      <c r="G1102" s="405"/>
      <c r="H1102" s="408">
        <f>ROUND(+E1102+F1102+G1102,4)</f>
        <v>0</v>
      </c>
      <c r="I1102" s="234"/>
      <c r="J1102" s="411"/>
      <c r="K1102" s="411"/>
      <c r="L1102" s="414">
        <v>0.1</v>
      </c>
      <c r="M1102" s="414">
        <f>ROUND(+L1102*C1102,4)</f>
        <v>0</v>
      </c>
      <c r="N1102" s="414"/>
      <c r="O1102" s="414"/>
      <c r="P1102" s="414"/>
      <c r="Q1102" s="419">
        <f>ROUND(+N1102+O1102+P1102,4)</f>
        <v>0</v>
      </c>
      <c r="R1102" s="419">
        <f>ROUND(IF(+Q1102-H1102&lt;=0,0,Q1102-H1102),4)</f>
        <v>0</v>
      </c>
      <c r="S1102" s="423">
        <v>0.5</v>
      </c>
      <c r="T1102" s="419">
        <f>ROUND(+(R1102*C1102)*S1102,4)</f>
        <v>0</v>
      </c>
      <c r="U1102" s="419">
        <f>ROUND(+J1102+M1102+T1102,4)</f>
        <v>0</v>
      </c>
      <c r="V1102" s="235"/>
    </row>
    <row r="1103" spans="1:22" ht="15.75" x14ac:dyDescent="0.25">
      <c r="A1103" s="231"/>
      <c r="B1103" s="232"/>
      <c r="C1103" s="400"/>
      <c r="D1103" s="233"/>
      <c r="E1103" s="405"/>
      <c r="F1103" s="405"/>
      <c r="G1103" s="405"/>
      <c r="H1103" s="408">
        <f>ROUND(+E1103+F1103+G1103,4)</f>
        <v>0</v>
      </c>
      <c r="I1103" s="234"/>
      <c r="J1103" s="411"/>
      <c r="K1103" s="411"/>
      <c r="L1103" s="414">
        <v>0.1</v>
      </c>
      <c r="M1103" s="414">
        <f>ROUND(+L1103*C1103,4)</f>
        <v>0</v>
      </c>
      <c r="N1103" s="414"/>
      <c r="O1103" s="414"/>
      <c r="P1103" s="414"/>
      <c r="Q1103" s="419">
        <f>ROUND(+N1103+O1103+P1103,4)</f>
        <v>0</v>
      </c>
      <c r="R1103" s="419">
        <f>ROUND(IF(+Q1103-H1103&lt;=0,0,Q1103-H1103),4)</f>
        <v>0</v>
      </c>
      <c r="S1103" s="423">
        <v>0.5</v>
      </c>
      <c r="T1103" s="419">
        <f>ROUND(+(R1103*C1103)*S1103,4)</f>
        <v>0</v>
      </c>
      <c r="U1103" s="419">
        <f>ROUND(+J1103+M1103+T1103,4)</f>
        <v>0</v>
      </c>
      <c r="V1103" s="235"/>
    </row>
    <row r="1104" spans="1:22" ht="15.75" x14ac:dyDescent="0.25">
      <c r="A1104" s="231"/>
      <c r="B1104" s="232"/>
      <c r="C1104" s="400"/>
      <c r="D1104" s="233"/>
      <c r="E1104" s="405"/>
      <c r="F1104" s="405"/>
      <c r="G1104" s="405"/>
      <c r="H1104" s="408">
        <f>ROUND(+E1104+F1104+G1104,4)</f>
        <v>0</v>
      </c>
      <c r="I1104" s="234"/>
      <c r="J1104" s="411"/>
      <c r="K1104" s="411"/>
      <c r="L1104" s="414">
        <v>0.1</v>
      </c>
      <c r="M1104" s="414">
        <f>ROUND(+L1104*C1104,4)</f>
        <v>0</v>
      </c>
      <c r="N1104" s="414"/>
      <c r="O1104" s="414"/>
      <c r="P1104" s="414"/>
      <c r="Q1104" s="419">
        <f>ROUND(+N1104+O1104+P1104,4)</f>
        <v>0</v>
      </c>
      <c r="R1104" s="419">
        <f>ROUND(IF(+Q1104-H1104&lt;=0,0,Q1104-H1104),4)</f>
        <v>0</v>
      </c>
      <c r="S1104" s="423">
        <v>0.5</v>
      </c>
      <c r="T1104" s="419">
        <f>ROUND(+(R1104*C1104)*S1104,4)</f>
        <v>0</v>
      </c>
      <c r="U1104" s="419">
        <f>ROUND(+J1104+M1104+T1104,4)</f>
        <v>0</v>
      </c>
      <c r="V1104" s="235"/>
    </row>
    <row r="1105" spans="1:22" ht="15.75" x14ac:dyDescent="0.25">
      <c r="A1105" s="231"/>
      <c r="B1105" s="232"/>
      <c r="C1105" s="400"/>
      <c r="D1105" s="233"/>
      <c r="E1105" s="405"/>
      <c r="F1105" s="405"/>
      <c r="G1105" s="405"/>
      <c r="H1105" s="408">
        <f>ROUND(+E1105+F1105+G1105,4)</f>
        <v>0</v>
      </c>
      <c r="I1105" s="234"/>
      <c r="J1105" s="411"/>
      <c r="K1105" s="411"/>
      <c r="L1105" s="414">
        <v>0.1</v>
      </c>
      <c r="M1105" s="414">
        <f>ROUND(+L1105*C1105,4)</f>
        <v>0</v>
      </c>
      <c r="N1105" s="414"/>
      <c r="O1105" s="414"/>
      <c r="P1105" s="414"/>
      <c r="Q1105" s="419">
        <f>ROUND(+N1105+O1105+P1105,4)</f>
        <v>0</v>
      </c>
      <c r="R1105" s="419">
        <f>ROUND(IF(+Q1105-H1105&lt;=0,0,Q1105-H1105),4)</f>
        <v>0</v>
      </c>
      <c r="S1105" s="423">
        <v>0.5</v>
      </c>
      <c r="T1105" s="419">
        <f>ROUND(+(R1105*C1105)*S1105,4)</f>
        <v>0</v>
      </c>
      <c r="U1105" s="419">
        <f>ROUND(+J1105+M1105+T1105,4)</f>
        <v>0</v>
      </c>
      <c r="V1105" s="235"/>
    </row>
    <row r="1106" spans="1:22" ht="15.75" x14ac:dyDescent="0.25">
      <c r="A1106" s="231"/>
      <c r="B1106" s="232"/>
      <c r="C1106" s="400"/>
      <c r="D1106" s="233"/>
      <c r="E1106" s="405"/>
      <c r="F1106" s="405"/>
      <c r="G1106" s="405"/>
      <c r="H1106" s="408">
        <f>ROUND(+E1106+F1106+G1106,4)</f>
        <v>0</v>
      </c>
      <c r="I1106" s="234"/>
      <c r="J1106" s="411"/>
      <c r="K1106" s="411"/>
      <c r="L1106" s="414">
        <v>0.1</v>
      </c>
      <c r="M1106" s="414">
        <f>ROUND(+L1106*C1106,4)</f>
        <v>0</v>
      </c>
      <c r="N1106" s="414"/>
      <c r="O1106" s="414"/>
      <c r="P1106" s="414"/>
      <c r="Q1106" s="419">
        <f>ROUND(+N1106+O1106+P1106,4)</f>
        <v>0</v>
      </c>
      <c r="R1106" s="419">
        <f>ROUND(IF(+Q1106-H1106&lt;=0,0,Q1106-H1106),4)</f>
        <v>0</v>
      </c>
      <c r="S1106" s="423">
        <v>0.5</v>
      </c>
      <c r="T1106" s="419">
        <f>ROUND(+(R1106*C1106)*S1106,4)</f>
        <v>0</v>
      </c>
      <c r="U1106" s="419">
        <f>ROUND(+J1106+M1106+T1106,4)</f>
        <v>0</v>
      </c>
      <c r="V1106" s="235"/>
    </row>
    <row r="1107" spans="1:22" ht="15.75" x14ac:dyDescent="0.25">
      <c r="A1107" s="231"/>
      <c r="B1107" s="232"/>
      <c r="C1107" s="400"/>
      <c r="D1107" s="233"/>
      <c r="E1107" s="405"/>
      <c r="F1107" s="405"/>
      <c r="G1107" s="405"/>
      <c r="H1107" s="408">
        <f>ROUND(+E1107+F1107+G1107,4)</f>
        <v>0</v>
      </c>
      <c r="I1107" s="234"/>
      <c r="J1107" s="411"/>
      <c r="K1107" s="411"/>
      <c r="L1107" s="414">
        <v>0.1</v>
      </c>
      <c r="M1107" s="414">
        <f>ROUND(+L1107*C1107,4)</f>
        <v>0</v>
      </c>
      <c r="N1107" s="414"/>
      <c r="O1107" s="414"/>
      <c r="P1107" s="414"/>
      <c r="Q1107" s="419">
        <f>ROUND(+N1107+O1107+P1107,4)</f>
        <v>0</v>
      </c>
      <c r="R1107" s="419">
        <f>ROUND(IF(+Q1107-H1107&lt;=0,0,Q1107-H1107),4)</f>
        <v>0</v>
      </c>
      <c r="S1107" s="423">
        <v>0.5</v>
      </c>
      <c r="T1107" s="419">
        <f>ROUND(+(R1107*C1107)*S1107,4)</f>
        <v>0</v>
      </c>
      <c r="U1107" s="419">
        <f>ROUND(+J1107+M1107+T1107,4)</f>
        <v>0</v>
      </c>
      <c r="V1107" s="235"/>
    </row>
    <row r="1108" spans="1:22" ht="15.75" x14ac:dyDescent="0.25">
      <c r="A1108" s="231"/>
      <c r="B1108" s="232"/>
      <c r="C1108" s="400"/>
      <c r="D1108" s="233"/>
      <c r="E1108" s="405"/>
      <c r="F1108" s="405"/>
      <c r="G1108" s="405"/>
      <c r="H1108" s="408">
        <f>ROUND(+E1108+F1108+G1108,4)</f>
        <v>0</v>
      </c>
      <c r="I1108" s="234"/>
      <c r="J1108" s="411"/>
      <c r="K1108" s="411"/>
      <c r="L1108" s="414">
        <v>0.1</v>
      </c>
      <c r="M1108" s="414">
        <f>ROUND(+L1108*C1108,4)</f>
        <v>0</v>
      </c>
      <c r="N1108" s="414"/>
      <c r="O1108" s="414"/>
      <c r="P1108" s="414"/>
      <c r="Q1108" s="419">
        <f>ROUND(+N1108+O1108+P1108,4)</f>
        <v>0</v>
      </c>
      <c r="R1108" s="419">
        <f>ROUND(IF(+Q1108-H1108&lt;=0,0,Q1108-H1108),4)</f>
        <v>0</v>
      </c>
      <c r="S1108" s="423">
        <v>0.5</v>
      </c>
      <c r="T1108" s="419">
        <f>ROUND(+(R1108*C1108)*S1108,4)</f>
        <v>0</v>
      </c>
      <c r="U1108" s="419">
        <f>ROUND(+J1108+M1108+T1108,4)</f>
        <v>0</v>
      </c>
      <c r="V1108" s="235"/>
    </row>
    <row r="1109" spans="1:22" ht="15.75" x14ac:dyDescent="0.25">
      <c r="A1109" s="231"/>
      <c r="B1109" s="232"/>
      <c r="C1109" s="400"/>
      <c r="D1109" s="233"/>
      <c r="E1109" s="405"/>
      <c r="F1109" s="405"/>
      <c r="G1109" s="405"/>
      <c r="H1109" s="408">
        <f>ROUND(+E1109+F1109+G1109,4)</f>
        <v>0</v>
      </c>
      <c r="I1109" s="234"/>
      <c r="J1109" s="411"/>
      <c r="K1109" s="411"/>
      <c r="L1109" s="414">
        <v>0.1</v>
      </c>
      <c r="M1109" s="414">
        <f>ROUND(+L1109*C1109,4)</f>
        <v>0</v>
      </c>
      <c r="N1109" s="414"/>
      <c r="O1109" s="414"/>
      <c r="P1109" s="414"/>
      <c r="Q1109" s="419">
        <f>ROUND(+N1109+O1109+P1109,4)</f>
        <v>0</v>
      </c>
      <c r="R1109" s="419">
        <f>ROUND(IF(+Q1109-H1109&lt;=0,0,Q1109-H1109),4)</f>
        <v>0</v>
      </c>
      <c r="S1109" s="423">
        <v>0.5</v>
      </c>
      <c r="T1109" s="419">
        <f>ROUND(+(R1109*C1109)*S1109,4)</f>
        <v>0</v>
      </c>
      <c r="U1109" s="419">
        <f>ROUND(+J1109+M1109+T1109,4)</f>
        <v>0</v>
      </c>
      <c r="V1109" s="235"/>
    </row>
    <row r="1110" spans="1:22" ht="15.75" x14ac:dyDescent="0.25">
      <c r="A1110" s="231"/>
      <c r="B1110" s="232"/>
      <c r="C1110" s="400"/>
      <c r="D1110" s="233"/>
      <c r="E1110" s="405"/>
      <c r="F1110" s="405"/>
      <c r="G1110" s="405"/>
      <c r="H1110" s="408">
        <f>ROUND(+E1110+F1110+G1110,4)</f>
        <v>0</v>
      </c>
      <c r="I1110" s="234"/>
      <c r="J1110" s="411"/>
      <c r="K1110" s="411"/>
      <c r="L1110" s="414">
        <v>0.1</v>
      </c>
      <c r="M1110" s="414">
        <f>ROUND(+L1110*C1110,4)</f>
        <v>0</v>
      </c>
      <c r="N1110" s="414"/>
      <c r="O1110" s="414"/>
      <c r="P1110" s="414"/>
      <c r="Q1110" s="419">
        <f>ROUND(+N1110+O1110+P1110,4)</f>
        <v>0</v>
      </c>
      <c r="R1110" s="419">
        <f>ROUND(IF(+Q1110-H1110&lt;=0,0,Q1110-H1110),4)</f>
        <v>0</v>
      </c>
      <c r="S1110" s="423">
        <v>0.5</v>
      </c>
      <c r="T1110" s="419">
        <f>ROUND(+(R1110*C1110)*S1110,4)</f>
        <v>0</v>
      </c>
      <c r="U1110" s="419">
        <f>ROUND(+J1110+M1110+T1110,4)</f>
        <v>0</v>
      </c>
      <c r="V1110" s="235"/>
    </row>
    <row r="1111" spans="1:22" ht="15.75" x14ac:dyDescent="0.25">
      <c r="A1111" s="231"/>
      <c r="B1111" s="232"/>
      <c r="C1111" s="400"/>
      <c r="D1111" s="233"/>
      <c r="E1111" s="405"/>
      <c r="F1111" s="405"/>
      <c r="G1111" s="405"/>
      <c r="H1111" s="408">
        <f>ROUND(+E1111+F1111+G1111,4)</f>
        <v>0</v>
      </c>
      <c r="I1111" s="234"/>
      <c r="J1111" s="411"/>
      <c r="K1111" s="411"/>
      <c r="L1111" s="414">
        <v>0.1</v>
      </c>
      <c r="M1111" s="414">
        <f>ROUND(+L1111*C1111,4)</f>
        <v>0</v>
      </c>
      <c r="N1111" s="414"/>
      <c r="O1111" s="414"/>
      <c r="P1111" s="414"/>
      <c r="Q1111" s="419">
        <f>ROUND(+N1111+O1111+P1111,4)</f>
        <v>0</v>
      </c>
      <c r="R1111" s="419">
        <f>ROUND(IF(+Q1111-H1111&lt;=0,0,Q1111-H1111),4)</f>
        <v>0</v>
      </c>
      <c r="S1111" s="423">
        <v>0.5</v>
      </c>
      <c r="T1111" s="419">
        <f>ROUND(+(R1111*C1111)*S1111,4)</f>
        <v>0</v>
      </c>
      <c r="U1111" s="419">
        <f>ROUND(+J1111+M1111+T1111,4)</f>
        <v>0</v>
      </c>
      <c r="V1111" s="235"/>
    </row>
    <row r="1112" spans="1:22" ht="15.75" x14ac:dyDescent="0.25">
      <c r="A1112" s="231"/>
      <c r="B1112" s="232"/>
      <c r="C1112" s="400"/>
      <c r="D1112" s="233"/>
      <c r="E1112" s="405"/>
      <c r="F1112" s="405"/>
      <c r="G1112" s="405"/>
      <c r="H1112" s="408">
        <f>ROUND(+E1112+F1112+G1112,4)</f>
        <v>0</v>
      </c>
      <c r="I1112" s="234"/>
      <c r="J1112" s="411"/>
      <c r="K1112" s="411"/>
      <c r="L1112" s="414">
        <v>0.1</v>
      </c>
      <c r="M1112" s="414">
        <f>ROUND(+L1112*C1112,4)</f>
        <v>0</v>
      </c>
      <c r="N1112" s="414"/>
      <c r="O1112" s="414"/>
      <c r="P1112" s="414"/>
      <c r="Q1112" s="419">
        <f>ROUND(+N1112+O1112+P1112,4)</f>
        <v>0</v>
      </c>
      <c r="R1112" s="419">
        <f>ROUND(IF(+Q1112-H1112&lt;=0,0,Q1112-H1112),4)</f>
        <v>0</v>
      </c>
      <c r="S1112" s="423">
        <v>0.5</v>
      </c>
      <c r="T1112" s="419">
        <f>ROUND(+(R1112*C1112)*S1112,4)</f>
        <v>0</v>
      </c>
      <c r="U1112" s="419">
        <f>ROUND(+J1112+M1112+T1112,4)</f>
        <v>0</v>
      </c>
      <c r="V1112" s="235"/>
    </row>
    <row r="1113" spans="1:22" ht="15.75" x14ac:dyDescent="0.25">
      <c r="A1113" s="231"/>
      <c r="B1113" s="232"/>
      <c r="C1113" s="400"/>
      <c r="D1113" s="233"/>
      <c r="E1113" s="405"/>
      <c r="F1113" s="405"/>
      <c r="G1113" s="405"/>
      <c r="H1113" s="408">
        <f>ROUND(+E1113+F1113+G1113,4)</f>
        <v>0</v>
      </c>
      <c r="I1113" s="234"/>
      <c r="J1113" s="411"/>
      <c r="K1113" s="411"/>
      <c r="L1113" s="414">
        <v>0.1</v>
      </c>
      <c r="M1113" s="414">
        <f>ROUND(+L1113*C1113,4)</f>
        <v>0</v>
      </c>
      <c r="N1113" s="414"/>
      <c r="O1113" s="414"/>
      <c r="P1113" s="414"/>
      <c r="Q1113" s="419">
        <f>ROUND(+N1113+O1113+P1113,4)</f>
        <v>0</v>
      </c>
      <c r="R1113" s="419">
        <f>ROUND(IF(+Q1113-H1113&lt;=0,0,Q1113-H1113),4)</f>
        <v>0</v>
      </c>
      <c r="S1113" s="423">
        <v>0.5</v>
      </c>
      <c r="T1113" s="419">
        <f>ROUND(+(R1113*C1113)*S1113,4)</f>
        <v>0</v>
      </c>
      <c r="U1113" s="419">
        <f>ROUND(+J1113+M1113+T1113,4)</f>
        <v>0</v>
      </c>
      <c r="V1113" s="235"/>
    </row>
    <row r="1114" spans="1:22" ht="15.75" x14ac:dyDescent="0.25">
      <c r="A1114" s="231"/>
      <c r="B1114" s="232"/>
      <c r="C1114" s="400"/>
      <c r="D1114" s="233"/>
      <c r="E1114" s="405"/>
      <c r="F1114" s="405"/>
      <c r="G1114" s="405"/>
      <c r="H1114" s="408">
        <f>ROUND(+E1114+F1114+G1114,4)</f>
        <v>0</v>
      </c>
      <c r="I1114" s="234"/>
      <c r="J1114" s="411"/>
      <c r="K1114" s="411"/>
      <c r="L1114" s="414">
        <v>0.1</v>
      </c>
      <c r="M1114" s="414">
        <f>ROUND(+L1114*C1114,4)</f>
        <v>0</v>
      </c>
      <c r="N1114" s="414"/>
      <c r="O1114" s="414"/>
      <c r="P1114" s="414"/>
      <c r="Q1114" s="419">
        <f>ROUND(+N1114+O1114+P1114,4)</f>
        <v>0</v>
      </c>
      <c r="R1114" s="419">
        <f>ROUND(IF(+Q1114-H1114&lt;=0,0,Q1114-H1114),4)</f>
        <v>0</v>
      </c>
      <c r="S1114" s="423">
        <v>0.5</v>
      </c>
      <c r="T1114" s="419">
        <f>ROUND(+(R1114*C1114)*S1114,4)</f>
        <v>0</v>
      </c>
      <c r="U1114" s="419">
        <f>ROUND(+J1114+M1114+T1114,4)</f>
        <v>0</v>
      </c>
      <c r="V1114" s="235"/>
    </row>
    <row r="1115" spans="1:22" ht="15.75" x14ac:dyDescent="0.25">
      <c r="A1115" s="231"/>
      <c r="B1115" s="232"/>
      <c r="C1115" s="400"/>
      <c r="D1115" s="233"/>
      <c r="E1115" s="405"/>
      <c r="F1115" s="405"/>
      <c r="G1115" s="405"/>
      <c r="H1115" s="408">
        <f>ROUND(+E1115+F1115+G1115,4)</f>
        <v>0</v>
      </c>
      <c r="I1115" s="234"/>
      <c r="J1115" s="411"/>
      <c r="K1115" s="411"/>
      <c r="L1115" s="414">
        <v>0.1</v>
      </c>
      <c r="M1115" s="414">
        <f>ROUND(+L1115*C1115,4)</f>
        <v>0</v>
      </c>
      <c r="N1115" s="414"/>
      <c r="O1115" s="414"/>
      <c r="P1115" s="414"/>
      <c r="Q1115" s="419">
        <f>ROUND(+N1115+O1115+P1115,4)</f>
        <v>0</v>
      </c>
      <c r="R1115" s="419">
        <f>ROUND(IF(+Q1115-H1115&lt;=0,0,Q1115-H1115),4)</f>
        <v>0</v>
      </c>
      <c r="S1115" s="423">
        <v>0.5</v>
      </c>
      <c r="T1115" s="419">
        <f>ROUND(+(R1115*C1115)*S1115,4)</f>
        <v>0</v>
      </c>
      <c r="U1115" s="419">
        <f>ROUND(+J1115+M1115+T1115,4)</f>
        <v>0</v>
      </c>
      <c r="V1115" s="235"/>
    </row>
    <row r="1116" spans="1:22" ht="15.75" x14ac:dyDescent="0.25">
      <c r="A1116" s="231"/>
      <c r="B1116" s="232"/>
      <c r="C1116" s="400"/>
      <c r="D1116" s="233"/>
      <c r="E1116" s="405"/>
      <c r="F1116" s="405"/>
      <c r="G1116" s="405"/>
      <c r="H1116" s="408">
        <f>ROUND(+E1116+F1116+G1116,4)</f>
        <v>0</v>
      </c>
      <c r="I1116" s="234"/>
      <c r="J1116" s="411"/>
      <c r="K1116" s="411"/>
      <c r="L1116" s="414">
        <v>0.1</v>
      </c>
      <c r="M1116" s="414">
        <f>ROUND(+L1116*C1116,4)</f>
        <v>0</v>
      </c>
      <c r="N1116" s="414"/>
      <c r="O1116" s="414"/>
      <c r="P1116" s="414"/>
      <c r="Q1116" s="419">
        <f>ROUND(+N1116+O1116+P1116,4)</f>
        <v>0</v>
      </c>
      <c r="R1116" s="419">
        <f>ROUND(IF(+Q1116-H1116&lt;=0,0,Q1116-H1116),4)</f>
        <v>0</v>
      </c>
      <c r="S1116" s="423">
        <v>0.5</v>
      </c>
      <c r="T1116" s="419">
        <f>ROUND(+(R1116*C1116)*S1116,4)</f>
        <v>0</v>
      </c>
      <c r="U1116" s="419">
        <f>ROUND(+J1116+M1116+T1116,4)</f>
        <v>0</v>
      </c>
      <c r="V1116" s="235"/>
    </row>
    <row r="1117" spans="1:22" ht="15.75" x14ac:dyDescent="0.25">
      <c r="A1117" s="231"/>
      <c r="B1117" s="232"/>
      <c r="C1117" s="400"/>
      <c r="D1117" s="233"/>
      <c r="E1117" s="405"/>
      <c r="F1117" s="405"/>
      <c r="G1117" s="405"/>
      <c r="H1117" s="408">
        <f>ROUND(+E1117+F1117+G1117,4)</f>
        <v>0</v>
      </c>
      <c r="I1117" s="234"/>
      <c r="J1117" s="411"/>
      <c r="K1117" s="411"/>
      <c r="L1117" s="414">
        <v>0.1</v>
      </c>
      <c r="M1117" s="414">
        <f>ROUND(+L1117*C1117,4)</f>
        <v>0</v>
      </c>
      <c r="N1117" s="414"/>
      <c r="O1117" s="414"/>
      <c r="P1117" s="414"/>
      <c r="Q1117" s="419">
        <f>ROUND(+N1117+O1117+P1117,4)</f>
        <v>0</v>
      </c>
      <c r="R1117" s="419">
        <f>ROUND(IF(+Q1117-H1117&lt;=0,0,Q1117-H1117),4)</f>
        <v>0</v>
      </c>
      <c r="S1117" s="423">
        <v>0.5</v>
      </c>
      <c r="T1117" s="419">
        <f>ROUND(+(R1117*C1117)*S1117,4)</f>
        <v>0</v>
      </c>
      <c r="U1117" s="419">
        <f>ROUND(+J1117+M1117+T1117,4)</f>
        <v>0</v>
      </c>
      <c r="V1117" s="235"/>
    </row>
    <row r="1118" spans="1:22" ht="15.75" x14ac:dyDescent="0.25">
      <c r="A1118" s="231"/>
      <c r="B1118" s="232"/>
      <c r="C1118" s="400"/>
      <c r="D1118" s="233"/>
      <c r="E1118" s="405"/>
      <c r="F1118" s="405"/>
      <c r="G1118" s="405"/>
      <c r="H1118" s="408">
        <f>ROUND(+E1118+F1118+G1118,4)</f>
        <v>0</v>
      </c>
      <c r="I1118" s="234"/>
      <c r="J1118" s="411"/>
      <c r="K1118" s="411"/>
      <c r="L1118" s="414">
        <v>0.1</v>
      </c>
      <c r="M1118" s="414">
        <f>ROUND(+L1118*C1118,4)</f>
        <v>0</v>
      </c>
      <c r="N1118" s="414"/>
      <c r="O1118" s="414"/>
      <c r="P1118" s="414"/>
      <c r="Q1118" s="419">
        <f>ROUND(+N1118+O1118+P1118,4)</f>
        <v>0</v>
      </c>
      <c r="R1118" s="419">
        <f>ROUND(IF(+Q1118-H1118&lt;=0,0,Q1118-H1118),4)</f>
        <v>0</v>
      </c>
      <c r="S1118" s="423">
        <v>0.5</v>
      </c>
      <c r="T1118" s="419">
        <f>ROUND(+(R1118*C1118)*S1118,4)</f>
        <v>0</v>
      </c>
      <c r="U1118" s="419">
        <f>ROUND(+J1118+M1118+T1118,4)</f>
        <v>0</v>
      </c>
      <c r="V1118" s="235"/>
    </row>
    <row r="1119" spans="1:22" ht="15.75" x14ac:dyDescent="0.25">
      <c r="A1119" s="231"/>
      <c r="B1119" s="232"/>
      <c r="C1119" s="400"/>
      <c r="D1119" s="233"/>
      <c r="E1119" s="405"/>
      <c r="F1119" s="405"/>
      <c r="G1119" s="405"/>
      <c r="H1119" s="408">
        <f>ROUND(+E1119+F1119+G1119,4)</f>
        <v>0</v>
      </c>
      <c r="I1119" s="234"/>
      <c r="J1119" s="411"/>
      <c r="K1119" s="411"/>
      <c r="L1119" s="414">
        <v>0.1</v>
      </c>
      <c r="M1119" s="414">
        <f>ROUND(+L1119*C1119,4)</f>
        <v>0</v>
      </c>
      <c r="N1119" s="414"/>
      <c r="O1119" s="414"/>
      <c r="P1119" s="414"/>
      <c r="Q1119" s="419">
        <f>ROUND(+N1119+O1119+P1119,4)</f>
        <v>0</v>
      </c>
      <c r="R1119" s="419">
        <f>ROUND(IF(+Q1119-H1119&lt;=0,0,Q1119-H1119),4)</f>
        <v>0</v>
      </c>
      <c r="S1119" s="423">
        <v>0.5</v>
      </c>
      <c r="T1119" s="419">
        <f>ROUND(+(R1119*C1119)*S1119,4)</f>
        <v>0</v>
      </c>
      <c r="U1119" s="419">
        <f>ROUND(+J1119+M1119+T1119,4)</f>
        <v>0</v>
      </c>
      <c r="V1119" s="235"/>
    </row>
    <row r="1120" spans="1:22" ht="15.75" x14ac:dyDescent="0.25">
      <c r="A1120" s="231"/>
      <c r="B1120" s="232"/>
      <c r="C1120" s="400"/>
      <c r="D1120" s="233"/>
      <c r="E1120" s="405"/>
      <c r="F1120" s="405"/>
      <c r="G1120" s="405"/>
      <c r="H1120" s="408">
        <f>ROUND(+E1120+F1120+G1120,4)</f>
        <v>0</v>
      </c>
      <c r="I1120" s="234"/>
      <c r="J1120" s="411"/>
      <c r="K1120" s="411"/>
      <c r="L1120" s="414">
        <v>0.1</v>
      </c>
      <c r="M1120" s="414">
        <f>ROUND(+L1120*C1120,4)</f>
        <v>0</v>
      </c>
      <c r="N1120" s="414"/>
      <c r="O1120" s="414"/>
      <c r="P1120" s="414"/>
      <c r="Q1120" s="419">
        <f>ROUND(+N1120+O1120+P1120,4)</f>
        <v>0</v>
      </c>
      <c r="R1120" s="419">
        <f>ROUND(IF(+Q1120-H1120&lt;=0,0,Q1120-H1120),4)</f>
        <v>0</v>
      </c>
      <c r="S1120" s="423">
        <v>0.5</v>
      </c>
      <c r="T1120" s="419">
        <f>ROUND(+(R1120*C1120)*S1120,4)</f>
        <v>0</v>
      </c>
      <c r="U1120" s="419">
        <f>ROUND(+J1120+M1120+T1120,4)</f>
        <v>0</v>
      </c>
      <c r="V1120" s="235"/>
    </row>
    <row r="1121" spans="1:22" ht="15.75" x14ac:dyDescent="0.25">
      <c r="A1121" s="231"/>
      <c r="B1121" s="232"/>
      <c r="C1121" s="400"/>
      <c r="D1121" s="233"/>
      <c r="E1121" s="405"/>
      <c r="F1121" s="405"/>
      <c r="G1121" s="405"/>
      <c r="H1121" s="408">
        <f>ROUND(+E1121+F1121+G1121,4)</f>
        <v>0</v>
      </c>
      <c r="I1121" s="234"/>
      <c r="J1121" s="411"/>
      <c r="K1121" s="411"/>
      <c r="L1121" s="414">
        <v>0.1</v>
      </c>
      <c r="M1121" s="414">
        <f>ROUND(+L1121*C1121,4)</f>
        <v>0</v>
      </c>
      <c r="N1121" s="414"/>
      <c r="O1121" s="414"/>
      <c r="P1121" s="414"/>
      <c r="Q1121" s="419">
        <f>ROUND(+N1121+O1121+P1121,4)</f>
        <v>0</v>
      </c>
      <c r="R1121" s="419">
        <f>ROUND(IF(+Q1121-H1121&lt;=0,0,Q1121-H1121),4)</f>
        <v>0</v>
      </c>
      <c r="S1121" s="423">
        <v>0.5</v>
      </c>
      <c r="T1121" s="419">
        <f>ROUND(+(R1121*C1121)*S1121,4)</f>
        <v>0</v>
      </c>
      <c r="U1121" s="419">
        <f>ROUND(+J1121+M1121+T1121,4)</f>
        <v>0</v>
      </c>
      <c r="V1121" s="235"/>
    </row>
    <row r="1122" spans="1:22" ht="15.75" x14ac:dyDescent="0.25">
      <c r="A1122" s="231"/>
      <c r="B1122" s="232"/>
      <c r="C1122" s="400"/>
      <c r="D1122" s="233"/>
      <c r="E1122" s="405"/>
      <c r="F1122" s="405"/>
      <c r="G1122" s="405"/>
      <c r="H1122" s="408">
        <f>ROUND(+E1122+F1122+G1122,4)</f>
        <v>0</v>
      </c>
      <c r="I1122" s="234"/>
      <c r="J1122" s="411"/>
      <c r="K1122" s="411"/>
      <c r="L1122" s="414">
        <v>0.1</v>
      </c>
      <c r="M1122" s="414">
        <f>ROUND(+L1122*C1122,4)</f>
        <v>0</v>
      </c>
      <c r="N1122" s="414"/>
      <c r="O1122" s="414"/>
      <c r="P1122" s="414"/>
      <c r="Q1122" s="419">
        <f>ROUND(+N1122+O1122+P1122,4)</f>
        <v>0</v>
      </c>
      <c r="R1122" s="419">
        <f>ROUND(IF(+Q1122-H1122&lt;=0,0,Q1122-H1122),4)</f>
        <v>0</v>
      </c>
      <c r="S1122" s="423">
        <v>0.5</v>
      </c>
      <c r="T1122" s="419">
        <f>ROUND(+(R1122*C1122)*S1122,4)</f>
        <v>0</v>
      </c>
      <c r="U1122" s="419">
        <f>ROUND(+J1122+M1122+T1122,4)</f>
        <v>0</v>
      </c>
      <c r="V1122" s="235"/>
    </row>
    <row r="1123" spans="1:22" ht="15.75" x14ac:dyDescent="0.25">
      <c r="A1123" s="231"/>
      <c r="B1123" s="232"/>
      <c r="C1123" s="400"/>
      <c r="D1123" s="233"/>
      <c r="E1123" s="405"/>
      <c r="F1123" s="405"/>
      <c r="G1123" s="405"/>
      <c r="H1123" s="408">
        <f>ROUND(+E1123+F1123+G1123,4)</f>
        <v>0</v>
      </c>
      <c r="I1123" s="234"/>
      <c r="J1123" s="411"/>
      <c r="K1123" s="411"/>
      <c r="L1123" s="414">
        <v>0.1</v>
      </c>
      <c r="M1123" s="414">
        <f>ROUND(+L1123*C1123,4)</f>
        <v>0</v>
      </c>
      <c r="N1123" s="414"/>
      <c r="O1123" s="414"/>
      <c r="P1123" s="414"/>
      <c r="Q1123" s="419">
        <f>ROUND(+N1123+O1123+P1123,4)</f>
        <v>0</v>
      </c>
      <c r="R1123" s="419">
        <f>ROUND(IF(+Q1123-H1123&lt;=0,0,Q1123-H1123),4)</f>
        <v>0</v>
      </c>
      <c r="S1123" s="423">
        <v>0.5</v>
      </c>
      <c r="T1123" s="419">
        <f>ROUND(+(R1123*C1123)*S1123,4)</f>
        <v>0</v>
      </c>
      <c r="U1123" s="419">
        <f>ROUND(+J1123+M1123+T1123,4)</f>
        <v>0</v>
      </c>
      <c r="V1123" s="235"/>
    </row>
    <row r="1124" spans="1:22" ht="15.75" x14ac:dyDescent="0.25">
      <c r="A1124" s="231"/>
      <c r="B1124" s="232"/>
      <c r="C1124" s="400"/>
      <c r="D1124" s="233"/>
      <c r="E1124" s="405"/>
      <c r="F1124" s="405"/>
      <c r="G1124" s="405"/>
      <c r="H1124" s="408">
        <f>ROUND(+E1124+F1124+G1124,4)</f>
        <v>0</v>
      </c>
      <c r="I1124" s="234"/>
      <c r="J1124" s="411"/>
      <c r="K1124" s="411"/>
      <c r="L1124" s="414">
        <v>0.1</v>
      </c>
      <c r="M1124" s="414">
        <f>ROUND(+L1124*C1124,4)</f>
        <v>0</v>
      </c>
      <c r="N1124" s="414"/>
      <c r="O1124" s="414"/>
      <c r="P1124" s="414"/>
      <c r="Q1124" s="419">
        <f>ROUND(+N1124+O1124+P1124,4)</f>
        <v>0</v>
      </c>
      <c r="R1124" s="419">
        <f>ROUND(IF(+Q1124-H1124&lt;=0,0,Q1124-H1124),4)</f>
        <v>0</v>
      </c>
      <c r="S1124" s="423">
        <v>0.5</v>
      </c>
      <c r="T1124" s="419">
        <f>ROUND(+(R1124*C1124)*S1124,4)</f>
        <v>0</v>
      </c>
      <c r="U1124" s="419">
        <f>ROUND(+J1124+M1124+T1124,4)</f>
        <v>0</v>
      </c>
      <c r="V1124" s="235"/>
    </row>
    <row r="1125" spans="1:22" ht="15.75" x14ac:dyDescent="0.25">
      <c r="A1125" s="231"/>
      <c r="B1125" s="232"/>
      <c r="C1125" s="400"/>
      <c r="D1125" s="233"/>
      <c r="E1125" s="405"/>
      <c r="F1125" s="405"/>
      <c r="G1125" s="405"/>
      <c r="H1125" s="408">
        <f>ROUND(+E1125+F1125+G1125,4)</f>
        <v>0</v>
      </c>
      <c r="I1125" s="234"/>
      <c r="J1125" s="411"/>
      <c r="K1125" s="411"/>
      <c r="L1125" s="414">
        <v>0.1</v>
      </c>
      <c r="M1125" s="414">
        <f>ROUND(+L1125*C1125,4)</f>
        <v>0</v>
      </c>
      <c r="N1125" s="414"/>
      <c r="O1125" s="414"/>
      <c r="P1125" s="414"/>
      <c r="Q1125" s="419">
        <f>ROUND(+N1125+O1125+P1125,4)</f>
        <v>0</v>
      </c>
      <c r="R1125" s="419">
        <f>ROUND(IF(+Q1125-H1125&lt;=0,0,Q1125-H1125),4)</f>
        <v>0</v>
      </c>
      <c r="S1125" s="423">
        <v>0.5</v>
      </c>
      <c r="T1125" s="419">
        <f>ROUND(+(R1125*C1125)*S1125,4)</f>
        <v>0</v>
      </c>
      <c r="U1125" s="419">
        <f>ROUND(+J1125+M1125+T1125,4)</f>
        <v>0</v>
      </c>
      <c r="V1125" s="235"/>
    </row>
    <row r="1126" spans="1:22" ht="15.75" x14ac:dyDescent="0.25">
      <c r="A1126" s="231"/>
      <c r="B1126" s="232"/>
      <c r="C1126" s="400"/>
      <c r="D1126" s="233"/>
      <c r="E1126" s="405"/>
      <c r="F1126" s="405"/>
      <c r="G1126" s="405"/>
      <c r="H1126" s="408">
        <f>ROUND(+E1126+F1126+G1126,4)</f>
        <v>0</v>
      </c>
      <c r="I1126" s="234"/>
      <c r="J1126" s="411"/>
      <c r="K1126" s="411"/>
      <c r="L1126" s="414">
        <v>0.1</v>
      </c>
      <c r="M1126" s="414">
        <f>ROUND(+L1126*C1126,4)</f>
        <v>0</v>
      </c>
      <c r="N1126" s="414"/>
      <c r="O1126" s="414"/>
      <c r="P1126" s="414"/>
      <c r="Q1126" s="419">
        <f>ROUND(+N1126+O1126+P1126,4)</f>
        <v>0</v>
      </c>
      <c r="R1126" s="419">
        <f>ROUND(IF(+Q1126-H1126&lt;=0,0,Q1126-H1126),4)</f>
        <v>0</v>
      </c>
      <c r="S1126" s="423">
        <v>0.5</v>
      </c>
      <c r="T1126" s="419">
        <f>ROUND(+(R1126*C1126)*S1126,4)</f>
        <v>0</v>
      </c>
      <c r="U1126" s="419">
        <f>ROUND(+J1126+M1126+T1126,4)</f>
        <v>0</v>
      </c>
      <c r="V1126" s="235"/>
    </row>
    <row r="1127" spans="1:22" ht="15.75" x14ac:dyDescent="0.25">
      <c r="A1127" s="231"/>
      <c r="B1127" s="232"/>
      <c r="C1127" s="400"/>
      <c r="D1127" s="233"/>
      <c r="E1127" s="405"/>
      <c r="F1127" s="405"/>
      <c r="G1127" s="405"/>
      <c r="H1127" s="408">
        <f>ROUND(+E1127+F1127+G1127,4)</f>
        <v>0</v>
      </c>
      <c r="I1127" s="234"/>
      <c r="J1127" s="411"/>
      <c r="K1127" s="411"/>
      <c r="L1127" s="414">
        <v>0.1</v>
      </c>
      <c r="M1127" s="414">
        <f>ROUND(+L1127*C1127,4)</f>
        <v>0</v>
      </c>
      <c r="N1127" s="414"/>
      <c r="O1127" s="414"/>
      <c r="P1127" s="414"/>
      <c r="Q1127" s="419">
        <f>ROUND(+N1127+O1127+P1127,4)</f>
        <v>0</v>
      </c>
      <c r="R1127" s="419">
        <f>ROUND(IF(+Q1127-H1127&lt;=0,0,Q1127-H1127),4)</f>
        <v>0</v>
      </c>
      <c r="S1127" s="423">
        <v>0.5</v>
      </c>
      <c r="T1127" s="419">
        <f>ROUND(+(R1127*C1127)*S1127,4)</f>
        <v>0</v>
      </c>
      <c r="U1127" s="419">
        <f>ROUND(+J1127+M1127+T1127,4)</f>
        <v>0</v>
      </c>
      <c r="V1127" s="235"/>
    </row>
    <row r="1128" spans="1:22" ht="15.75" x14ac:dyDescent="0.25">
      <c r="A1128" s="231"/>
      <c r="B1128" s="232"/>
      <c r="C1128" s="400"/>
      <c r="D1128" s="233"/>
      <c r="E1128" s="405"/>
      <c r="F1128" s="405"/>
      <c r="G1128" s="405"/>
      <c r="H1128" s="408">
        <f>ROUND(+E1128+F1128+G1128,4)</f>
        <v>0</v>
      </c>
      <c r="I1128" s="234"/>
      <c r="J1128" s="411"/>
      <c r="K1128" s="411"/>
      <c r="L1128" s="414">
        <v>0.1</v>
      </c>
      <c r="M1128" s="414">
        <f>ROUND(+L1128*C1128,4)</f>
        <v>0</v>
      </c>
      <c r="N1128" s="414"/>
      <c r="O1128" s="414"/>
      <c r="P1128" s="414"/>
      <c r="Q1128" s="419">
        <f>ROUND(+N1128+O1128+P1128,4)</f>
        <v>0</v>
      </c>
      <c r="R1128" s="419">
        <f>ROUND(IF(+Q1128-H1128&lt;=0,0,Q1128-H1128),4)</f>
        <v>0</v>
      </c>
      <c r="S1128" s="423">
        <v>0.5</v>
      </c>
      <c r="T1128" s="419">
        <f>ROUND(+(R1128*C1128)*S1128,4)</f>
        <v>0</v>
      </c>
      <c r="U1128" s="419">
        <f>ROUND(+J1128+M1128+T1128,4)</f>
        <v>0</v>
      </c>
      <c r="V1128" s="235"/>
    </row>
    <row r="1129" spans="1:22" ht="15.75" x14ac:dyDescent="0.25">
      <c r="A1129" s="231"/>
      <c r="B1129" s="232"/>
      <c r="C1129" s="400"/>
      <c r="D1129" s="233"/>
      <c r="E1129" s="405"/>
      <c r="F1129" s="405"/>
      <c r="G1129" s="405"/>
      <c r="H1129" s="408">
        <f>ROUND(+E1129+F1129+G1129,4)</f>
        <v>0</v>
      </c>
      <c r="I1129" s="234"/>
      <c r="J1129" s="411"/>
      <c r="K1129" s="411"/>
      <c r="L1129" s="414">
        <v>0.1</v>
      </c>
      <c r="M1129" s="414">
        <f>ROUND(+L1129*C1129,4)</f>
        <v>0</v>
      </c>
      <c r="N1129" s="414"/>
      <c r="O1129" s="414"/>
      <c r="P1129" s="414"/>
      <c r="Q1129" s="419">
        <f>ROUND(+N1129+O1129+P1129,4)</f>
        <v>0</v>
      </c>
      <c r="R1129" s="419">
        <f>ROUND(IF(+Q1129-H1129&lt;=0,0,Q1129-H1129),4)</f>
        <v>0</v>
      </c>
      <c r="S1129" s="423">
        <v>0.5</v>
      </c>
      <c r="T1129" s="419">
        <f>ROUND(+(R1129*C1129)*S1129,4)</f>
        <v>0</v>
      </c>
      <c r="U1129" s="419">
        <f>ROUND(+J1129+M1129+T1129,4)</f>
        <v>0</v>
      </c>
      <c r="V1129" s="235"/>
    </row>
    <row r="1130" spans="1:22" ht="15.75" x14ac:dyDescent="0.25">
      <c r="A1130" s="231"/>
      <c r="B1130" s="232"/>
      <c r="C1130" s="400"/>
      <c r="D1130" s="233"/>
      <c r="E1130" s="405"/>
      <c r="F1130" s="405"/>
      <c r="G1130" s="405"/>
      <c r="H1130" s="408">
        <f>ROUND(+E1130+F1130+G1130,4)</f>
        <v>0</v>
      </c>
      <c r="I1130" s="234"/>
      <c r="J1130" s="411"/>
      <c r="K1130" s="411"/>
      <c r="L1130" s="414">
        <v>0.1</v>
      </c>
      <c r="M1130" s="414">
        <f>ROUND(+L1130*C1130,4)</f>
        <v>0</v>
      </c>
      <c r="N1130" s="414"/>
      <c r="O1130" s="414"/>
      <c r="P1130" s="414"/>
      <c r="Q1130" s="419">
        <f>ROUND(+N1130+O1130+P1130,4)</f>
        <v>0</v>
      </c>
      <c r="R1130" s="419">
        <f>ROUND(IF(+Q1130-H1130&lt;=0,0,Q1130-H1130),4)</f>
        <v>0</v>
      </c>
      <c r="S1130" s="423">
        <v>0.5</v>
      </c>
      <c r="T1130" s="419">
        <f>ROUND(+(R1130*C1130)*S1130,4)</f>
        <v>0</v>
      </c>
      <c r="U1130" s="419">
        <f>ROUND(+J1130+M1130+T1130,4)</f>
        <v>0</v>
      </c>
      <c r="V1130" s="235"/>
    </row>
    <row r="1131" spans="1:22" ht="15.75" x14ac:dyDescent="0.25">
      <c r="A1131" s="231"/>
      <c r="B1131" s="232"/>
      <c r="C1131" s="400"/>
      <c r="D1131" s="233"/>
      <c r="E1131" s="405"/>
      <c r="F1131" s="405"/>
      <c r="G1131" s="405"/>
      <c r="H1131" s="408">
        <f>ROUND(+E1131+F1131+G1131,4)</f>
        <v>0</v>
      </c>
      <c r="I1131" s="234"/>
      <c r="J1131" s="411"/>
      <c r="K1131" s="411"/>
      <c r="L1131" s="414">
        <v>0.1</v>
      </c>
      <c r="M1131" s="414">
        <f>ROUND(+L1131*C1131,4)</f>
        <v>0</v>
      </c>
      <c r="N1131" s="414"/>
      <c r="O1131" s="414"/>
      <c r="P1131" s="414"/>
      <c r="Q1131" s="419">
        <f>ROUND(+N1131+O1131+P1131,4)</f>
        <v>0</v>
      </c>
      <c r="R1131" s="419">
        <f>ROUND(IF(+Q1131-H1131&lt;=0,0,Q1131-H1131),4)</f>
        <v>0</v>
      </c>
      <c r="S1131" s="423">
        <v>0.5</v>
      </c>
      <c r="T1131" s="419">
        <f>ROUND(+(R1131*C1131)*S1131,4)</f>
        <v>0</v>
      </c>
      <c r="U1131" s="419">
        <f>ROUND(+J1131+M1131+T1131,4)</f>
        <v>0</v>
      </c>
      <c r="V1131" s="235"/>
    </row>
    <row r="1132" spans="1:22" ht="15.75" x14ac:dyDescent="0.25">
      <c r="A1132" s="231"/>
      <c r="B1132" s="232"/>
      <c r="C1132" s="400"/>
      <c r="D1132" s="233"/>
      <c r="E1132" s="405"/>
      <c r="F1132" s="405"/>
      <c r="G1132" s="405"/>
      <c r="H1132" s="408">
        <f>ROUND(+E1132+F1132+G1132,4)</f>
        <v>0</v>
      </c>
      <c r="I1132" s="234"/>
      <c r="J1132" s="411"/>
      <c r="K1132" s="411"/>
      <c r="L1132" s="414">
        <v>0.1</v>
      </c>
      <c r="M1132" s="414">
        <f>ROUND(+L1132*C1132,4)</f>
        <v>0</v>
      </c>
      <c r="N1132" s="414"/>
      <c r="O1132" s="414"/>
      <c r="P1132" s="414"/>
      <c r="Q1132" s="419">
        <f>ROUND(+N1132+O1132+P1132,4)</f>
        <v>0</v>
      </c>
      <c r="R1132" s="419">
        <f>ROUND(IF(+Q1132-H1132&lt;=0,0,Q1132-H1132),4)</f>
        <v>0</v>
      </c>
      <c r="S1132" s="423">
        <v>0.5</v>
      </c>
      <c r="T1132" s="419">
        <f>ROUND(+(R1132*C1132)*S1132,4)</f>
        <v>0</v>
      </c>
      <c r="U1132" s="419">
        <f>ROUND(+J1132+M1132+T1132,4)</f>
        <v>0</v>
      </c>
      <c r="V1132" s="235"/>
    </row>
    <row r="1133" spans="1:22" ht="15.75" x14ac:dyDescent="0.25">
      <c r="A1133" s="231"/>
      <c r="B1133" s="232"/>
      <c r="C1133" s="400"/>
      <c r="D1133" s="233"/>
      <c r="E1133" s="405"/>
      <c r="F1133" s="405"/>
      <c r="G1133" s="405"/>
      <c r="H1133" s="408">
        <f>ROUND(+E1133+F1133+G1133,4)</f>
        <v>0</v>
      </c>
      <c r="I1133" s="234"/>
      <c r="J1133" s="411"/>
      <c r="K1133" s="411"/>
      <c r="L1133" s="414">
        <v>0.1</v>
      </c>
      <c r="M1133" s="414">
        <f>ROUND(+L1133*C1133,4)</f>
        <v>0</v>
      </c>
      <c r="N1133" s="414"/>
      <c r="O1133" s="414"/>
      <c r="P1133" s="414"/>
      <c r="Q1133" s="419">
        <f>ROUND(+N1133+O1133+P1133,4)</f>
        <v>0</v>
      </c>
      <c r="R1133" s="419">
        <f>ROUND(IF(+Q1133-H1133&lt;=0,0,Q1133-H1133),4)</f>
        <v>0</v>
      </c>
      <c r="S1133" s="423">
        <v>0.5</v>
      </c>
      <c r="T1133" s="419">
        <f>ROUND(+(R1133*C1133)*S1133,4)</f>
        <v>0</v>
      </c>
      <c r="U1133" s="419">
        <f>ROUND(+J1133+M1133+T1133,4)</f>
        <v>0</v>
      </c>
      <c r="V1133" s="235"/>
    </row>
    <row r="1134" spans="1:22" ht="15.75" x14ac:dyDescent="0.25">
      <c r="A1134" s="231"/>
      <c r="B1134" s="232"/>
      <c r="C1134" s="400"/>
      <c r="D1134" s="233"/>
      <c r="E1134" s="405"/>
      <c r="F1134" s="405"/>
      <c r="G1134" s="405"/>
      <c r="H1134" s="408">
        <f>ROUND(+E1134+F1134+G1134,4)</f>
        <v>0</v>
      </c>
      <c r="I1134" s="234"/>
      <c r="J1134" s="411"/>
      <c r="K1134" s="411"/>
      <c r="L1134" s="414">
        <v>0.1</v>
      </c>
      <c r="M1134" s="414">
        <f>ROUND(+L1134*C1134,4)</f>
        <v>0</v>
      </c>
      <c r="N1134" s="414"/>
      <c r="O1134" s="414"/>
      <c r="P1134" s="414"/>
      <c r="Q1134" s="419">
        <f>ROUND(+N1134+O1134+P1134,4)</f>
        <v>0</v>
      </c>
      <c r="R1134" s="419">
        <f>ROUND(IF(+Q1134-H1134&lt;=0,0,Q1134-H1134),4)</f>
        <v>0</v>
      </c>
      <c r="S1134" s="423">
        <v>0.5</v>
      </c>
      <c r="T1134" s="419">
        <f>ROUND(+(R1134*C1134)*S1134,4)</f>
        <v>0</v>
      </c>
      <c r="U1134" s="419">
        <f>ROUND(+J1134+M1134+T1134,4)</f>
        <v>0</v>
      </c>
      <c r="V1134" s="235"/>
    </row>
    <row r="1135" spans="1:22" ht="15.75" x14ac:dyDescent="0.25">
      <c r="A1135" s="231"/>
      <c r="B1135" s="232"/>
      <c r="C1135" s="400"/>
      <c r="D1135" s="233"/>
      <c r="E1135" s="405"/>
      <c r="F1135" s="405"/>
      <c r="G1135" s="405"/>
      <c r="H1135" s="408">
        <f>ROUND(+E1135+F1135+G1135,4)</f>
        <v>0</v>
      </c>
      <c r="I1135" s="234"/>
      <c r="J1135" s="411"/>
      <c r="K1135" s="411"/>
      <c r="L1135" s="414">
        <v>0.1</v>
      </c>
      <c r="M1135" s="414">
        <f>ROUND(+L1135*C1135,4)</f>
        <v>0</v>
      </c>
      <c r="N1135" s="414"/>
      <c r="O1135" s="414"/>
      <c r="P1135" s="414"/>
      <c r="Q1135" s="419">
        <f>ROUND(+N1135+O1135+P1135,4)</f>
        <v>0</v>
      </c>
      <c r="R1135" s="419">
        <f>ROUND(IF(+Q1135-H1135&lt;=0,0,Q1135-H1135),4)</f>
        <v>0</v>
      </c>
      <c r="S1135" s="423">
        <v>0.5</v>
      </c>
      <c r="T1135" s="419">
        <f>ROUND(+(R1135*C1135)*S1135,4)</f>
        <v>0</v>
      </c>
      <c r="U1135" s="419">
        <f>ROUND(+J1135+M1135+T1135,4)</f>
        <v>0</v>
      </c>
      <c r="V1135" s="235"/>
    </row>
    <row r="1136" spans="1:22" ht="15.75" x14ac:dyDescent="0.25">
      <c r="A1136" s="231"/>
      <c r="B1136" s="232"/>
      <c r="C1136" s="400"/>
      <c r="D1136" s="233"/>
      <c r="E1136" s="405"/>
      <c r="F1136" s="405"/>
      <c r="G1136" s="405"/>
      <c r="H1136" s="408">
        <f>ROUND(+E1136+F1136+G1136,4)</f>
        <v>0</v>
      </c>
      <c r="I1136" s="234"/>
      <c r="J1136" s="411"/>
      <c r="K1136" s="411"/>
      <c r="L1136" s="414">
        <v>0.1</v>
      </c>
      <c r="M1136" s="414">
        <f>ROUND(+L1136*C1136,4)</f>
        <v>0</v>
      </c>
      <c r="N1136" s="414"/>
      <c r="O1136" s="414"/>
      <c r="P1136" s="414"/>
      <c r="Q1136" s="419">
        <f>ROUND(+N1136+O1136+P1136,4)</f>
        <v>0</v>
      </c>
      <c r="R1136" s="419">
        <f>ROUND(IF(+Q1136-H1136&lt;=0,0,Q1136-H1136),4)</f>
        <v>0</v>
      </c>
      <c r="S1136" s="423">
        <v>0.5</v>
      </c>
      <c r="T1136" s="419">
        <f>ROUND(+(R1136*C1136)*S1136,4)</f>
        <v>0</v>
      </c>
      <c r="U1136" s="419">
        <f>ROUND(+J1136+M1136+T1136,4)</f>
        <v>0</v>
      </c>
      <c r="V1136" s="235"/>
    </row>
    <row r="1137" spans="1:22" ht="15.75" x14ac:dyDescent="0.25">
      <c r="A1137" s="231"/>
      <c r="B1137" s="232"/>
      <c r="C1137" s="400"/>
      <c r="D1137" s="233"/>
      <c r="E1137" s="405"/>
      <c r="F1137" s="405"/>
      <c r="G1137" s="405"/>
      <c r="H1137" s="408">
        <f>ROUND(+E1137+F1137+G1137,4)</f>
        <v>0</v>
      </c>
      <c r="I1137" s="234"/>
      <c r="J1137" s="411"/>
      <c r="K1137" s="411"/>
      <c r="L1137" s="414">
        <v>0.1</v>
      </c>
      <c r="M1137" s="414">
        <f>ROUND(+L1137*C1137,4)</f>
        <v>0</v>
      </c>
      <c r="N1137" s="414"/>
      <c r="O1137" s="414"/>
      <c r="P1137" s="414"/>
      <c r="Q1137" s="419">
        <f>ROUND(+N1137+O1137+P1137,4)</f>
        <v>0</v>
      </c>
      <c r="R1137" s="419">
        <f>ROUND(IF(+Q1137-H1137&lt;=0,0,Q1137-H1137),4)</f>
        <v>0</v>
      </c>
      <c r="S1137" s="423">
        <v>0.5</v>
      </c>
      <c r="T1137" s="419">
        <f>ROUND(+(R1137*C1137)*S1137,4)</f>
        <v>0</v>
      </c>
      <c r="U1137" s="419">
        <f>ROUND(+J1137+M1137+T1137,4)</f>
        <v>0</v>
      </c>
      <c r="V1137" s="235"/>
    </row>
    <row r="1138" spans="1:22" ht="15.75" x14ac:dyDescent="0.25">
      <c r="A1138" s="231"/>
      <c r="B1138" s="232"/>
      <c r="C1138" s="400"/>
      <c r="D1138" s="233"/>
      <c r="E1138" s="405"/>
      <c r="F1138" s="405"/>
      <c r="G1138" s="405"/>
      <c r="H1138" s="408">
        <f>ROUND(+E1138+F1138+G1138,4)</f>
        <v>0</v>
      </c>
      <c r="I1138" s="234"/>
      <c r="J1138" s="411"/>
      <c r="K1138" s="411"/>
      <c r="L1138" s="414">
        <v>0.1</v>
      </c>
      <c r="M1138" s="414">
        <f>ROUND(+L1138*C1138,4)</f>
        <v>0</v>
      </c>
      <c r="N1138" s="414"/>
      <c r="O1138" s="414"/>
      <c r="P1138" s="414"/>
      <c r="Q1138" s="419">
        <f>ROUND(+N1138+O1138+P1138,4)</f>
        <v>0</v>
      </c>
      <c r="R1138" s="419">
        <f>ROUND(IF(+Q1138-H1138&lt;=0,0,Q1138-H1138),4)</f>
        <v>0</v>
      </c>
      <c r="S1138" s="423">
        <v>0.5</v>
      </c>
      <c r="T1138" s="419">
        <f>ROUND(+(R1138*C1138)*S1138,4)</f>
        <v>0</v>
      </c>
      <c r="U1138" s="419">
        <f>ROUND(+J1138+M1138+T1138,4)</f>
        <v>0</v>
      </c>
      <c r="V1138" s="235"/>
    </row>
    <row r="1139" spans="1:22" ht="15.75" x14ac:dyDescent="0.25">
      <c r="A1139" s="231"/>
      <c r="B1139" s="232"/>
      <c r="C1139" s="400"/>
      <c r="D1139" s="233"/>
      <c r="E1139" s="405"/>
      <c r="F1139" s="405"/>
      <c r="G1139" s="405"/>
      <c r="H1139" s="408">
        <f>ROUND(+E1139+F1139+G1139,4)</f>
        <v>0</v>
      </c>
      <c r="I1139" s="234"/>
      <c r="J1139" s="411"/>
      <c r="K1139" s="411"/>
      <c r="L1139" s="414">
        <v>0.1</v>
      </c>
      <c r="M1139" s="414">
        <f>ROUND(+L1139*C1139,4)</f>
        <v>0</v>
      </c>
      <c r="N1139" s="414"/>
      <c r="O1139" s="414"/>
      <c r="P1139" s="414"/>
      <c r="Q1139" s="419">
        <f>ROUND(+N1139+O1139+P1139,4)</f>
        <v>0</v>
      </c>
      <c r="R1139" s="419">
        <f>ROUND(IF(+Q1139-H1139&lt;=0,0,Q1139-H1139),4)</f>
        <v>0</v>
      </c>
      <c r="S1139" s="423">
        <v>0.5</v>
      </c>
      <c r="T1139" s="419">
        <f>ROUND(+(R1139*C1139)*S1139,4)</f>
        <v>0</v>
      </c>
      <c r="U1139" s="419">
        <f>ROUND(+J1139+M1139+T1139,4)</f>
        <v>0</v>
      </c>
      <c r="V1139" s="235"/>
    </row>
    <row r="1140" spans="1:22" ht="15.75" x14ac:dyDescent="0.25">
      <c r="A1140" s="231"/>
      <c r="B1140" s="232"/>
      <c r="C1140" s="400"/>
      <c r="D1140" s="233"/>
      <c r="E1140" s="405"/>
      <c r="F1140" s="405"/>
      <c r="G1140" s="405"/>
      <c r="H1140" s="408">
        <f>ROUND(+E1140+F1140+G1140,4)</f>
        <v>0</v>
      </c>
      <c r="I1140" s="234"/>
      <c r="J1140" s="411"/>
      <c r="K1140" s="411"/>
      <c r="L1140" s="414">
        <v>0.1</v>
      </c>
      <c r="M1140" s="414">
        <f>ROUND(+L1140*C1140,4)</f>
        <v>0</v>
      </c>
      <c r="N1140" s="414"/>
      <c r="O1140" s="414"/>
      <c r="P1140" s="414"/>
      <c r="Q1140" s="419">
        <f>ROUND(+N1140+O1140+P1140,4)</f>
        <v>0</v>
      </c>
      <c r="R1140" s="419">
        <f>ROUND(IF(+Q1140-H1140&lt;=0,0,Q1140-H1140),4)</f>
        <v>0</v>
      </c>
      <c r="S1140" s="423">
        <v>0.5</v>
      </c>
      <c r="T1140" s="419">
        <f>ROUND(+(R1140*C1140)*S1140,4)</f>
        <v>0</v>
      </c>
      <c r="U1140" s="419">
        <f>ROUND(+J1140+M1140+T1140,4)</f>
        <v>0</v>
      </c>
      <c r="V1140" s="235"/>
    </row>
    <row r="1141" spans="1:22" ht="15.75" x14ac:dyDescent="0.25">
      <c r="A1141" s="231"/>
      <c r="B1141" s="232"/>
      <c r="C1141" s="400"/>
      <c r="D1141" s="233"/>
      <c r="E1141" s="405"/>
      <c r="F1141" s="405"/>
      <c r="G1141" s="405"/>
      <c r="H1141" s="408">
        <f>ROUND(+E1141+F1141+G1141,4)</f>
        <v>0</v>
      </c>
      <c r="I1141" s="234"/>
      <c r="J1141" s="411"/>
      <c r="K1141" s="411"/>
      <c r="L1141" s="414">
        <v>0.1</v>
      </c>
      <c r="M1141" s="414">
        <f>ROUND(+L1141*C1141,4)</f>
        <v>0</v>
      </c>
      <c r="N1141" s="414"/>
      <c r="O1141" s="414"/>
      <c r="P1141" s="414"/>
      <c r="Q1141" s="419">
        <f>ROUND(+N1141+O1141+P1141,4)</f>
        <v>0</v>
      </c>
      <c r="R1141" s="419">
        <f>ROUND(IF(+Q1141-H1141&lt;=0,0,Q1141-H1141),4)</f>
        <v>0</v>
      </c>
      <c r="S1141" s="423">
        <v>0.5</v>
      </c>
      <c r="T1141" s="419">
        <f>ROUND(+(R1141*C1141)*S1141,4)</f>
        <v>0</v>
      </c>
      <c r="U1141" s="419">
        <f>ROUND(+J1141+M1141+T1141,4)</f>
        <v>0</v>
      </c>
      <c r="V1141" s="235"/>
    </row>
    <row r="1142" spans="1:22" ht="15.75" x14ac:dyDescent="0.25">
      <c r="A1142" s="231"/>
      <c r="B1142" s="232"/>
      <c r="C1142" s="400"/>
      <c r="D1142" s="233"/>
      <c r="E1142" s="405"/>
      <c r="F1142" s="405"/>
      <c r="G1142" s="405"/>
      <c r="H1142" s="408">
        <f>ROUND(+E1142+F1142+G1142,4)</f>
        <v>0</v>
      </c>
      <c r="I1142" s="234"/>
      <c r="J1142" s="411"/>
      <c r="K1142" s="411"/>
      <c r="L1142" s="414">
        <v>0.1</v>
      </c>
      <c r="M1142" s="414">
        <f>ROUND(+L1142*C1142,4)</f>
        <v>0</v>
      </c>
      <c r="N1142" s="414"/>
      <c r="O1142" s="414"/>
      <c r="P1142" s="414"/>
      <c r="Q1142" s="419">
        <f>ROUND(+N1142+O1142+P1142,4)</f>
        <v>0</v>
      </c>
      <c r="R1142" s="419">
        <f>ROUND(IF(+Q1142-H1142&lt;=0,0,Q1142-H1142),4)</f>
        <v>0</v>
      </c>
      <c r="S1142" s="423">
        <v>0.5</v>
      </c>
      <c r="T1142" s="419">
        <f>ROUND(+(R1142*C1142)*S1142,4)</f>
        <v>0</v>
      </c>
      <c r="U1142" s="419">
        <f>ROUND(+J1142+M1142+T1142,4)</f>
        <v>0</v>
      </c>
      <c r="V1142" s="235"/>
    </row>
    <row r="1143" spans="1:22" ht="15.75" x14ac:dyDescent="0.25">
      <c r="A1143" s="231"/>
      <c r="B1143" s="232"/>
      <c r="C1143" s="400"/>
      <c r="D1143" s="233"/>
      <c r="E1143" s="405"/>
      <c r="F1143" s="405"/>
      <c r="G1143" s="405"/>
      <c r="H1143" s="408">
        <f>ROUND(+E1143+F1143+G1143,4)</f>
        <v>0</v>
      </c>
      <c r="I1143" s="234"/>
      <c r="J1143" s="411"/>
      <c r="K1143" s="411"/>
      <c r="L1143" s="414">
        <v>0.1</v>
      </c>
      <c r="M1143" s="414">
        <f>ROUND(+L1143*C1143,4)</f>
        <v>0</v>
      </c>
      <c r="N1143" s="414"/>
      <c r="O1143" s="414"/>
      <c r="P1143" s="414"/>
      <c r="Q1143" s="419">
        <f>ROUND(+N1143+O1143+P1143,4)</f>
        <v>0</v>
      </c>
      <c r="R1143" s="419">
        <f>ROUND(IF(+Q1143-H1143&lt;=0,0,Q1143-H1143),4)</f>
        <v>0</v>
      </c>
      <c r="S1143" s="423">
        <v>0.5</v>
      </c>
      <c r="T1143" s="419">
        <f>ROUND(+(R1143*C1143)*S1143,4)</f>
        <v>0</v>
      </c>
      <c r="U1143" s="419">
        <f>ROUND(+J1143+M1143+T1143,4)</f>
        <v>0</v>
      </c>
      <c r="V1143" s="235"/>
    </row>
    <row r="1144" spans="1:22" ht="15.75" x14ac:dyDescent="0.25">
      <c r="A1144" s="231"/>
      <c r="B1144" s="232"/>
      <c r="C1144" s="400"/>
      <c r="D1144" s="233"/>
      <c r="E1144" s="405"/>
      <c r="F1144" s="405"/>
      <c r="G1144" s="405"/>
      <c r="H1144" s="408">
        <f>ROUND(+E1144+F1144+G1144,4)</f>
        <v>0</v>
      </c>
      <c r="I1144" s="234"/>
      <c r="J1144" s="411"/>
      <c r="K1144" s="411"/>
      <c r="L1144" s="414">
        <v>0.1</v>
      </c>
      <c r="M1144" s="414">
        <f>ROUND(+L1144*C1144,4)</f>
        <v>0</v>
      </c>
      <c r="N1144" s="414"/>
      <c r="O1144" s="414"/>
      <c r="P1144" s="414"/>
      <c r="Q1144" s="419">
        <f>ROUND(+N1144+O1144+P1144,4)</f>
        <v>0</v>
      </c>
      <c r="R1144" s="419">
        <f>ROUND(IF(+Q1144-H1144&lt;=0,0,Q1144-H1144),4)</f>
        <v>0</v>
      </c>
      <c r="S1144" s="423">
        <v>0.5</v>
      </c>
      <c r="T1144" s="419">
        <f>ROUND(+(R1144*C1144)*S1144,4)</f>
        <v>0</v>
      </c>
      <c r="U1144" s="419">
        <f>ROUND(+J1144+M1144+T1144,4)</f>
        <v>0</v>
      </c>
      <c r="V1144" s="235"/>
    </row>
    <row r="1145" spans="1:22" ht="15.75" x14ac:dyDescent="0.25">
      <c r="A1145" s="231"/>
      <c r="B1145" s="232"/>
      <c r="C1145" s="400"/>
      <c r="D1145" s="233"/>
      <c r="E1145" s="405"/>
      <c r="F1145" s="405"/>
      <c r="G1145" s="405"/>
      <c r="H1145" s="408">
        <f>ROUND(+E1145+F1145+G1145,4)</f>
        <v>0</v>
      </c>
      <c r="I1145" s="234"/>
      <c r="J1145" s="411"/>
      <c r="K1145" s="411"/>
      <c r="L1145" s="414">
        <v>0.1</v>
      </c>
      <c r="M1145" s="414">
        <f>ROUND(+L1145*C1145,4)</f>
        <v>0</v>
      </c>
      <c r="N1145" s="414"/>
      <c r="O1145" s="414"/>
      <c r="P1145" s="414"/>
      <c r="Q1145" s="419">
        <f>ROUND(+N1145+O1145+P1145,4)</f>
        <v>0</v>
      </c>
      <c r="R1145" s="419">
        <f>ROUND(IF(+Q1145-H1145&lt;=0,0,Q1145-H1145),4)</f>
        <v>0</v>
      </c>
      <c r="S1145" s="423">
        <v>0.5</v>
      </c>
      <c r="T1145" s="419">
        <f>ROUND(+(R1145*C1145)*S1145,4)</f>
        <v>0</v>
      </c>
      <c r="U1145" s="419">
        <f>ROUND(+J1145+M1145+T1145,4)</f>
        <v>0</v>
      </c>
      <c r="V1145" s="235"/>
    </row>
    <row r="1146" spans="1:22" ht="15.75" x14ac:dyDescent="0.25">
      <c r="A1146" s="231"/>
      <c r="B1146" s="232"/>
      <c r="C1146" s="400"/>
      <c r="D1146" s="233"/>
      <c r="E1146" s="405"/>
      <c r="F1146" s="405"/>
      <c r="G1146" s="405"/>
      <c r="H1146" s="408">
        <f>ROUND(+E1146+F1146+G1146,4)</f>
        <v>0</v>
      </c>
      <c r="I1146" s="234"/>
      <c r="J1146" s="411"/>
      <c r="K1146" s="411"/>
      <c r="L1146" s="414">
        <v>0.1</v>
      </c>
      <c r="M1146" s="414">
        <f>ROUND(+L1146*C1146,4)</f>
        <v>0</v>
      </c>
      <c r="N1146" s="414"/>
      <c r="O1146" s="414"/>
      <c r="P1146" s="414"/>
      <c r="Q1146" s="419">
        <f>ROUND(+N1146+O1146+P1146,4)</f>
        <v>0</v>
      </c>
      <c r="R1146" s="419">
        <f>ROUND(IF(+Q1146-H1146&lt;=0,0,Q1146-H1146),4)</f>
        <v>0</v>
      </c>
      <c r="S1146" s="423">
        <v>0.5</v>
      </c>
      <c r="T1146" s="419">
        <f>ROUND(+(R1146*C1146)*S1146,4)</f>
        <v>0</v>
      </c>
      <c r="U1146" s="419">
        <f>ROUND(+J1146+M1146+T1146,4)</f>
        <v>0</v>
      </c>
      <c r="V1146" s="235"/>
    </row>
    <row r="1147" spans="1:22" ht="15.75" x14ac:dyDescent="0.25">
      <c r="A1147" s="231"/>
      <c r="B1147" s="232"/>
      <c r="C1147" s="400"/>
      <c r="D1147" s="233"/>
      <c r="E1147" s="405"/>
      <c r="F1147" s="405"/>
      <c r="G1147" s="405"/>
      <c r="H1147" s="408">
        <f>ROUND(+E1147+F1147+G1147,4)</f>
        <v>0</v>
      </c>
      <c r="I1147" s="234"/>
      <c r="J1147" s="411"/>
      <c r="K1147" s="411"/>
      <c r="L1147" s="414">
        <v>0.1</v>
      </c>
      <c r="M1147" s="414">
        <f>ROUND(+L1147*C1147,4)</f>
        <v>0</v>
      </c>
      <c r="N1147" s="414"/>
      <c r="O1147" s="414"/>
      <c r="P1147" s="414"/>
      <c r="Q1147" s="419">
        <f>ROUND(+N1147+O1147+P1147,4)</f>
        <v>0</v>
      </c>
      <c r="R1147" s="419">
        <f>ROUND(IF(+Q1147-H1147&lt;=0,0,Q1147-H1147),4)</f>
        <v>0</v>
      </c>
      <c r="S1147" s="423">
        <v>0.5</v>
      </c>
      <c r="T1147" s="419">
        <f>ROUND(+(R1147*C1147)*S1147,4)</f>
        <v>0</v>
      </c>
      <c r="U1147" s="419">
        <f>ROUND(+J1147+M1147+T1147,4)</f>
        <v>0</v>
      </c>
      <c r="V1147" s="235"/>
    </row>
    <row r="1148" spans="1:22" ht="15.75" x14ac:dyDescent="0.25">
      <c r="A1148" s="231"/>
      <c r="B1148" s="232"/>
      <c r="C1148" s="400"/>
      <c r="D1148" s="233"/>
      <c r="E1148" s="405"/>
      <c r="F1148" s="405"/>
      <c r="G1148" s="405"/>
      <c r="H1148" s="408">
        <f>ROUND(+E1148+F1148+G1148,4)</f>
        <v>0</v>
      </c>
      <c r="I1148" s="234"/>
      <c r="J1148" s="411"/>
      <c r="K1148" s="411"/>
      <c r="L1148" s="414">
        <v>0.1</v>
      </c>
      <c r="M1148" s="414">
        <f>ROUND(+L1148*C1148,4)</f>
        <v>0</v>
      </c>
      <c r="N1148" s="414"/>
      <c r="O1148" s="414"/>
      <c r="P1148" s="414"/>
      <c r="Q1148" s="419">
        <f>ROUND(+N1148+O1148+P1148,4)</f>
        <v>0</v>
      </c>
      <c r="R1148" s="419">
        <f>ROUND(IF(+Q1148-H1148&lt;=0,0,Q1148-H1148),4)</f>
        <v>0</v>
      </c>
      <c r="S1148" s="423">
        <v>0.5</v>
      </c>
      <c r="T1148" s="419">
        <f>ROUND(+(R1148*C1148)*S1148,4)</f>
        <v>0</v>
      </c>
      <c r="U1148" s="419">
        <f>ROUND(+J1148+M1148+T1148,4)</f>
        <v>0</v>
      </c>
      <c r="V1148" s="235"/>
    </row>
    <row r="1149" spans="1:22" ht="15.75" x14ac:dyDescent="0.25">
      <c r="A1149" s="231"/>
      <c r="B1149" s="232"/>
      <c r="C1149" s="400"/>
      <c r="D1149" s="233"/>
      <c r="E1149" s="405"/>
      <c r="F1149" s="405"/>
      <c r="G1149" s="405"/>
      <c r="H1149" s="408">
        <f>ROUND(+E1149+F1149+G1149,4)</f>
        <v>0</v>
      </c>
      <c r="I1149" s="234"/>
      <c r="J1149" s="411"/>
      <c r="K1149" s="411"/>
      <c r="L1149" s="414">
        <v>0.1</v>
      </c>
      <c r="M1149" s="414">
        <f>ROUND(+L1149*C1149,4)</f>
        <v>0</v>
      </c>
      <c r="N1149" s="414"/>
      <c r="O1149" s="414"/>
      <c r="P1149" s="414"/>
      <c r="Q1149" s="419">
        <f>ROUND(+N1149+O1149+P1149,4)</f>
        <v>0</v>
      </c>
      <c r="R1149" s="419">
        <f>ROUND(IF(+Q1149-H1149&lt;=0,0,Q1149-H1149),4)</f>
        <v>0</v>
      </c>
      <c r="S1149" s="423">
        <v>0.5</v>
      </c>
      <c r="T1149" s="419">
        <f>ROUND(+(R1149*C1149)*S1149,4)</f>
        <v>0</v>
      </c>
      <c r="U1149" s="419">
        <f>ROUND(+J1149+M1149+T1149,4)</f>
        <v>0</v>
      </c>
      <c r="V1149" s="235"/>
    </row>
    <row r="1150" spans="1:22" ht="15.75" x14ac:dyDescent="0.25">
      <c r="A1150" s="231"/>
      <c r="B1150" s="232"/>
      <c r="C1150" s="400"/>
      <c r="D1150" s="233"/>
      <c r="E1150" s="405"/>
      <c r="F1150" s="405"/>
      <c r="G1150" s="405"/>
      <c r="H1150" s="408">
        <f>ROUND(+E1150+F1150+G1150,4)</f>
        <v>0</v>
      </c>
      <c r="I1150" s="234"/>
      <c r="J1150" s="411"/>
      <c r="K1150" s="411"/>
      <c r="L1150" s="414">
        <v>0.1</v>
      </c>
      <c r="M1150" s="414">
        <f>ROUND(+L1150*C1150,4)</f>
        <v>0</v>
      </c>
      <c r="N1150" s="414"/>
      <c r="O1150" s="414"/>
      <c r="P1150" s="414"/>
      <c r="Q1150" s="419">
        <f>ROUND(+N1150+O1150+P1150,4)</f>
        <v>0</v>
      </c>
      <c r="R1150" s="419">
        <f>ROUND(IF(+Q1150-H1150&lt;=0,0,Q1150-H1150),4)</f>
        <v>0</v>
      </c>
      <c r="S1150" s="423">
        <v>0.5</v>
      </c>
      <c r="T1150" s="419">
        <f>ROUND(+(R1150*C1150)*S1150,4)</f>
        <v>0</v>
      </c>
      <c r="U1150" s="419">
        <f>ROUND(+J1150+M1150+T1150,4)</f>
        <v>0</v>
      </c>
      <c r="V1150" s="235"/>
    </row>
    <row r="1151" spans="1:22" ht="15.75" x14ac:dyDescent="0.25">
      <c r="A1151" s="231"/>
      <c r="B1151" s="232"/>
      <c r="C1151" s="400"/>
      <c r="D1151" s="233"/>
      <c r="E1151" s="405"/>
      <c r="F1151" s="405"/>
      <c r="G1151" s="405"/>
      <c r="H1151" s="408">
        <f>ROUND(+E1151+F1151+G1151,4)</f>
        <v>0</v>
      </c>
      <c r="I1151" s="234"/>
      <c r="J1151" s="411"/>
      <c r="K1151" s="411"/>
      <c r="L1151" s="414">
        <v>0.1</v>
      </c>
      <c r="M1151" s="414">
        <f>ROUND(+L1151*C1151,4)</f>
        <v>0</v>
      </c>
      <c r="N1151" s="414"/>
      <c r="O1151" s="414"/>
      <c r="P1151" s="414"/>
      <c r="Q1151" s="419">
        <f>ROUND(+N1151+O1151+P1151,4)</f>
        <v>0</v>
      </c>
      <c r="R1151" s="419">
        <f>ROUND(IF(+Q1151-H1151&lt;=0,0,Q1151-H1151),4)</f>
        <v>0</v>
      </c>
      <c r="S1151" s="423">
        <v>0.5</v>
      </c>
      <c r="T1151" s="419">
        <f>ROUND(+(R1151*C1151)*S1151,4)</f>
        <v>0</v>
      </c>
      <c r="U1151" s="419">
        <f>ROUND(+J1151+M1151+T1151,4)</f>
        <v>0</v>
      </c>
      <c r="V1151" s="235"/>
    </row>
    <row r="1152" spans="1:22" ht="15.75" x14ac:dyDescent="0.25">
      <c r="A1152" s="231"/>
      <c r="B1152" s="232"/>
      <c r="C1152" s="400"/>
      <c r="D1152" s="233"/>
      <c r="E1152" s="405"/>
      <c r="F1152" s="405"/>
      <c r="G1152" s="405"/>
      <c r="H1152" s="408">
        <f>ROUND(+E1152+F1152+G1152,4)</f>
        <v>0</v>
      </c>
      <c r="I1152" s="234"/>
      <c r="J1152" s="411"/>
      <c r="K1152" s="411"/>
      <c r="L1152" s="414">
        <v>0.1</v>
      </c>
      <c r="M1152" s="414">
        <f>ROUND(+L1152*C1152,4)</f>
        <v>0</v>
      </c>
      <c r="N1152" s="414"/>
      <c r="O1152" s="414"/>
      <c r="P1152" s="414"/>
      <c r="Q1152" s="419">
        <f>ROUND(+N1152+O1152+P1152,4)</f>
        <v>0</v>
      </c>
      <c r="R1152" s="419">
        <f>ROUND(IF(+Q1152-H1152&lt;=0,0,Q1152-H1152),4)</f>
        <v>0</v>
      </c>
      <c r="S1152" s="423">
        <v>0.5</v>
      </c>
      <c r="T1152" s="419">
        <f>ROUND(+(R1152*C1152)*S1152,4)</f>
        <v>0</v>
      </c>
      <c r="U1152" s="419">
        <f>ROUND(+J1152+M1152+T1152,4)</f>
        <v>0</v>
      </c>
      <c r="V1152" s="235"/>
    </row>
    <row r="1153" spans="1:22" ht="15.75" x14ac:dyDescent="0.25">
      <c r="A1153" s="231"/>
      <c r="B1153" s="232"/>
      <c r="C1153" s="400"/>
      <c r="D1153" s="233"/>
      <c r="E1153" s="405"/>
      <c r="F1153" s="405"/>
      <c r="G1153" s="405"/>
      <c r="H1153" s="408">
        <f>ROUND(+E1153+F1153+G1153,4)</f>
        <v>0</v>
      </c>
      <c r="I1153" s="234"/>
      <c r="J1153" s="411"/>
      <c r="K1153" s="411"/>
      <c r="L1153" s="414">
        <v>0.1</v>
      </c>
      <c r="M1153" s="414">
        <f>ROUND(+L1153*C1153,4)</f>
        <v>0</v>
      </c>
      <c r="N1153" s="414"/>
      <c r="O1153" s="414"/>
      <c r="P1153" s="414"/>
      <c r="Q1153" s="419">
        <f>ROUND(+N1153+O1153+P1153,4)</f>
        <v>0</v>
      </c>
      <c r="R1153" s="419">
        <f>ROUND(IF(+Q1153-H1153&lt;=0,0,Q1153-H1153),4)</f>
        <v>0</v>
      </c>
      <c r="S1153" s="423">
        <v>0.5</v>
      </c>
      <c r="T1153" s="419">
        <f>ROUND(+(R1153*C1153)*S1153,4)</f>
        <v>0</v>
      </c>
      <c r="U1153" s="419">
        <f>ROUND(+J1153+M1153+T1153,4)</f>
        <v>0</v>
      </c>
      <c r="V1153" s="235"/>
    </row>
    <row r="1154" spans="1:22" ht="15.75" x14ac:dyDescent="0.25">
      <c r="A1154" s="231"/>
      <c r="B1154" s="232"/>
      <c r="C1154" s="400"/>
      <c r="D1154" s="233"/>
      <c r="E1154" s="405"/>
      <c r="F1154" s="405"/>
      <c r="G1154" s="405"/>
      <c r="H1154" s="408">
        <f>ROUND(+E1154+F1154+G1154,4)</f>
        <v>0</v>
      </c>
      <c r="I1154" s="234"/>
      <c r="J1154" s="411"/>
      <c r="K1154" s="411"/>
      <c r="L1154" s="414">
        <v>0.1</v>
      </c>
      <c r="M1154" s="414">
        <f>ROUND(+L1154*C1154,4)</f>
        <v>0</v>
      </c>
      <c r="N1154" s="414"/>
      <c r="O1154" s="414"/>
      <c r="P1154" s="414"/>
      <c r="Q1154" s="419">
        <f>ROUND(+N1154+O1154+P1154,4)</f>
        <v>0</v>
      </c>
      <c r="R1154" s="419">
        <f>ROUND(IF(+Q1154-H1154&lt;=0,0,Q1154-H1154),4)</f>
        <v>0</v>
      </c>
      <c r="S1154" s="423">
        <v>0.5</v>
      </c>
      <c r="T1154" s="419">
        <f>ROUND(+(R1154*C1154)*S1154,4)</f>
        <v>0</v>
      </c>
      <c r="U1154" s="419">
        <f>ROUND(+J1154+M1154+T1154,4)</f>
        <v>0</v>
      </c>
      <c r="V1154" s="235"/>
    </row>
    <row r="1155" spans="1:22" ht="15.75" x14ac:dyDescent="0.25">
      <c r="A1155" s="231"/>
      <c r="B1155" s="232"/>
      <c r="C1155" s="400"/>
      <c r="D1155" s="233"/>
      <c r="E1155" s="405"/>
      <c r="F1155" s="405"/>
      <c r="G1155" s="405"/>
      <c r="H1155" s="408">
        <f>ROUND(+E1155+F1155+G1155,4)</f>
        <v>0</v>
      </c>
      <c r="I1155" s="234"/>
      <c r="J1155" s="411"/>
      <c r="K1155" s="411"/>
      <c r="L1155" s="414">
        <v>0.1</v>
      </c>
      <c r="M1155" s="414">
        <f>ROUND(+L1155*C1155,4)</f>
        <v>0</v>
      </c>
      <c r="N1155" s="414"/>
      <c r="O1155" s="414"/>
      <c r="P1155" s="414"/>
      <c r="Q1155" s="419">
        <f>ROUND(+N1155+O1155+P1155,4)</f>
        <v>0</v>
      </c>
      <c r="R1155" s="419">
        <f>ROUND(IF(+Q1155-H1155&lt;=0,0,Q1155-H1155),4)</f>
        <v>0</v>
      </c>
      <c r="S1155" s="423">
        <v>0.5</v>
      </c>
      <c r="T1155" s="419">
        <f>ROUND(+(R1155*C1155)*S1155,4)</f>
        <v>0</v>
      </c>
      <c r="U1155" s="419">
        <f>ROUND(+J1155+M1155+T1155,4)</f>
        <v>0</v>
      </c>
      <c r="V1155" s="235"/>
    </row>
    <row r="1156" spans="1:22" ht="15.75" x14ac:dyDescent="0.25">
      <c r="A1156" s="231"/>
      <c r="B1156" s="232"/>
      <c r="C1156" s="400"/>
      <c r="D1156" s="233"/>
      <c r="E1156" s="405"/>
      <c r="F1156" s="405"/>
      <c r="G1156" s="405"/>
      <c r="H1156" s="408">
        <f>ROUND(+E1156+F1156+G1156,4)</f>
        <v>0</v>
      </c>
      <c r="I1156" s="234"/>
      <c r="J1156" s="411"/>
      <c r="K1156" s="411"/>
      <c r="L1156" s="414">
        <v>0.1</v>
      </c>
      <c r="M1156" s="414">
        <f>ROUND(+L1156*C1156,4)</f>
        <v>0</v>
      </c>
      <c r="N1156" s="414"/>
      <c r="O1156" s="414"/>
      <c r="P1156" s="414"/>
      <c r="Q1156" s="419">
        <f>ROUND(+N1156+O1156+P1156,4)</f>
        <v>0</v>
      </c>
      <c r="R1156" s="419">
        <f>ROUND(IF(+Q1156-H1156&lt;=0,0,Q1156-H1156),4)</f>
        <v>0</v>
      </c>
      <c r="S1156" s="423">
        <v>0.5</v>
      </c>
      <c r="T1156" s="419">
        <f>ROUND(+(R1156*C1156)*S1156,4)</f>
        <v>0</v>
      </c>
      <c r="U1156" s="419">
        <f>ROUND(+J1156+M1156+T1156,4)</f>
        <v>0</v>
      </c>
      <c r="V1156" s="235"/>
    </row>
    <row r="1157" spans="1:22" ht="15.75" x14ac:dyDescent="0.25">
      <c r="A1157" s="231"/>
      <c r="B1157" s="232"/>
      <c r="C1157" s="400"/>
      <c r="D1157" s="233"/>
      <c r="E1157" s="405"/>
      <c r="F1157" s="405"/>
      <c r="G1157" s="405"/>
      <c r="H1157" s="408">
        <f>ROUND(+E1157+F1157+G1157,4)</f>
        <v>0</v>
      </c>
      <c r="I1157" s="234"/>
      <c r="J1157" s="411"/>
      <c r="K1157" s="411"/>
      <c r="L1157" s="414">
        <v>0.1</v>
      </c>
      <c r="M1157" s="414">
        <f>ROUND(+L1157*C1157,4)</f>
        <v>0</v>
      </c>
      <c r="N1157" s="414"/>
      <c r="O1157" s="414"/>
      <c r="P1157" s="414"/>
      <c r="Q1157" s="419">
        <f>ROUND(+N1157+O1157+P1157,4)</f>
        <v>0</v>
      </c>
      <c r="R1157" s="419">
        <f>ROUND(IF(+Q1157-H1157&lt;=0,0,Q1157-H1157),4)</f>
        <v>0</v>
      </c>
      <c r="S1157" s="423">
        <v>0.5</v>
      </c>
      <c r="T1157" s="419">
        <f>ROUND(+(R1157*C1157)*S1157,4)</f>
        <v>0</v>
      </c>
      <c r="U1157" s="419">
        <f>ROUND(+J1157+M1157+T1157,4)</f>
        <v>0</v>
      </c>
      <c r="V1157" s="235"/>
    </row>
    <row r="1158" spans="1:22" ht="15.75" x14ac:dyDescent="0.25">
      <c r="A1158" s="231"/>
      <c r="B1158" s="232"/>
      <c r="C1158" s="400"/>
      <c r="D1158" s="233"/>
      <c r="E1158" s="405"/>
      <c r="F1158" s="405"/>
      <c r="G1158" s="405"/>
      <c r="H1158" s="408">
        <f>ROUND(+E1158+F1158+G1158,4)</f>
        <v>0</v>
      </c>
      <c r="I1158" s="234"/>
      <c r="J1158" s="411"/>
      <c r="K1158" s="411"/>
      <c r="L1158" s="414">
        <v>0.1</v>
      </c>
      <c r="M1158" s="414">
        <f>ROUND(+L1158*C1158,4)</f>
        <v>0</v>
      </c>
      <c r="N1158" s="414"/>
      <c r="O1158" s="414"/>
      <c r="P1158" s="414"/>
      <c r="Q1158" s="419">
        <f>ROUND(+N1158+O1158+P1158,4)</f>
        <v>0</v>
      </c>
      <c r="R1158" s="419">
        <f>ROUND(IF(+Q1158-H1158&lt;=0,0,Q1158-H1158),4)</f>
        <v>0</v>
      </c>
      <c r="S1158" s="423">
        <v>0.5</v>
      </c>
      <c r="T1158" s="419">
        <f>ROUND(+(R1158*C1158)*S1158,4)</f>
        <v>0</v>
      </c>
      <c r="U1158" s="419">
        <f>ROUND(+J1158+M1158+T1158,4)</f>
        <v>0</v>
      </c>
      <c r="V1158" s="235"/>
    </row>
    <row r="1159" spans="1:22" ht="15.75" x14ac:dyDescent="0.25">
      <c r="A1159" s="231"/>
      <c r="B1159" s="232"/>
      <c r="C1159" s="400"/>
      <c r="D1159" s="233"/>
      <c r="E1159" s="405"/>
      <c r="F1159" s="405"/>
      <c r="G1159" s="405"/>
      <c r="H1159" s="408">
        <f>ROUND(+E1159+F1159+G1159,4)</f>
        <v>0</v>
      </c>
      <c r="I1159" s="234"/>
      <c r="J1159" s="411"/>
      <c r="K1159" s="411"/>
      <c r="L1159" s="414">
        <v>0.1</v>
      </c>
      <c r="M1159" s="414">
        <f>ROUND(+L1159*C1159,4)</f>
        <v>0</v>
      </c>
      <c r="N1159" s="414"/>
      <c r="O1159" s="414"/>
      <c r="P1159" s="414"/>
      <c r="Q1159" s="419">
        <f>ROUND(+N1159+O1159+P1159,4)</f>
        <v>0</v>
      </c>
      <c r="R1159" s="419">
        <f>ROUND(IF(+Q1159-H1159&lt;=0,0,Q1159-H1159),4)</f>
        <v>0</v>
      </c>
      <c r="S1159" s="423">
        <v>0.5</v>
      </c>
      <c r="T1159" s="419">
        <f>ROUND(+(R1159*C1159)*S1159,4)</f>
        <v>0</v>
      </c>
      <c r="U1159" s="419">
        <f>ROUND(+J1159+M1159+T1159,4)</f>
        <v>0</v>
      </c>
      <c r="V1159" s="235"/>
    </row>
    <row r="1160" spans="1:22" ht="15.75" x14ac:dyDescent="0.25">
      <c r="A1160" s="231"/>
      <c r="B1160" s="232"/>
      <c r="C1160" s="400"/>
      <c r="D1160" s="233"/>
      <c r="E1160" s="405"/>
      <c r="F1160" s="405"/>
      <c r="G1160" s="405"/>
      <c r="H1160" s="408">
        <f>ROUND(+E1160+F1160+G1160,4)</f>
        <v>0</v>
      </c>
      <c r="I1160" s="234"/>
      <c r="J1160" s="411"/>
      <c r="K1160" s="411"/>
      <c r="L1160" s="414">
        <v>0.1</v>
      </c>
      <c r="M1160" s="414">
        <f>ROUND(+L1160*C1160,4)</f>
        <v>0</v>
      </c>
      <c r="N1160" s="414"/>
      <c r="O1160" s="414"/>
      <c r="P1160" s="414"/>
      <c r="Q1160" s="419">
        <f>ROUND(+N1160+O1160+P1160,4)</f>
        <v>0</v>
      </c>
      <c r="R1160" s="419">
        <f>ROUND(IF(+Q1160-H1160&lt;=0,0,Q1160-H1160),4)</f>
        <v>0</v>
      </c>
      <c r="S1160" s="423">
        <v>0.5</v>
      </c>
      <c r="T1160" s="419">
        <f>ROUND(+(R1160*C1160)*S1160,4)</f>
        <v>0</v>
      </c>
      <c r="U1160" s="419">
        <f>ROUND(+J1160+M1160+T1160,4)</f>
        <v>0</v>
      </c>
      <c r="V1160" s="235"/>
    </row>
    <row r="1161" spans="1:22" ht="15.75" x14ac:dyDescent="0.25">
      <c r="A1161" s="231"/>
      <c r="B1161" s="232"/>
      <c r="C1161" s="400"/>
      <c r="D1161" s="233"/>
      <c r="E1161" s="405"/>
      <c r="F1161" s="405"/>
      <c r="G1161" s="405"/>
      <c r="H1161" s="408">
        <f>ROUND(+E1161+F1161+G1161,4)</f>
        <v>0</v>
      </c>
      <c r="I1161" s="234"/>
      <c r="J1161" s="411"/>
      <c r="K1161" s="411"/>
      <c r="L1161" s="414">
        <v>0.1</v>
      </c>
      <c r="M1161" s="414">
        <f>ROUND(+L1161*C1161,4)</f>
        <v>0</v>
      </c>
      <c r="N1161" s="414"/>
      <c r="O1161" s="414"/>
      <c r="P1161" s="414"/>
      <c r="Q1161" s="419">
        <f>ROUND(+N1161+O1161+P1161,4)</f>
        <v>0</v>
      </c>
      <c r="R1161" s="419">
        <f>ROUND(IF(+Q1161-H1161&lt;=0,0,Q1161-H1161),4)</f>
        <v>0</v>
      </c>
      <c r="S1161" s="423">
        <v>0.5</v>
      </c>
      <c r="T1161" s="419">
        <f>ROUND(+(R1161*C1161)*S1161,4)</f>
        <v>0</v>
      </c>
      <c r="U1161" s="419">
        <f>ROUND(+J1161+M1161+T1161,4)</f>
        <v>0</v>
      </c>
      <c r="V1161" s="235"/>
    </row>
    <row r="1162" spans="1:22" ht="15.75" x14ac:dyDescent="0.25">
      <c r="A1162" s="231"/>
      <c r="B1162" s="232"/>
      <c r="C1162" s="400"/>
      <c r="D1162" s="233"/>
      <c r="E1162" s="405"/>
      <c r="F1162" s="405"/>
      <c r="G1162" s="405"/>
      <c r="H1162" s="408">
        <f>ROUND(+E1162+F1162+G1162,4)</f>
        <v>0</v>
      </c>
      <c r="I1162" s="234"/>
      <c r="J1162" s="411"/>
      <c r="K1162" s="411"/>
      <c r="L1162" s="414">
        <v>0.1</v>
      </c>
      <c r="M1162" s="414">
        <f>ROUND(+L1162*C1162,4)</f>
        <v>0</v>
      </c>
      <c r="N1162" s="414"/>
      <c r="O1162" s="414"/>
      <c r="P1162" s="414"/>
      <c r="Q1162" s="419">
        <f>ROUND(+N1162+O1162+P1162,4)</f>
        <v>0</v>
      </c>
      <c r="R1162" s="419">
        <f>ROUND(IF(+Q1162-H1162&lt;=0,0,Q1162-H1162),4)</f>
        <v>0</v>
      </c>
      <c r="S1162" s="423">
        <v>0.5</v>
      </c>
      <c r="T1162" s="419">
        <f>ROUND(+(R1162*C1162)*S1162,4)</f>
        <v>0</v>
      </c>
      <c r="U1162" s="419">
        <f>ROUND(+J1162+M1162+T1162,4)</f>
        <v>0</v>
      </c>
      <c r="V1162" s="235"/>
    </row>
    <row r="1163" spans="1:22" ht="15.75" x14ac:dyDescent="0.25">
      <c r="A1163" s="231"/>
      <c r="B1163" s="232"/>
      <c r="C1163" s="400"/>
      <c r="D1163" s="233"/>
      <c r="E1163" s="405"/>
      <c r="F1163" s="405"/>
      <c r="G1163" s="405"/>
      <c r="H1163" s="408">
        <f>ROUND(+E1163+F1163+G1163,4)</f>
        <v>0</v>
      </c>
      <c r="I1163" s="234"/>
      <c r="J1163" s="411"/>
      <c r="K1163" s="411"/>
      <c r="L1163" s="414">
        <v>0.1</v>
      </c>
      <c r="M1163" s="414">
        <f>ROUND(+L1163*C1163,4)</f>
        <v>0</v>
      </c>
      <c r="N1163" s="414"/>
      <c r="O1163" s="414"/>
      <c r="P1163" s="414"/>
      <c r="Q1163" s="419">
        <f>ROUND(+N1163+O1163+P1163,4)</f>
        <v>0</v>
      </c>
      <c r="R1163" s="419">
        <f>ROUND(IF(+Q1163-H1163&lt;=0,0,Q1163-H1163),4)</f>
        <v>0</v>
      </c>
      <c r="S1163" s="423">
        <v>0.5</v>
      </c>
      <c r="T1163" s="419">
        <f>ROUND(+(R1163*C1163)*S1163,4)</f>
        <v>0</v>
      </c>
      <c r="U1163" s="419">
        <f>ROUND(+J1163+M1163+T1163,4)</f>
        <v>0</v>
      </c>
      <c r="V1163" s="235"/>
    </row>
    <row r="1164" spans="1:22" ht="15.75" x14ac:dyDescent="0.25">
      <c r="A1164" s="231"/>
      <c r="B1164" s="232"/>
      <c r="C1164" s="400"/>
      <c r="D1164" s="233"/>
      <c r="E1164" s="405"/>
      <c r="F1164" s="405"/>
      <c r="G1164" s="405"/>
      <c r="H1164" s="408">
        <f>ROUND(+E1164+F1164+G1164,4)</f>
        <v>0</v>
      </c>
      <c r="I1164" s="234"/>
      <c r="J1164" s="411"/>
      <c r="K1164" s="411"/>
      <c r="L1164" s="414">
        <v>0.1</v>
      </c>
      <c r="M1164" s="414">
        <f>ROUND(+L1164*C1164,4)</f>
        <v>0</v>
      </c>
      <c r="N1164" s="414"/>
      <c r="O1164" s="414"/>
      <c r="P1164" s="414"/>
      <c r="Q1164" s="419">
        <f>ROUND(+N1164+O1164+P1164,4)</f>
        <v>0</v>
      </c>
      <c r="R1164" s="419">
        <f>ROUND(IF(+Q1164-H1164&lt;=0,0,Q1164-H1164),4)</f>
        <v>0</v>
      </c>
      <c r="S1164" s="423">
        <v>0.5</v>
      </c>
      <c r="T1164" s="419">
        <f>ROUND(+(R1164*C1164)*S1164,4)</f>
        <v>0</v>
      </c>
      <c r="U1164" s="419">
        <f>ROUND(+J1164+M1164+T1164,4)</f>
        <v>0</v>
      </c>
      <c r="V1164" s="235"/>
    </row>
    <row r="1165" spans="1:22" ht="15.75" x14ac:dyDescent="0.25">
      <c r="A1165" s="231"/>
      <c r="B1165" s="232"/>
      <c r="C1165" s="400"/>
      <c r="D1165" s="233"/>
      <c r="E1165" s="405"/>
      <c r="F1165" s="405"/>
      <c r="G1165" s="405"/>
      <c r="H1165" s="408">
        <f>ROUND(+E1165+F1165+G1165,4)</f>
        <v>0</v>
      </c>
      <c r="I1165" s="234"/>
      <c r="J1165" s="411"/>
      <c r="K1165" s="411"/>
      <c r="L1165" s="414">
        <v>0.1</v>
      </c>
      <c r="M1165" s="414">
        <f>ROUND(+L1165*C1165,4)</f>
        <v>0</v>
      </c>
      <c r="N1165" s="414"/>
      <c r="O1165" s="414"/>
      <c r="P1165" s="414"/>
      <c r="Q1165" s="419">
        <f>ROUND(+N1165+O1165+P1165,4)</f>
        <v>0</v>
      </c>
      <c r="R1165" s="419">
        <f>ROUND(IF(+Q1165-H1165&lt;=0,0,Q1165-H1165),4)</f>
        <v>0</v>
      </c>
      <c r="S1165" s="423">
        <v>0.5</v>
      </c>
      <c r="T1165" s="419">
        <f>ROUND(+(R1165*C1165)*S1165,4)</f>
        <v>0</v>
      </c>
      <c r="U1165" s="419">
        <f>ROUND(+J1165+M1165+T1165,4)</f>
        <v>0</v>
      </c>
      <c r="V1165" s="235"/>
    </row>
    <row r="1166" spans="1:22" ht="15.75" x14ac:dyDescent="0.25">
      <c r="A1166" s="231"/>
      <c r="B1166" s="232"/>
      <c r="C1166" s="400"/>
      <c r="D1166" s="233"/>
      <c r="E1166" s="405"/>
      <c r="F1166" s="405"/>
      <c r="G1166" s="405"/>
      <c r="H1166" s="408">
        <f>ROUND(+E1166+F1166+G1166,4)</f>
        <v>0</v>
      </c>
      <c r="I1166" s="234"/>
      <c r="J1166" s="411"/>
      <c r="K1166" s="411"/>
      <c r="L1166" s="414">
        <v>0.1</v>
      </c>
      <c r="M1166" s="414">
        <f>ROUND(+L1166*C1166,4)</f>
        <v>0</v>
      </c>
      <c r="N1166" s="414"/>
      <c r="O1166" s="414"/>
      <c r="P1166" s="414"/>
      <c r="Q1166" s="419">
        <f>ROUND(+N1166+O1166+P1166,4)</f>
        <v>0</v>
      </c>
      <c r="R1166" s="419">
        <f>ROUND(IF(+Q1166-H1166&lt;=0,0,Q1166-H1166),4)</f>
        <v>0</v>
      </c>
      <c r="S1166" s="423">
        <v>0.5</v>
      </c>
      <c r="T1166" s="419">
        <f>ROUND(+(R1166*C1166)*S1166,4)</f>
        <v>0</v>
      </c>
      <c r="U1166" s="419">
        <f>ROUND(+J1166+M1166+T1166,4)</f>
        <v>0</v>
      </c>
      <c r="V1166" s="235"/>
    </row>
    <row r="1167" spans="1:22" ht="15.75" x14ac:dyDescent="0.25">
      <c r="A1167" s="231"/>
      <c r="B1167" s="232"/>
      <c r="C1167" s="400"/>
      <c r="D1167" s="233"/>
      <c r="E1167" s="405"/>
      <c r="F1167" s="405"/>
      <c r="G1167" s="405"/>
      <c r="H1167" s="408">
        <f>ROUND(+E1167+F1167+G1167,4)</f>
        <v>0</v>
      </c>
      <c r="I1167" s="234"/>
      <c r="J1167" s="411"/>
      <c r="K1167" s="411"/>
      <c r="L1167" s="414">
        <v>0.1</v>
      </c>
      <c r="M1167" s="414">
        <f>ROUND(+L1167*C1167,4)</f>
        <v>0</v>
      </c>
      <c r="N1167" s="414"/>
      <c r="O1167" s="414"/>
      <c r="P1167" s="414"/>
      <c r="Q1167" s="419">
        <f>ROUND(+N1167+O1167+P1167,4)</f>
        <v>0</v>
      </c>
      <c r="R1167" s="419">
        <f>ROUND(IF(+Q1167-H1167&lt;=0,0,Q1167-H1167),4)</f>
        <v>0</v>
      </c>
      <c r="S1167" s="423">
        <v>0.5</v>
      </c>
      <c r="T1167" s="419">
        <f>ROUND(+(R1167*C1167)*S1167,4)</f>
        <v>0</v>
      </c>
      <c r="U1167" s="419">
        <f>ROUND(+J1167+M1167+T1167,4)</f>
        <v>0</v>
      </c>
      <c r="V1167" s="235"/>
    </row>
    <row r="1168" spans="1:22" ht="15.75" x14ac:dyDescent="0.25">
      <c r="A1168" s="231"/>
      <c r="B1168" s="232"/>
      <c r="C1168" s="400"/>
      <c r="D1168" s="233"/>
      <c r="E1168" s="405"/>
      <c r="F1168" s="405"/>
      <c r="G1168" s="405"/>
      <c r="H1168" s="408">
        <f>ROUND(+E1168+F1168+G1168,4)</f>
        <v>0</v>
      </c>
      <c r="I1168" s="234"/>
      <c r="J1168" s="411"/>
      <c r="K1168" s="411"/>
      <c r="L1168" s="414">
        <v>0.1</v>
      </c>
      <c r="M1168" s="414">
        <f>ROUND(+L1168*C1168,4)</f>
        <v>0</v>
      </c>
      <c r="N1168" s="414"/>
      <c r="O1168" s="414"/>
      <c r="P1168" s="414"/>
      <c r="Q1168" s="419">
        <f>ROUND(+N1168+O1168+P1168,4)</f>
        <v>0</v>
      </c>
      <c r="R1168" s="419">
        <f>ROUND(IF(+Q1168-H1168&lt;=0,0,Q1168-H1168),4)</f>
        <v>0</v>
      </c>
      <c r="S1168" s="423">
        <v>0.5</v>
      </c>
      <c r="T1168" s="419">
        <f>ROUND(+(R1168*C1168)*S1168,4)</f>
        <v>0</v>
      </c>
      <c r="U1168" s="419">
        <f>ROUND(+J1168+M1168+T1168,4)</f>
        <v>0</v>
      </c>
      <c r="V1168" s="235"/>
    </row>
    <row r="1169" spans="1:22" ht="15.75" x14ac:dyDescent="0.25">
      <c r="A1169" s="231"/>
      <c r="B1169" s="232"/>
      <c r="C1169" s="400"/>
      <c r="D1169" s="233"/>
      <c r="E1169" s="405"/>
      <c r="F1169" s="405"/>
      <c r="G1169" s="405"/>
      <c r="H1169" s="408">
        <f>ROUND(+E1169+F1169+G1169,4)</f>
        <v>0</v>
      </c>
      <c r="I1169" s="234"/>
      <c r="J1169" s="411"/>
      <c r="K1169" s="411"/>
      <c r="L1169" s="414">
        <v>0.1</v>
      </c>
      <c r="M1169" s="414">
        <f>ROUND(+L1169*C1169,4)</f>
        <v>0</v>
      </c>
      <c r="N1169" s="414"/>
      <c r="O1169" s="414"/>
      <c r="P1169" s="414"/>
      <c r="Q1169" s="419">
        <f>ROUND(+N1169+O1169+P1169,4)</f>
        <v>0</v>
      </c>
      <c r="R1169" s="419">
        <f>ROUND(IF(+Q1169-H1169&lt;=0,0,Q1169-H1169),4)</f>
        <v>0</v>
      </c>
      <c r="S1169" s="423">
        <v>0.5</v>
      </c>
      <c r="T1169" s="419">
        <f>ROUND(+(R1169*C1169)*S1169,4)</f>
        <v>0</v>
      </c>
      <c r="U1169" s="419">
        <f>ROUND(+J1169+M1169+T1169,4)</f>
        <v>0</v>
      </c>
      <c r="V1169" s="235"/>
    </row>
    <row r="1170" spans="1:22" ht="15.75" x14ac:dyDescent="0.25">
      <c r="A1170" s="231"/>
      <c r="B1170" s="232"/>
      <c r="C1170" s="400"/>
      <c r="D1170" s="233"/>
      <c r="E1170" s="405"/>
      <c r="F1170" s="405"/>
      <c r="G1170" s="405"/>
      <c r="H1170" s="408">
        <f>ROUND(+E1170+F1170+G1170,4)</f>
        <v>0</v>
      </c>
      <c r="I1170" s="234"/>
      <c r="J1170" s="411"/>
      <c r="K1170" s="411"/>
      <c r="L1170" s="414">
        <v>0.1</v>
      </c>
      <c r="M1170" s="414">
        <f>ROUND(+L1170*C1170,4)</f>
        <v>0</v>
      </c>
      <c r="N1170" s="414"/>
      <c r="O1170" s="414"/>
      <c r="P1170" s="414"/>
      <c r="Q1170" s="419">
        <f>ROUND(+N1170+O1170+P1170,4)</f>
        <v>0</v>
      </c>
      <c r="R1170" s="419">
        <f>ROUND(IF(+Q1170-H1170&lt;=0,0,Q1170-H1170),4)</f>
        <v>0</v>
      </c>
      <c r="S1170" s="423">
        <v>0.5</v>
      </c>
      <c r="T1170" s="419">
        <f>ROUND(+(R1170*C1170)*S1170,4)</f>
        <v>0</v>
      </c>
      <c r="U1170" s="419">
        <f>ROUND(+J1170+M1170+T1170,4)</f>
        <v>0</v>
      </c>
      <c r="V1170" s="235"/>
    </row>
    <row r="1171" spans="1:22" ht="15.75" x14ac:dyDescent="0.25">
      <c r="A1171" s="231"/>
      <c r="B1171" s="232"/>
      <c r="C1171" s="400"/>
      <c r="D1171" s="233"/>
      <c r="E1171" s="405"/>
      <c r="F1171" s="405"/>
      <c r="G1171" s="405"/>
      <c r="H1171" s="408">
        <f>ROUND(+E1171+F1171+G1171,4)</f>
        <v>0</v>
      </c>
      <c r="I1171" s="234"/>
      <c r="J1171" s="411"/>
      <c r="K1171" s="411"/>
      <c r="L1171" s="414">
        <v>0.1</v>
      </c>
      <c r="M1171" s="414">
        <f>ROUND(+L1171*C1171,4)</f>
        <v>0</v>
      </c>
      <c r="N1171" s="414"/>
      <c r="O1171" s="414"/>
      <c r="P1171" s="414"/>
      <c r="Q1171" s="419">
        <f>ROUND(+N1171+O1171+P1171,4)</f>
        <v>0</v>
      </c>
      <c r="R1171" s="419">
        <f>ROUND(IF(+Q1171-H1171&lt;=0,0,Q1171-H1171),4)</f>
        <v>0</v>
      </c>
      <c r="S1171" s="423">
        <v>0.5</v>
      </c>
      <c r="T1171" s="419">
        <f>ROUND(+(R1171*C1171)*S1171,4)</f>
        <v>0</v>
      </c>
      <c r="U1171" s="419">
        <f>ROUND(+J1171+M1171+T1171,4)</f>
        <v>0</v>
      </c>
      <c r="V1171" s="235"/>
    </row>
    <row r="1172" spans="1:22" ht="15.75" x14ac:dyDescent="0.25">
      <c r="A1172" s="231"/>
      <c r="B1172" s="232"/>
      <c r="C1172" s="400"/>
      <c r="D1172" s="233"/>
      <c r="E1172" s="405"/>
      <c r="F1172" s="405"/>
      <c r="G1172" s="405"/>
      <c r="H1172" s="408">
        <f>ROUND(+E1172+F1172+G1172,4)</f>
        <v>0</v>
      </c>
      <c r="I1172" s="234"/>
      <c r="J1172" s="411"/>
      <c r="K1172" s="411"/>
      <c r="L1172" s="414">
        <v>0.1</v>
      </c>
      <c r="M1172" s="414">
        <f>ROUND(+L1172*C1172,4)</f>
        <v>0</v>
      </c>
      <c r="N1172" s="414"/>
      <c r="O1172" s="414"/>
      <c r="P1172" s="414"/>
      <c r="Q1172" s="419">
        <f>ROUND(+N1172+O1172+P1172,4)</f>
        <v>0</v>
      </c>
      <c r="R1172" s="419">
        <f>ROUND(IF(+Q1172-H1172&lt;=0,0,Q1172-H1172),4)</f>
        <v>0</v>
      </c>
      <c r="S1172" s="423">
        <v>0.5</v>
      </c>
      <c r="T1172" s="419">
        <f>ROUND(+(R1172*C1172)*S1172,4)</f>
        <v>0</v>
      </c>
      <c r="U1172" s="419">
        <f>ROUND(+J1172+M1172+T1172,4)</f>
        <v>0</v>
      </c>
      <c r="V1172" s="235"/>
    </row>
    <row r="1173" spans="1:22" ht="15.75" x14ac:dyDescent="0.25">
      <c r="A1173" s="231"/>
      <c r="B1173" s="232"/>
      <c r="C1173" s="400"/>
      <c r="D1173" s="233"/>
      <c r="E1173" s="405"/>
      <c r="F1173" s="405"/>
      <c r="G1173" s="405"/>
      <c r="H1173" s="408">
        <f>ROUND(+E1173+F1173+G1173,4)</f>
        <v>0</v>
      </c>
      <c r="I1173" s="234"/>
      <c r="J1173" s="411"/>
      <c r="K1173" s="411"/>
      <c r="L1173" s="414">
        <v>0.1</v>
      </c>
      <c r="M1173" s="414">
        <f>ROUND(+L1173*C1173,4)</f>
        <v>0</v>
      </c>
      <c r="N1173" s="414"/>
      <c r="O1173" s="414"/>
      <c r="P1173" s="414"/>
      <c r="Q1173" s="419">
        <f>ROUND(+N1173+O1173+P1173,4)</f>
        <v>0</v>
      </c>
      <c r="R1173" s="419">
        <f>ROUND(IF(+Q1173-H1173&lt;=0,0,Q1173-H1173),4)</f>
        <v>0</v>
      </c>
      <c r="S1173" s="423">
        <v>0.5</v>
      </c>
      <c r="T1173" s="419">
        <f>ROUND(+(R1173*C1173)*S1173,4)</f>
        <v>0</v>
      </c>
      <c r="U1173" s="419">
        <f>ROUND(+J1173+M1173+T1173,4)</f>
        <v>0</v>
      </c>
      <c r="V1173" s="235"/>
    </row>
    <row r="1174" spans="1:22" ht="15.75" x14ac:dyDescent="0.25">
      <c r="A1174" s="231"/>
      <c r="B1174" s="232"/>
      <c r="C1174" s="400"/>
      <c r="D1174" s="233"/>
      <c r="E1174" s="405"/>
      <c r="F1174" s="405"/>
      <c r="G1174" s="405"/>
      <c r="H1174" s="408">
        <f>ROUND(+E1174+F1174+G1174,4)</f>
        <v>0</v>
      </c>
      <c r="I1174" s="234"/>
      <c r="J1174" s="411"/>
      <c r="K1174" s="411"/>
      <c r="L1174" s="414">
        <v>0.1</v>
      </c>
      <c r="M1174" s="414">
        <f>ROUND(+L1174*C1174,4)</f>
        <v>0</v>
      </c>
      <c r="N1174" s="414"/>
      <c r="O1174" s="414"/>
      <c r="P1174" s="414"/>
      <c r="Q1174" s="419">
        <f>ROUND(+N1174+O1174+P1174,4)</f>
        <v>0</v>
      </c>
      <c r="R1174" s="419">
        <f>ROUND(IF(+Q1174-H1174&lt;=0,0,Q1174-H1174),4)</f>
        <v>0</v>
      </c>
      <c r="S1174" s="423">
        <v>0.5</v>
      </c>
      <c r="T1174" s="419">
        <f>ROUND(+(R1174*C1174)*S1174,4)</f>
        <v>0</v>
      </c>
      <c r="U1174" s="419">
        <f>ROUND(+J1174+M1174+T1174,4)</f>
        <v>0</v>
      </c>
      <c r="V1174" s="235"/>
    </row>
    <row r="1175" spans="1:22" ht="15.75" x14ac:dyDescent="0.25">
      <c r="A1175" s="231"/>
      <c r="B1175" s="232"/>
      <c r="C1175" s="400"/>
      <c r="D1175" s="233"/>
      <c r="E1175" s="405"/>
      <c r="F1175" s="405"/>
      <c r="G1175" s="405"/>
      <c r="H1175" s="408">
        <f>ROUND(+E1175+F1175+G1175,4)</f>
        <v>0</v>
      </c>
      <c r="I1175" s="234"/>
      <c r="J1175" s="411"/>
      <c r="K1175" s="411"/>
      <c r="L1175" s="414">
        <v>0.1</v>
      </c>
      <c r="M1175" s="414">
        <f>ROUND(+L1175*C1175,4)</f>
        <v>0</v>
      </c>
      <c r="N1175" s="414"/>
      <c r="O1175" s="414"/>
      <c r="P1175" s="414"/>
      <c r="Q1175" s="419">
        <f>ROUND(+N1175+O1175+P1175,4)</f>
        <v>0</v>
      </c>
      <c r="R1175" s="419">
        <f>ROUND(IF(+Q1175-H1175&lt;=0,0,Q1175-H1175),4)</f>
        <v>0</v>
      </c>
      <c r="S1175" s="423">
        <v>0.5</v>
      </c>
      <c r="T1175" s="419">
        <f>ROUND(+(R1175*C1175)*S1175,4)</f>
        <v>0</v>
      </c>
      <c r="U1175" s="419">
        <f>ROUND(+J1175+M1175+T1175,4)</f>
        <v>0</v>
      </c>
      <c r="V1175" s="235"/>
    </row>
    <row r="1176" spans="1:22" ht="15.75" x14ac:dyDescent="0.25">
      <c r="A1176" s="231"/>
      <c r="B1176" s="232"/>
      <c r="C1176" s="400"/>
      <c r="D1176" s="233"/>
      <c r="E1176" s="405"/>
      <c r="F1176" s="405"/>
      <c r="G1176" s="405"/>
      <c r="H1176" s="408">
        <f>ROUND(+E1176+F1176+G1176,4)</f>
        <v>0</v>
      </c>
      <c r="I1176" s="234"/>
      <c r="J1176" s="411"/>
      <c r="K1176" s="411"/>
      <c r="L1176" s="414">
        <v>0.1</v>
      </c>
      <c r="M1176" s="414">
        <f>ROUND(+L1176*C1176,4)</f>
        <v>0</v>
      </c>
      <c r="N1176" s="414"/>
      <c r="O1176" s="414"/>
      <c r="P1176" s="414"/>
      <c r="Q1176" s="419">
        <f>ROUND(+N1176+O1176+P1176,4)</f>
        <v>0</v>
      </c>
      <c r="R1176" s="419">
        <f>ROUND(IF(+Q1176-H1176&lt;=0,0,Q1176-H1176),4)</f>
        <v>0</v>
      </c>
      <c r="S1176" s="423">
        <v>0.5</v>
      </c>
      <c r="T1176" s="419">
        <f>ROUND(+(R1176*C1176)*S1176,4)</f>
        <v>0</v>
      </c>
      <c r="U1176" s="419">
        <f>ROUND(+J1176+M1176+T1176,4)</f>
        <v>0</v>
      </c>
      <c r="V1176" s="235"/>
    </row>
    <row r="1177" spans="1:22" ht="15.75" x14ac:dyDescent="0.25">
      <c r="A1177" s="231"/>
      <c r="B1177" s="232"/>
      <c r="C1177" s="400"/>
      <c r="D1177" s="233"/>
      <c r="E1177" s="405"/>
      <c r="F1177" s="405"/>
      <c r="G1177" s="405"/>
      <c r="H1177" s="408">
        <f>ROUND(+E1177+F1177+G1177,4)</f>
        <v>0</v>
      </c>
      <c r="I1177" s="234"/>
      <c r="J1177" s="411"/>
      <c r="K1177" s="411"/>
      <c r="L1177" s="414">
        <v>0.1</v>
      </c>
      <c r="M1177" s="414">
        <f>ROUND(+L1177*C1177,4)</f>
        <v>0</v>
      </c>
      <c r="N1177" s="414"/>
      <c r="O1177" s="414"/>
      <c r="P1177" s="414"/>
      <c r="Q1177" s="419">
        <f>ROUND(+N1177+O1177+P1177,4)</f>
        <v>0</v>
      </c>
      <c r="R1177" s="419">
        <f>ROUND(IF(+Q1177-H1177&lt;=0,0,Q1177-H1177),4)</f>
        <v>0</v>
      </c>
      <c r="S1177" s="423">
        <v>0.5</v>
      </c>
      <c r="T1177" s="419">
        <f>ROUND(+(R1177*C1177)*S1177,4)</f>
        <v>0</v>
      </c>
      <c r="U1177" s="419">
        <f>ROUND(+J1177+M1177+T1177,4)</f>
        <v>0</v>
      </c>
      <c r="V1177" s="235"/>
    </row>
    <row r="1178" spans="1:22" ht="15.75" x14ac:dyDescent="0.25">
      <c r="A1178" s="231"/>
      <c r="B1178" s="232"/>
      <c r="C1178" s="400"/>
      <c r="D1178" s="233"/>
      <c r="E1178" s="405"/>
      <c r="F1178" s="405"/>
      <c r="G1178" s="405"/>
      <c r="H1178" s="408">
        <f>ROUND(+E1178+F1178+G1178,4)</f>
        <v>0</v>
      </c>
      <c r="I1178" s="234"/>
      <c r="J1178" s="411"/>
      <c r="K1178" s="411"/>
      <c r="L1178" s="414">
        <v>0.1</v>
      </c>
      <c r="M1178" s="414">
        <f>ROUND(+L1178*C1178,4)</f>
        <v>0</v>
      </c>
      <c r="N1178" s="414"/>
      <c r="O1178" s="414"/>
      <c r="P1178" s="414"/>
      <c r="Q1178" s="419">
        <f>ROUND(+N1178+O1178+P1178,4)</f>
        <v>0</v>
      </c>
      <c r="R1178" s="419">
        <f>ROUND(IF(+Q1178-H1178&lt;=0,0,Q1178-H1178),4)</f>
        <v>0</v>
      </c>
      <c r="S1178" s="423">
        <v>0.5</v>
      </c>
      <c r="T1178" s="419">
        <f>ROUND(+(R1178*C1178)*S1178,4)</f>
        <v>0</v>
      </c>
      <c r="U1178" s="419">
        <f>ROUND(+J1178+M1178+T1178,4)</f>
        <v>0</v>
      </c>
      <c r="V1178" s="235"/>
    </row>
    <row r="1179" spans="1:22" ht="15.75" x14ac:dyDescent="0.25">
      <c r="A1179" s="231"/>
      <c r="B1179" s="232"/>
      <c r="C1179" s="400"/>
      <c r="D1179" s="233"/>
      <c r="E1179" s="405"/>
      <c r="F1179" s="405"/>
      <c r="G1179" s="405"/>
      <c r="H1179" s="408">
        <f>ROUND(+E1179+F1179+G1179,4)</f>
        <v>0</v>
      </c>
      <c r="I1179" s="234"/>
      <c r="J1179" s="411"/>
      <c r="K1179" s="411"/>
      <c r="L1179" s="414">
        <v>0.1</v>
      </c>
      <c r="M1179" s="414">
        <f>ROUND(+L1179*C1179,4)</f>
        <v>0</v>
      </c>
      <c r="N1179" s="414"/>
      <c r="O1179" s="414"/>
      <c r="P1179" s="414"/>
      <c r="Q1179" s="419">
        <f>ROUND(+N1179+O1179+P1179,4)</f>
        <v>0</v>
      </c>
      <c r="R1179" s="419">
        <f>ROUND(IF(+Q1179-H1179&lt;=0,0,Q1179-H1179),4)</f>
        <v>0</v>
      </c>
      <c r="S1179" s="423">
        <v>0.5</v>
      </c>
      <c r="T1179" s="419">
        <f>ROUND(+(R1179*C1179)*S1179,4)</f>
        <v>0</v>
      </c>
      <c r="U1179" s="419">
        <f>ROUND(+J1179+M1179+T1179,4)</f>
        <v>0</v>
      </c>
      <c r="V1179" s="235"/>
    </row>
    <row r="1180" spans="1:22" ht="15.75" x14ac:dyDescent="0.25">
      <c r="A1180" s="231"/>
      <c r="B1180" s="232"/>
      <c r="C1180" s="400"/>
      <c r="D1180" s="233"/>
      <c r="E1180" s="405"/>
      <c r="F1180" s="405"/>
      <c r="G1180" s="405"/>
      <c r="H1180" s="408">
        <f>ROUND(+E1180+F1180+G1180,4)</f>
        <v>0</v>
      </c>
      <c r="I1180" s="234"/>
      <c r="J1180" s="411"/>
      <c r="K1180" s="411"/>
      <c r="L1180" s="414">
        <v>0.1</v>
      </c>
      <c r="M1180" s="414">
        <f>ROUND(+L1180*C1180,4)</f>
        <v>0</v>
      </c>
      <c r="N1180" s="414"/>
      <c r="O1180" s="414"/>
      <c r="P1180" s="414"/>
      <c r="Q1180" s="419">
        <f>ROUND(+N1180+O1180+P1180,4)</f>
        <v>0</v>
      </c>
      <c r="R1180" s="419">
        <f>ROUND(IF(+Q1180-H1180&lt;=0,0,Q1180-H1180),4)</f>
        <v>0</v>
      </c>
      <c r="S1180" s="423">
        <v>0.5</v>
      </c>
      <c r="T1180" s="419">
        <f>ROUND(+(R1180*C1180)*S1180,4)</f>
        <v>0</v>
      </c>
      <c r="U1180" s="419">
        <f>ROUND(+J1180+M1180+T1180,4)</f>
        <v>0</v>
      </c>
      <c r="V1180" s="235"/>
    </row>
    <row r="1181" spans="1:22" ht="15.75" x14ac:dyDescent="0.25">
      <c r="A1181" s="231"/>
      <c r="B1181" s="232"/>
      <c r="C1181" s="400"/>
      <c r="D1181" s="233"/>
      <c r="E1181" s="405"/>
      <c r="F1181" s="405"/>
      <c r="G1181" s="405"/>
      <c r="H1181" s="408">
        <f>ROUND(+E1181+F1181+G1181,4)</f>
        <v>0</v>
      </c>
      <c r="I1181" s="234"/>
      <c r="J1181" s="411"/>
      <c r="K1181" s="411"/>
      <c r="L1181" s="414">
        <v>0.1</v>
      </c>
      <c r="M1181" s="414">
        <f>ROUND(+L1181*C1181,4)</f>
        <v>0</v>
      </c>
      <c r="N1181" s="414"/>
      <c r="O1181" s="414"/>
      <c r="P1181" s="414"/>
      <c r="Q1181" s="419">
        <f>ROUND(+N1181+O1181+P1181,4)</f>
        <v>0</v>
      </c>
      <c r="R1181" s="419">
        <f>ROUND(IF(+Q1181-H1181&lt;=0,0,Q1181-H1181),4)</f>
        <v>0</v>
      </c>
      <c r="S1181" s="423">
        <v>0.5</v>
      </c>
      <c r="T1181" s="419">
        <f>ROUND(+(R1181*C1181)*S1181,4)</f>
        <v>0</v>
      </c>
      <c r="U1181" s="419">
        <f>ROUND(+J1181+M1181+T1181,4)</f>
        <v>0</v>
      </c>
      <c r="V1181" s="235"/>
    </row>
    <row r="1182" spans="1:22" ht="15.75" x14ac:dyDescent="0.25">
      <c r="A1182" s="231"/>
      <c r="B1182" s="232"/>
      <c r="C1182" s="400"/>
      <c r="D1182" s="233"/>
      <c r="E1182" s="405"/>
      <c r="F1182" s="405"/>
      <c r="G1182" s="405"/>
      <c r="H1182" s="408">
        <f>ROUND(+E1182+F1182+G1182,4)</f>
        <v>0</v>
      </c>
      <c r="I1182" s="234"/>
      <c r="J1182" s="411"/>
      <c r="K1182" s="411"/>
      <c r="L1182" s="414">
        <v>0.1</v>
      </c>
      <c r="M1182" s="414">
        <f>ROUND(+L1182*C1182,4)</f>
        <v>0</v>
      </c>
      <c r="N1182" s="414"/>
      <c r="O1182" s="414"/>
      <c r="P1182" s="414"/>
      <c r="Q1182" s="419">
        <f>ROUND(+N1182+O1182+P1182,4)</f>
        <v>0</v>
      </c>
      <c r="R1182" s="419">
        <f>ROUND(IF(+Q1182-H1182&lt;=0,0,Q1182-H1182),4)</f>
        <v>0</v>
      </c>
      <c r="S1182" s="423">
        <v>0.5</v>
      </c>
      <c r="T1182" s="419">
        <f>ROUND(+(R1182*C1182)*S1182,4)</f>
        <v>0</v>
      </c>
      <c r="U1182" s="419">
        <f>ROUND(+J1182+M1182+T1182,4)</f>
        <v>0</v>
      </c>
      <c r="V1182" s="235"/>
    </row>
    <row r="1183" spans="1:22" ht="15.75" x14ac:dyDescent="0.25">
      <c r="A1183" s="231"/>
      <c r="B1183" s="232"/>
      <c r="C1183" s="400"/>
      <c r="D1183" s="233"/>
      <c r="E1183" s="405"/>
      <c r="F1183" s="405"/>
      <c r="G1183" s="405"/>
      <c r="H1183" s="408">
        <f>ROUND(+E1183+F1183+G1183,4)</f>
        <v>0</v>
      </c>
      <c r="I1183" s="234"/>
      <c r="J1183" s="411"/>
      <c r="K1183" s="411"/>
      <c r="L1183" s="414">
        <v>0.1</v>
      </c>
      <c r="M1183" s="414">
        <f>ROUND(+L1183*C1183,4)</f>
        <v>0</v>
      </c>
      <c r="N1183" s="414"/>
      <c r="O1183" s="414"/>
      <c r="P1183" s="414"/>
      <c r="Q1183" s="419">
        <f>ROUND(+N1183+O1183+P1183,4)</f>
        <v>0</v>
      </c>
      <c r="R1183" s="419">
        <f>ROUND(IF(+Q1183-H1183&lt;=0,0,Q1183-H1183),4)</f>
        <v>0</v>
      </c>
      <c r="S1183" s="423">
        <v>0.5</v>
      </c>
      <c r="T1183" s="419">
        <f>ROUND(+(R1183*C1183)*S1183,4)</f>
        <v>0</v>
      </c>
      <c r="U1183" s="419">
        <f>ROUND(+J1183+M1183+T1183,4)</f>
        <v>0</v>
      </c>
      <c r="V1183" s="235"/>
    </row>
    <row r="1184" spans="1:22" ht="15.75" x14ac:dyDescent="0.25">
      <c r="A1184" s="231"/>
      <c r="B1184" s="232"/>
      <c r="C1184" s="400"/>
      <c r="D1184" s="233"/>
      <c r="E1184" s="405"/>
      <c r="F1184" s="405"/>
      <c r="G1184" s="405"/>
      <c r="H1184" s="408">
        <f>ROUND(+E1184+F1184+G1184,4)</f>
        <v>0</v>
      </c>
      <c r="I1184" s="234"/>
      <c r="J1184" s="411"/>
      <c r="K1184" s="411"/>
      <c r="L1184" s="414">
        <v>0.1</v>
      </c>
      <c r="M1184" s="414">
        <f>ROUND(+L1184*C1184,4)</f>
        <v>0</v>
      </c>
      <c r="N1184" s="414"/>
      <c r="O1184" s="414"/>
      <c r="P1184" s="414"/>
      <c r="Q1184" s="419">
        <f>ROUND(+N1184+O1184+P1184,4)</f>
        <v>0</v>
      </c>
      <c r="R1184" s="419">
        <f>ROUND(IF(+Q1184-H1184&lt;=0,0,Q1184-H1184),4)</f>
        <v>0</v>
      </c>
      <c r="S1184" s="423">
        <v>0.5</v>
      </c>
      <c r="T1184" s="419">
        <f>ROUND(+(R1184*C1184)*S1184,4)</f>
        <v>0</v>
      </c>
      <c r="U1184" s="419">
        <f>ROUND(+J1184+M1184+T1184,4)</f>
        <v>0</v>
      </c>
      <c r="V1184" s="235"/>
    </row>
    <row r="1185" spans="1:22" ht="15.75" x14ac:dyDescent="0.25">
      <c r="A1185" s="231"/>
      <c r="B1185" s="232"/>
      <c r="C1185" s="400"/>
      <c r="D1185" s="233"/>
      <c r="E1185" s="405"/>
      <c r="F1185" s="405"/>
      <c r="G1185" s="405"/>
      <c r="H1185" s="408">
        <f>ROUND(+E1185+F1185+G1185,4)</f>
        <v>0</v>
      </c>
      <c r="I1185" s="234"/>
      <c r="J1185" s="411"/>
      <c r="K1185" s="411"/>
      <c r="L1185" s="414">
        <v>0.1</v>
      </c>
      <c r="M1185" s="414">
        <f>ROUND(+L1185*C1185,4)</f>
        <v>0</v>
      </c>
      <c r="N1185" s="414"/>
      <c r="O1185" s="414"/>
      <c r="P1185" s="414"/>
      <c r="Q1185" s="419">
        <f>ROUND(+N1185+O1185+P1185,4)</f>
        <v>0</v>
      </c>
      <c r="R1185" s="419">
        <f>ROUND(IF(+Q1185-H1185&lt;=0,0,Q1185-H1185),4)</f>
        <v>0</v>
      </c>
      <c r="S1185" s="423">
        <v>0.5</v>
      </c>
      <c r="T1185" s="419">
        <f>ROUND(+(R1185*C1185)*S1185,4)</f>
        <v>0</v>
      </c>
      <c r="U1185" s="419">
        <f>ROUND(+J1185+M1185+T1185,4)</f>
        <v>0</v>
      </c>
      <c r="V1185" s="235"/>
    </row>
    <row r="1186" spans="1:22" ht="15.75" x14ac:dyDescent="0.25">
      <c r="A1186" s="231"/>
      <c r="B1186" s="232"/>
      <c r="C1186" s="400"/>
      <c r="D1186" s="233"/>
      <c r="E1186" s="405"/>
      <c r="F1186" s="405"/>
      <c r="G1186" s="405"/>
      <c r="H1186" s="408">
        <f>ROUND(+E1186+F1186+G1186,4)</f>
        <v>0</v>
      </c>
      <c r="I1186" s="234"/>
      <c r="J1186" s="411"/>
      <c r="K1186" s="411"/>
      <c r="L1186" s="414">
        <v>0.1</v>
      </c>
      <c r="M1186" s="414">
        <f>ROUND(+L1186*C1186,4)</f>
        <v>0</v>
      </c>
      <c r="N1186" s="414"/>
      <c r="O1186" s="414"/>
      <c r="P1186" s="414"/>
      <c r="Q1186" s="419">
        <f>ROUND(+N1186+O1186+P1186,4)</f>
        <v>0</v>
      </c>
      <c r="R1186" s="419">
        <f>ROUND(IF(+Q1186-H1186&lt;=0,0,Q1186-H1186),4)</f>
        <v>0</v>
      </c>
      <c r="S1186" s="423">
        <v>0.5</v>
      </c>
      <c r="T1186" s="419">
        <f>ROUND(+(R1186*C1186)*S1186,4)</f>
        <v>0</v>
      </c>
      <c r="U1186" s="419">
        <f>ROUND(+J1186+M1186+T1186,4)</f>
        <v>0</v>
      </c>
      <c r="V1186" s="235"/>
    </row>
    <row r="1187" spans="1:22" ht="15.75" x14ac:dyDescent="0.25">
      <c r="A1187" s="231"/>
      <c r="B1187" s="232"/>
      <c r="C1187" s="400"/>
      <c r="D1187" s="233"/>
      <c r="E1187" s="405"/>
      <c r="F1187" s="405"/>
      <c r="G1187" s="405"/>
      <c r="H1187" s="408">
        <f>ROUND(+E1187+F1187+G1187,4)</f>
        <v>0</v>
      </c>
      <c r="I1187" s="234"/>
      <c r="J1187" s="411"/>
      <c r="K1187" s="411"/>
      <c r="L1187" s="414">
        <v>0.1</v>
      </c>
      <c r="M1187" s="414">
        <f>ROUND(+L1187*C1187,4)</f>
        <v>0</v>
      </c>
      <c r="N1187" s="414"/>
      <c r="O1187" s="414"/>
      <c r="P1187" s="414"/>
      <c r="Q1187" s="419">
        <f>ROUND(+N1187+O1187+P1187,4)</f>
        <v>0</v>
      </c>
      <c r="R1187" s="419">
        <f>ROUND(IF(+Q1187-H1187&lt;=0,0,Q1187-H1187),4)</f>
        <v>0</v>
      </c>
      <c r="S1187" s="423">
        <v>0.5</v>
      </c>
      <c r="T1187" s="419">
        <f>ROUND(+(R1187*C1187)*S1187,4)</f>
        <v>0</v>
      </c>
      <c r="U1187" s="419">
        <f>ROUND(+J1187+M1187+T1187,4)</f>
        <v>0</v>
      </c>
      <c r="V1187" s="235"/>
    </row>
    <row r="1188" spans="1:22" ht="15.75" x14ac:dyDescent="0.25">
      <c r="A1188" s="231"/>
      <c r="B1188" s="232"/>
      <c r="C1188" s="400"/>
      <c r="D1188" s="233"/>
      <c r="E1188" s="405"/>
      <c r="F1188" s="405"/>
      <c r="G1188" s="405"/>
      <c r="H1188" s="408">
        <f>ROUND(+E1188+F1188+G1188,4)</f>
        <v>0</v>
      </c>
      <c r="I1188" s="234"/>
      <c r="J1188" s="411"/>
      <c r="K1188" s="411"/>
      <c r="L1188" s="414">
        <v>0.1</v>
      </c>
      <c r="M1188" s="414">
        <f>ROUND(+L1188*C1188,4)</f>
        <v>0</v>
      </c>
      <c r="N1188" s="414"/>
      <c r="O1188" s="414"/>
      <c r="P1188" s="414"/>
      <c r="Q1188" s="419">
        <f>ROUND(+N1188+O1188+P1188,4)</f>
        <v>0</v>
      </c>
      <c r="R1188" s="419">
        <f>ROUND(IF(+Q1188-H1188&lt;=0,0,Q1188-H1188),4)</f>
        <v>0</v>
      </c>
      <c r="S1188" s="423">
        <v>0.5</v>
      </c>
      <c r="T1188" s="419">
        <f>ROUND(+(R1188*C1188)*S1188,4)</f>
        <v>0</v>
      </c>
      <c r="U1188" s="419">
        <f>ROUND(+J1188+M1188+T1188,4)</f>
        <v>0</v>
      </c>
      <c r="V1188" s="235"/>
    </row>
    <row r="1189" spans="1:22" ht="15.75" x14ac:dyDescent="0.25">
      <c r="A1189" s="231"/>
      <c r="B1189" s="232"/>
      <c r="C1189" s="400"/>
      <c r="D1189" s="233"/>
      <c r="E1189" s="405"/>
      <c r="F1189" s="405"/>
      <c r="G1189" s="405"/>
      <c r="H1189" s="408">
        <f>ROUND(+E1189+F1189+G1189,4)</f>
        <v>0</v>
      </c>
      <c r="I1189" s="234"/>
      <c r="J1189" s="411"/>
      <c r="K1189" s="411"/>
      <c r="L1189" s="414">
        <v>0.1</v>
      </c>
      <c r="M1189" s="414">
        <f>ROUND(+L1189*C1189,4)</f>
        <v>0</v>
      </c>
      <c r="N1189" s="414"/>
      <c r="O1189" s="414"/>
      <c r="P1189" s="414"/>
      <c r="Q1189" s="419">
        <f>ROUND(+N1189+O1189+P1189,4)</f>
        <v>0</v>
      </c>
      <c r="R1189" s="419">
        <f>ROUND(IF(+Q1189-H1189&lt;=0,0,Q1189-H1189),4)</f>
        <v>0</v>
      </c>
      <c r="S1189" s="423">
        <v>0.5</v>
      </c>
      <c r="T1189" s="419">
        <f>ROUND(+(R1189*C1189)*S1189,4)</f>
        <v>0</v>
      </c>
      <c r="U1189" s="419">
        <f>ROUND(+J1189+M1189+T1189,4)</f>
        <v>0</v>
      </c>
      <c r="V1189" s="235"/>
    </row>
    <row r="1190" spans="1:22" ht="15.75" x14ac:dyDescent="0.25">
      <c r="A1190" s="231"/>
      <c r="B1190" s="232"/>
      <c r="C1190" s="400"/>
      <c r="D1190" s="233"/>
      <c r="E1190" s="405"/>
      <c r="F1190" s="405"/>
      <c r="G1190" s="405"/>
      <c r="H1190" s="408">
        <f>ROUND(+E1190+F1190+G1190,4)</f>
        <v>0</v>
      </c>
      <c r="I1190" s="234"/>
      <c r="J1190" s="411"/>
      <c r="K1190" s="411"/>
      <c r="L1190" s="414">
        <v>0.1</v>
      </c>
      <c r="M1190" s="414">
        <f>ROUND(+L1190*C1190,4)</f>
        <v>0</v>
      </c>
      <c r="N1190" s="414"/>
      <c r="O1190" s="414"/>
      <c r="P1190" s="414"/>
      <c r="Q1190" s="419">
        <f>ROUND(+N1190+O1190+P1190,4)</f>
        <v>0</v>
      </c>
      <c r="R1190" s="419">
        <f>ROUND(IF(+Q1190-H1190&lt;=0,0,Q1190-H1190),4)</f>
        <v>0</v>
      </c>
      <c r="S1190" s="423">
        <v>0.5</v>
      </c>
      <c r="T1190" s="419">
        <f>ROUND(+(R1190*C1190)*S1190,4)</f>
        <v>0</v>
      </c>
      <c r="U1190" s="419">
        <f>ROUND(+J1190+M1190+T1190,4)</f>
        <v>0</v>
      </c>
      <c r="V1190" s="235"/>
    </row>
    <row r="1191" spans="1:22" ht="15.75" x14ac:dyDescent="0.25">
      <c r="A1191" s="231"/>
      <c r="B1191" s="232"/>
      <c r="C1191" s="400"/>
      <c r="D1191" s="233"/>
      <c r="E1191" s="405"/>
      <c r="F1191" s="405"/>
      <c r="G1191" s="405"/>
      <c r="H1191" s="408">
        <f>ROUND(+E1191+F1191+G1191,4)</f>
        <v>0</v>
      </c>
      <c r="I1191" s="234"/>
      <c r="J1191" s="411"/>
      <c r="K1191" s="411"/>
      <c r="L1191" s="414">
        <v>0.1</v>
      </c>
      <c r="M1191" s="414">
        <f>ROUND(+L1191*C1191,4)</f>
        <v>0</v>
      </c>
      <c r="N1191" s="414"/>
      <c r="O1191" s="414"/>
      <c r="P1191" s="414"/>
      <c r="Q1191" s="419">
        <f>ROUND(+N1191+O1191+P1191,4)</f>
        <v>0</v>
      </c>
      <c r="R1191" s="419">
        <f>ROUND(IF(+Q1191-H1191&lt;=0,0,Q1191-H1191),4)</f>
        <v>0</v>
      </c>
      <c r="S1191" s="423">
        <v>0.5</v>
      </c>
      <c r="T1191" s="419">
        <f>ROUND(+(R1191*C1191)*S1191,4)</f>
        <v>0</v>
      </c>
      <c r="U1191" s="419">
        <f>ROUND(+J1191+M1191+T1191,4)</f>
        <v>0</v>
      </c>
      <c r="V1191" s="235"/>
    </row>
    <row r="1192" spans="1:22" ht="15.75" x14ac:dyDescent="0.25">
      <c r="A1192" s="231"/>
      <c r="B1192" s="232"/>
      <c r="C1192" s="400"/>
      <c r="D1192" s="233"/>
      <c r="E1192" s="405"/>
      <c r="F1192" s="405"/>
      <c r="G1192" s="405"/>
      <c r="H1192" s="408">
        <f>ROUND(+E1192+F1192+G1192,4)</f>
        <v>0</v>
      </c>
      <c r="I1192" s="234"/>
      <c r="J1192" s="411"/>
      <c r="K1192" s="411"/>
      <c r="L1192" s="414">
        <v>0.1</v>
      </c>
      <c r="M1192" s="414">
        <f>ROUND(+L1192*C1192,4)</f>
        <v>0</v>
      </c>
      <c r="N1192" s="414"/>
      <c r="O1192" s="414"/>
      <c r="P1192" s="414"/>
      <c r="Q1192" s="419">
        <f>ROUND(+N1192+O1192+P1192,4)</f>
        <v>0</v>
      </c>
      <c r="R1192" s="419">
        <f>ROUND(IF(+Q1192-H1192&lt;=0,0,Q1192-H1192),4)</f>
        <v>0</v>
      </c>
      <c r="S1192" s="423">
        <v>0.5</v>
      </c>
      <c r="T1192" s="419">
        <f>ROUND(+(R1192*C1192)*S1192,4)</f>
        <v>0</v>
      </c>
      <c r="U1192" s="419">
        <f>ROUND(+J1192+M1192+T1192,4)</f>
        <v>0</v>
      </c>
      <c r="V1192" s="235"/>
    </row>
    <row r="1193" spans="1:22" ht="15.75" x14ac:dyDescent="0.25">
      <c r="A1193" s="231"/>
      <c r="B1193" s="232"/>
      <c r="C1193" s="400"/>
      <c r="D1193" s="233"/>
      <c r="E1193" s="405"/>
      <c r="F1193" s="405"/>
      <c r="G1193" s="405"/>
      <c r="H1193" s="408">
        <f>ROUND(+E1193+F1193+G1193,4)</f>
        <v>0</v>
      </c>
      <c r="I1193" s="234"/>
      <c r="J1193" s="411"/>
      <c r="K1193" s="411"/>
      <c r="L1193" s="414">
        <v>0.1</v>
      </c>
      <c r="M1193" s="414">
        <f>ROUND(+L1193*C1193,4)</f>
        <v>0</v>
      </c>
      <c r="N1193" s="414"/>
      <c r="O1193" s="414"/>
      <c r="P1193" s="414"/>
      <c r="Q1193" s="419">
        <f>ROUND(+N1193+O1193+P1193,4)</f>
        <v>0</v>
      </c>
      <c r="R1193" s="419">
        <f>ROUND(IF(+Q1193-H1193&lt;=0,0,Q1193-H1193),4)</f>
        <v>0</v>
      </c>
      <c r="S1193" s="423">
        <v>0.5</v>
      </c>
      <c r="T1193" s="419">
        <f>ROUND(+(R1193*C1193)*S1193,4)</f>
        <v>0</v>
      </c>
      <c r="U1193" s="419">
        <f>ROUND(+J1193+M1193+T1193,4)</f>
        <v>0</v>
      </c>
      <c r="V1193" s="235"/>
    </row>
    <row r="1194" spans="1:22" ht="15.75" x14ac:dyDescent="0.25">
      <c r="A1194" s="231"/>
      <c r="B1194" s="232"/>
      <c r="C1194" s="400"/>
      <c r="D1194" s="233"/>
      <c r="E1194" s="405"/>
      <c r="F1194" s="405"/>
      <c r="G1194" s="405"/>
      <c r="H1194" s="408">
        <f>ROUND(+E1194+F1194+G1194,4)</f>
        <v>0</v>
      </c>
      <c r="I1194" s="234"/>
      <c r="J1194" s="411"/>
      <c r="K1194" s="411"/>
      <c r="L1194" s="414">
        <v>0.1</v>
      </c>
      <c r="M1194" s="414">
        <f>ROUND(+L1194*C1194,4)</f>
        <v>0</v>
      </c>
      <c r="N1194" s="414"/>
      <c r="O1194" s="414"/>
      <c r="P1194" s="414"/>
      <c r="Q1194" s="419">
        <f>ROUND(+N1194+O1194+P1194,4)</f>
        <v>0</v>
      </c>
      <c r="R1194" s="419">
        <f>ROUND(IF(+Q1194-H1194&lt;=0,0,Q1194-H1194),4)</f>
        <v>0</v>
      </c>
      <c r="S1194" s="423">
        <v>0.5</v>
      </c>
      <c r="T1194" s="419">
        <f>ROUND(+(R1194*C1194)*S1194,4)</f>
        <v>0</v>
      </c>
      <c r="U1194" s="419">
        <f>ROUND(+J1194+M1194+T1194,4)</f>
        <v>0</v>
      </c>
      <c r="V1194" s="235"/>
    </row>
    <row r="1195" spans="1:22" ht="15.75" x14ac:dyDescent="0.25">
      <c r="A1195" s="231"/>
      <c r="B1195" s="232"/>
      <c r="C1195" s="400"/>
      <c r="D1195" s="233"/>
      <c r="E1195" s="405"/>
      <c r="F1195" s="405"/>
      <c r="G1195" s="405"/>
      <c r="H1195" s="408">
        <f>ROUND(+E1195+F1195+G1195,4)</f>
        <v>0</v>
      </c>
      <c r="I1195" s="234"/>
      <c r="J1195" s="411"/>
      <c r="K1195" s="411"/>
      <c r="L1195" s="414">
        <v>0.1</v>
      </c>
      <c r="M1195" s="414">
        <f>ROUND(+L1195*C1195,4)</f>
        <v>0</v>
      </c>
      <c r="N1195" s="414"/>
      <c r="O1195" s="414"/>
      <c r="P1195" s="414"/>
      <c r="Q1195" s="419">
        <f>ROUND(+N1195+O1195+P1195,4)</f>
        <v>0</v>
      </c>
      <c r="R1195" s="419">
        <f>ROUND(IF(+Q1195-H1195&lt;=0,0,Q1195-H1195),4)</f>
        <v>0</v>
      </c>
      <c r="S1195" s="423">
        <v>0.5</v>
      </c>
      <c r="T1195" s="419">
        <f>ROUND(+(R1195*C1195)*S1195,4)</f>
        <v>0</v>
      </c>
      <c r="U1195" s="419">
        <f>ROUND(+J1195+M1195+T1195,4)</f>
        <v>0</v>
      </c>
      <c r="V1195" s="235"/>
    </row>
    <row r="1196" spans="1:22" ht="15.75" x14ac:dyDescent="0.25">
      <c r="A1196" s="231"/>
      <c r="B1196" s="232"/>
      <c r="C1196" s="400"/>
      <c r="D1196" s="233"/>
      <c r="E1196" s="405"/>
      <c r="F1196" s="405"/>
      <c r="G1196" s="405"/>
      <c r="H1196" s="408">
        <f>ROUND(+E1196+F1196+G1196,4)</f>
        <v>0</v>
      </c>
      <c r="I1196" s="234"/>
      <c r="J1196" s="411"/>
      <c r="K1196" s="411"/>
      <c r="L1196" s="414">
        <v>0.1</v>
      </c>
      <c r="M1196" s="414">
        <f>ROUND(+L1196*C1196,4)</f>
        <v>0</v>
      </c>
      <c r="N1196" s="414"/>
      <c r="O1196" s="414"/>
      <c r="P1196" s="414"/>
      <c r="Q1196" s="419">
        <f>ROUND(+N1196+O1196+P1196,4)</f>
        <v>0</v>
      </c>
      <c r="R1196" s="419">
        <f>ROUND(IF(+Q1196-H1196&lt;=0,0,Q1196-H1196),4)</f>
        <v>0</v>
      </c>
      <c r="S1196" s="423">
        <v>0.5</v>
      </c>
      <c r="T1196" s="419">
        <f>ROUND(+(R1196*C1196)*S1196,4)</f>
        <v>0</v>
      </c>
      <c r="U1196" s="419">
        <f>ROUND(+J1196+M1196+T1196,4)</f>
        <v>0</v>
      </c>
      <c r="V1196" s="235"/>
    </row>
    <row r="1197" spans="1:22" ht="15.75" x14ac:dyDescent="0.25">
      <c r="A1197" s="231"/>
      <c r="B1197" s="232"/>
      <c r="C1197" s="400"/>
      <c r="D1197" s="233"/>
      <c r="E1197" s="405"/>
      <c r="F1197" s="405"/>
      <c r="G1197" s="405"/>
      <c r="H1197" s="408">
        <f>ROUND(+E1197+F1197+G1197,4)</f>
        <v>0</v>
      </c>
      <c r="I1197" s="234"/>
      <c r="J1197" s="411"/>
      <c r="K1197" s="411"/>
      <c r="L1197" s="414">
        <v>0.1</v>
      </c>
      <c r="M1197" s="414">
        <f>ROUND(+L1197*C1197,4)</f>
        <v>0</v>
      </c>
      <c r="N1197" s="414"/>
      <c r="O1197" s="414"/>
      <c r="P1197" s="414"/>
      <c r="Q1197" s="419">
        <f>ROUND(+N1197+O1197+P1197,4)</f>
        <v>0</v>
      </c>
      <c r="R1197" s="419">
        <f>ROUND(IF(+Q1197-H1197&lt;=0,0,Q1197-H1197),4)</f>
        <v>0</v>
      </c>
      <c r="S1197" s="423">
        <v>0.5</v>
      </c>
      <c r="T1197" s="419">
        <f>ROUND(+(R1197*C1197)*S1197,4)</f>
        <v>0</v>
      </c>
      <c r="U1197" s="419">
        <f>ROUND(+J1197+M1197+T1197,4)</f>
        <v>0</v>
      </c>
      <c r="V1197" s="235"/>
    </row>
    <row r="1198" spans="1:22" ht="15.75" x14ac:dyDescent="0.25">
      <c r="A1198" s="231"/>
      <c r="B1198" s="232"/>
      <c r="C1198" s="400"/>
      <c r="D1198" s="233"/>
      <c r="E1198" s="405"/>
      <c r="F1198" s="405"/>
      <c r="G1198" s="405"/>
      <c r="H1198" s="408">
        <f>ROUND(+E1198+F1198+G1198,4)</f>
        <v>0</v>
      </c>
      <c r="I1198" s="234"/>
      <c r="J1198" s="411"/>
      <c r="K1198" s="411"/>
      <c r="L1198" s="414">
        <v>0.1</v>
      </c>
      <c r="M1198" s="414">
        <f>ROUND(+L1198*C1198,4)</f>
        <v>0</v>
      </c>
      <c r="N1198" s="414"/>
      <c r="O1198" s="414"/>
      <c r="P1198" s="414"/>
      <c r="Q1198" s="419">
        <f>ROUND(+N1198+O1198+P1198,4)</f>
        <v>0</v>
      </c>
      <c r="R1198" s="419">
        <f>ROUND(IF(+Q1198-H1198&lt;=0,0,Q1198-H1198),4)</f>
        <v>0</v>
      </c>
      <c r="S1198" s="423">
        <v>0.5</v>
      </c>
      <c r="T1198" s="419">
        <f>ROUND(+(R1198*C1198)*S1198,4)</f>
        <v>0</v>
      </c>
      <c r="U1198" s="419">
        <f>ROUND(+J1198+M1198+T1198,4)</f>
        <v>0</v>
      </c>
      <c r="V1198" s="235"/>
    </row>
    <row r="1199" spans="1:22" ht="15.75" x14ac:dyDescent="0.25">
      <c r="A1199" s="231"/>
      <c r="B1199" s="232"/>
      <c r="C1199" s="400"/>
      <c r="D1199" s="233"/>
      <c r="E1199" s="405"/>
      <c r="F1199" s="405"/>
      <c r="G1199" s="405"/>
      <c r="H1199" s="408">
        <f>ROUND(+E1199+F1199+G1199,4)</f>
        <v>0</v>
      </c>
      <c r="I1199" s="234"/>
      <c r="J1199" s="411"/>
      <c r="K1199" s="411"/>
      <c r="L1199" s="414">
        <v>0.1</v>
      </c>
      <c r="M1199" s="414">
        <f>ROUND(+L1199*C1199,4)</f>
        <v>0</v>
      </c>
      <c r="N1199" s="414"/>
      <c r="O1199" s="414"/>
      <c r="P1199" s="414"/>
      <c r="Q1199" s="419">
        <f>ROUND(+N1199+O1199+P1199,4)</f>
        <v>0</v>
      </c>
      <c r="R1199" s="419">
        <f>ROUND(IF(+Q1199-H1199&lt;=0,0,Q1199-H1199),4)</f>
        <v>0</v>
      </c>
      <c r="S1199" s="423">
        <v>0.5</v>
      </c>
      <c r="T1199" s="419">
        <f>ROUND(+(R1199*C1199)*S1199,4)</f>
        <v>0</v>
      </c>
      <c r="U1199" s="419">
        <f>ROUND(+J1199+M1199+T1199,4)</f>
        <v>0</v>
      </c>
      <c r="V1199" s="235"/>
    </row>
    <row r="1200" spans="1:22" ht="15.75" x14ac:dyDescent="0.25">
      <c r="A1200" s="231"/>
      <c r="B1200" s="232"/>
      <c r="C1200" s="400"/>
      <c r="D1200" s="233"/>
      <c r="E1200" s="405"/>
      <c r="F1200" s="405"/>
      <c r="G1200" s="405"/>
      <c r="H1200" s="408">
        <f>ROUND(+E1200+F1200+G1200,4)</f>
        <v>0</v>
      </c>
      <c r="I1200" s="234"/>
      <c r="J1200" s="411"/>
      <c r="K1200" s="411"/>
      <c r="L1200" s="414">
        <v>0.1</v>
      </c>
      <c r="M1200" s="414">
        <f>ROUND(+L1200*C1200,4)</f>
        <v>0</v>
      </c>
      <c r="N1200" s="414"/>
      <c r="O1200" s="414"/>
      <c r="P1200" s="414"/>
      <c r="Q1200" s="419">
        <f>ROUND(+N1200+O1200+P1200,4)</f>
        <v>0</v>
      </c>
      <c r="R1200" s="419">
        <f>ROUND(IF(+Q1200-H1200&lt;=0,0,Q1200-H1200),4)</f>
        <v>0</v>
      </c>
      <c r="S1200" s="423">
        <v>0.5</v>
      </c>
      <c r="T1200" s="419">
        <f>ROUND(+(R1200*C1200)*S1200,4)</f>
        <v>0</v>
      </c>
      <c r="U1200" s="419">
        <f>ROUND(+J1200+M1200+T1200,4)</f>
        <v>0</v>
      </c>
      <c r="V1200" s="235"/>
    </row>
    <row r="1201" spans="1:22" ht="15.75" x14ac:dyDescent="0.25">
      <c r="A1201" s="231"/>
      <c r="B1201" s="232"/>
      <c r="C1201" s="400"/>
      <c r="D1201" s="233"/>
      <c r="E1201" s="405"/>
      <c r="F1201" s="405"/>
      <c r="G1201" s="405"/>
      <c r="H1201" s="408">
        <f>ROUND(+E1201+F1201+G1201,4)</f>
        <v>0</v>
      </c>
      <c r="I1201" s="234"/>
      <c r="J1201" s="411"/>
      <c r="K1201" s="411"/>
      <c r="L1201" s="414">
        <v>0.1</v>
      </c>
      <c r="M1201" s="414">
        <f>ROUND(+L1201*C1201,4)</f>
        <v>0</v>
      </c>
      <c r="N1201" s="414"/>
      <c r="O1201" s="414"/>
      <c r="P1201" s="414"/>
      <c r="Q1201" s="419">
        <f>ROUND(+N1201+O1201+P1201,4)</f>
        <v>0</v>
      </c>
      <c r="R1201" s="419">
        <f>ROUND(IF(+Q1201-H1201&lt;=0,0,Q1201-H1201),4)</f>
        <v>0</v>
      </c>
      <c r="S1201" s="423">
        <v>0.5</v>
      </c>
      <c r="T1201" s="419">
        <f>ROUND(+(R1201*C1201)*S1201,4)</f>
        <v>0</v>
      </c>
      <c r="U1201" s="419">
        <f>ROUND(+J1201+M1201+T1201,4)</f>
        <v>0</v>
      </c>
      <c r="V1201" s="235"/>
    </row>
    <row r="1202" spans="1:22" ht="15.75" x14ac:dyDescent="0.25">
      <c r="A1202" s="231"/>
      <c r="B1202" s="232"/>
      <c r="C1202" s="400"/>
      <c r="D1202" s="233"/>
      <c r="E1202" s="405"/>
      <c r="F1202" s="405"/>
      <c r="G1202" s="405"/>
      <c r="H1202" s="408">
        <f>ROUND(+E1202+F1202+G1202,4)</f>
        <v>0</v>
      </c>
      <c r="I1202" s="234"/>
      <c r="J1202" s="411"/>
      <c r="K1202" s="411"/>
      <c r="L1202" s="414">
        <v>0.1</v>
      </c>
      <c r="M1202" s="414">
        <f>ROUND(+L1202*C1202,4)</f>
        <v>0</v>
      </c>
      <c r="N1202" s="414"/>
      <c r="O1202" s="414"/>
      <c r="P1202" s="414"/>
      <c r="Q1202" s="419">
        <f>ROUND(+N1202+O1202+P1202,4)</f>
        <v>0</v>
      </c>
      <c r="R1202" s="419">
        <f>ROUND(IF(+Q1202-H1202&lt;=0,0,Q1202-H1202),4)</f>
        <v>0</v>
      </c>
      <c r="S1202" s="423">
        <v>0.5</v>
      </c>
      <c r="T1202" s="419">
        <f>ROUND(+(R1202*C1202)*S1202,4)</f>
        <v>0</v>
      </c>
      <c r="U1202" s="419">
        <f>ROUND(+J1202+M1202+T1202,4)</f>
        <v>0</v>
      </c>
      <c r="V1202" s="235"/>
    </row>
    <row r="1203" spans="1:22" ht="15.75" x14ac:dyDescent="0.25">
      <c r="A1203" s="231"/>
      <c r="B1203" s="232"/>
      <c r="C1203" s="400"/>
      <c r="D1203" s="233"/>
      <c r="E1203" s="405"/>
      <c r="F1203" s="405"/>
      <c r="G1203" s="405"/>
      <c r="H1203" s="408">
        <f>ROUND(+E1203+F1203+G1203,4)</f>
        <v>0</v>
      </c>
      <c r="I1203" s="234"/>
      <c r="J1203" s="411"/>
      <c r="K1203" s="411"/>
      <c r="L1203" s="414">
        <v>0.1</v>
      </c>
      <c r="M1203" s="414">
        <f>ROUND(+L1203*C1203,4)</f>
        <v>0</v>
      </c>
      <c r="N1203" s="414"/>
      <c r="O1203" s="414"/>
      <c r="P1203" s="414"/>
      <c r="Q1203" s="419">
        <f>ROUND(+N1203+O1203+P1203,4)</f>
        <v>0</v>
      </c>
      <c r="R1203" s="419">
        <f>ROUND(IF(+Q1203-H1203&lt;=0,0,Q1203-H1203),4)</f>
        <v>0</v>
      </c>
      <c r="S1203" s="423">
        <v>0.5</v>
      </c>
      <c r="T1203" s="419">
        <f>ROUND(+(R1203*C1203)*S1203,4)</f>
        <v>0</v>
      </c>
      <c r="U1203" s="419">
        <f>ROUND(+J1203+M1203+T1203,4)</f>
        <v>0</v>
      </c>
      <c r="V1203" s="235"/>
    </row>
    <row r="1204" spans="1:22" ht="15.75" x14ac:dyDescent="0.25">
      <c r="A1204" s="231"/>
      <c r="B1204" s="232"/>
      <c r="C1204" s="400"/>
      <c r="D1204" s="233"/>
      <c r="E1204" s="405"/>
      <c r="F1204" s="405"/>
      <c r="G1204" s="405"/>
      <c r="H1204" s="408">
        <f>ROUND(+E1204+F1204+G1204,4)</f>
        <v>0</v>
      </c>
      <c r="I1204" s="234"/>
      <c r="J1204" s="411"/>
      <c r="K1204" s="411"/>
      <c r="L1204" s="414">
        <v>0.1</v>
      </c>
      <c r="M1204" s="414">
        <f>ROUND(+L1204*C1204,4)</f>
        <v>0</v>
      </c>
      <c r="N1204" s="414"/>
      <c r="O1204" s="414"/>
      <c r="P1204" s="414"/>
      <c r="Q1204" s="419">
        <f>ROUND(+N1204+O1204+P1204,4)</f>
        <v>0</v>
      </c>
      <c r="R1204" s="419">
        <f>ROUND(IF(+Q1204-H1204&lt;=0,0,Q1204-H1204),4)</f>
        <v>0</v>
      </c>
      <c r="S1204" s="423">
        <v>0.5</v>
      </c>
      <c r="T1204" s="419">
        <f>ROUND(+(R1204*C1204)*S1204,4)</f>
        <v>0</v>
      </c>
      <c r="U1204" s="419">
        <f>ROUND(+J1204+M1204+T1204,4)</f>
        <v>0</v>
      </c>
      <c r="V1204" s="235"/>
    </row>
    <row r="1205" spans="1:22" ht="15.75" x14ac:dyDescent="0.25">
      <c r="A1205" s="231"/>
      <c r="B1205" s="232"/>
      <c r="C1205" s="400"/>
      <c r="D1205" s="233"/>
      <c r="E1205" s="405"/>
      <c r="F1205" s="405"/>
      <c r="G1205" s="405"/>
      <c r="H1205" s="408">
        <f>ROUND(+E1205+F1205+G1205,4)</f>
        <v>0</v>
      </c>
      <c r="I1205" s="234"/>
      <c r="J1205" s="411"/>
      <c r="K1205" s="411"/>
      <c r="L1205" s="414">
        <v>0.1</v>
      </c>
      <c r="M1205" s="414">
        <f>ROUND(+L1205*C1205,4)</f>
        <v>0</v>
      </c>
      <c r="N1205" s="414"/>
      <c r="O1205" s="414"/>
      <c r="P1205" s="414"/>
      <c r="Q1205" s="419">
        <f>ROUND(+N1205+O1205+P1205,4)</f>
        <v>0</v>
      </c>
      <c r="R1205" s="419">
        <f>ROUND(IF(+Q1205-H1205&lt;=0,0,Q1205-H1205),4)</f>
        <v>0</v>
      </c>
      <c r="S1205" s="423">
        <v>0.5</v>
      </c>
      <c r="T1205" s="419">
        <f>ROUND(+(R1205*C1205)*S1205,4)</f>
        <v>0</v>
      </c>
      <c r="U1205" s="419">
        <f>ROUND(+J1205+M1205+T1205,4)</f>
        <v>0</v>
      </c>
      <c r="V1205" s="235"/>
    </row>
    <row r="1206" spans="1:22" ht="15.75" x14ac:dyDescent="0.25">
      <c r="A1206" s="231"/>
      <c r="B1206" s="232"/>
      <c r="C1206" s="400"/>
      <c r="D1206" s="233"/>
      <c r="E1206" s="405"/>
      <c r="F1206" s="405"/>
      <c r="G1206" s="405"/>
      <c r="H1206" s="408">
        <f>ROUND(+E1206+F1206+G1206,4)</f>
        <v>0</v>
      </c>
      <c r="I1206" s="234"/>
      <c r="J1206" s="411"/>
      <c r="K1206" s="411"/>
      <c r="L1206" s="414">
        <v>0.1</v>
      </c>
      <c r="M1206" s="414">
        <f>ROUND(+L1206*C1206,4)</f>
        <v>0</v>
      </c>
      <c r="N1206" s="414"/>
      <c r="O1206" s="414"/>
      <c r="P1206" s="414"/>
      <c r="Q1206" s="419">
        <f>ROUND(+N1206+O1206+P1206,4)</f>
        <v>0</v>
      </c>
      <c r="R1206" s="419">
        <f>ROUND(IF(+Q1206-H1206&lt;=0,0,Q1206-H1206),4)</f>
        <v>0</v>
      </c>
      <c r="S1206" s="423">
        <v>0.5</v>
      </c>
      <c r="T1206" s="419">
        <f>ROUND(+(R1206*C1206)*S1206,4)</f>
        <v>0</v>
      </c>
      <c r="U1206" s="419">
        <f>ROUND(+J1206+M1206+T1206,4)</f>
        <v>0</v>
      </c>
      <c r="V1206" s="235"/>
    </row>
    <row r="1207" spans="1:22" ht="15.75" x14ac:dyDescent="0.25">
      <c r="A1207" s="231"/>
      <c r="B1207" s="232"/>
      <c r="C1207" s="400"/>
      <c r="D1207" s="233"/>
      <c r="E1207" s="405"/>
      <c r="F1207" s="405"/>
      <c r="G1207" s="405"/>
      <c r="H1207" s="408">
        <f>ROUND(+E1207+F1207+G1207,4)</f>
        <v>0</v>
      </c>
      <c r="I1207" s="234"/>
      <c r="J1207" s="411"/>
      <c r="K1207" s="411"/>
      <c r="L1207" s="414">
        <v>0.1</v>
      </c>
      <c r="M1207" s="414">
        <f>ROUND(+L1207*C1207,4)</f>
        <v>0</v>
      </c>
      <c r="N1207" s="414"/>
      <c r="O1207" s="414"/>
      <c r="P1207" s="414"/>
      <c r="Q1207" s="419">
        <f>ROUND(+N1207+O1207+P1207,4)</f>
        <v>0</v>
      </c>
      <c r="R1207" s="419">
        <f>ROUND(IF(+Q1207-H1207&lt;=0,0,Q1207-H1207),4)</f>
        <v>0</v>
      </c>
      <c r="S1207" s="423">
        <v>0.5</v>
      </c>
      <c r="T1207" s="419">
        <f>ROUND(+(R1207*C1207)*S1207,4)</f>
        <v>0</v>
      </c>
      <c r="U1207" s="419">
        <f>ROUND(+J1207+M1207+T1207,4)</f>
        <v>0</v>
      </c>
      <c r="V1207" s="235"/>
    </row>
    <row r="1208" spans="1:22" ht="15.75" x14ac:dyDescent="0.25">
      <c r="A1208" s="231"/>
      <c r="B1208" s="232"/>
      <c r="C1208" s="400"/>
      <c r="D1208" s="233"/>
      <c r="E1208" s="405"/>
      <c r="F1208" s="405"/>
      <c r="G1208" s="405"/>
      <c r="H1208" s="408">
        <f>ROUND(+E1208+F1208+G1208,4)</f>
        <v>0</v>
      </c>
      <c r="I1208" s="234"/>
      <c r="J1208" s="411"/>
      <c r="K1208" s="411"/>
      <c r="L1208" s="414">
        <v>0.1</v>
      </c>
      <c r="M1208" s="414">
        <f>ROUND(+L1208*C1208,4)</f>
        <v>0</v>
      </c>
      <c r="N1208" s="414"/>
      <c r="O1208" s="414"/>
      <c r="P1208" s="414"/>
      <c r="Q1208" s="419">
        <f>ROUND(+N1208+O1208+P1208,4)</f>
        <v>0</v>
      </c>
      <c r="R1208" s="419">
        <f>ROUND(IF(+Q1208-H1208&lt;=0,0,Q1208-H1208),4)</f>
        <v>0</v>
      </c>
      <c r="S1208" s="423">
        <v>0.5</v>
      </c>
      <c r="T1208" s="419">
        <f>ROUND(+(R1208*C1208)*S1208,4)</f>
        <v>0</v>
      </c>
      <c r="U1208" s="419">
        <f>ROUND(+J1208+M1208+T1208,4)</f>
        <v>0</v>
      </c>
      <c r="V1208" s="235"/>
    </row>
    <row r="1209" spans="1:22" ht="15.75" x14ac:dyDescent="0.25">
      <c r="A1209" s="231"/>
      <c r="B1209" s="232"/>
      <c r="C1209" s="400"/>
      <c r="D1209" s="233"/>
      <c r="E1209" s="405"/>
      <c r="F1209" s="405"/>
      <c r="G1209" s="405"/>
      <c r="H1209" s="408">
        <f>ROUND(+E1209+F1209+G1209,4)</f>
        <v>0</v>
      </c>
      <c r="I1209" s="234"/>
      <c r="J1209" s="411"/>
      <c r="K1209" s="411"/>
      <c r="L1209" s="414">
        <v>0.1</v>
      </c>
      <c r="M1209" s="414">
        <f>ROUND(+L1209*C1209,4)</f>
        <v>0</v>
      </c>
      <c r="N1209" s="414"/>
      <c r="O1209" s="414"/>
      <c r="P1209" s="414"/>
      <c r="Q1209" s="419">
        <f>ROUND(+N1209+O1209+P1209,4)</f>
        <v>0</v>
      </c>
      <c r="R1209" s="419">
        <f>ROUND(IF(+Q1209-H1209&lt;=0,0,Q1209-H1209),4)</f>
        <v>0</v>
      </c>
      <c r="S1209" s="423">
        <v>0.5</v>
      </c>
      <c r="T1209" s="419">
        <f>ROUND(+(R1209*C1209)*S1209,4)</f>
        <v>0</v>
      </c>
      <c r="U1209" s="419">
        <f>ROUND(+J1209+M1209+T1209,4)</f>
        <v>0</v>
      </c>
      <c r="V1209" s="235"/>
    </row>
    <row r="1210" spans="1:22" ht="15.75" x14ac:dyDescent="0.25">
      <c r="A1210" s="231"/>
      <c r="B1210" s="232"/>
      <c r="C1210" s="400"/>
      <c r="D1210" s="233"/>
      <c r="E1210" s="405"/>
      <c r="F1210" s="405"/>
      <c r="G1210" s="405"/>
      <c r="H1210" s="408">
        <f>ROUND(+E1210+F1210+G1210,4)</f>
        <v>0</v>
      </c>
      <c r="I1210" s="234"/>
      <c r="J1210" s="411"/>
      <c r="K1210" s="411"/>
      <c r="L1210" s="414">
        <v>0.1</v>
      </c>
      <c r="M1210" s="414">
        <f>ROUND(+L1210*C1210,4)</f>
        <v>0</v>
      </c>
      <c r="N1210" s="414"/>
      <c r="O1210" s="414"/>
      <c r="P1210" s="414"/>
      <c r="Q1210" s="419">
        <f>ROUND(+N1210+O1210+P1210,4)</f>
        <v>0</v>
      </c>
      <c r="R1210" s="419">
        <f>ROUND(IF(+Q1210-H1210&lt;=0,0,Q1210-H1210),4)</f>
        <v>0</v>
      </c>
      <c r="S1210" s="423">
        <v>0.5</v>
      </c>
      <c r="T1210" s="419">
        <f>ROUND(+(R1210*C1210)*S1210,4)</f>
        <v>0</v>
      </c>
      <c r="U1210" s="419">
        <f>ROUND(+J1210+M1210+T1210,4)</f>
        <v>0</v>
      </c>
      <c r="V1210" s="235"/>
    </row>
    <row r="1211" spans="1:22" ht="15.75" x14ac:dyDescent="0.25">
      <c r="A1211" s="231"/>
      <c r="B1211" s="232"/>
      <c r="C1211" s="400"/>
      <c r="D1211" s="233"/>
      <c r="E1211" s="405"/>
      <c r="F1211" s="405"/>
      <c r="G1211" s="405"/>
      <c r="H1211" s="408">
        <f>ROUND(+E1211+F1211+G1211,4)</f>
        <v>0</v>
      </c>
      <c r="I1211" s="234"/>
      <c r="J1211" s="411"/>
      <c r="K1211" s="411"/>
      <c r="L1211" s="414">
        <v>0.1</v>
      </c>
      <c r="M1211" s="414">
        <f>ROUND(+L1211*C1211,4)</f>
        <v>0</v>
      </c>
      <c r="N1211" s="414"/>
      <c r="O1211" s="414"/>
      <c r="P1211" s="414"/>
      <c r="Q1211" s="419">
        <f>ROUND(+N1211+O1211+P1211,4)</f>
        <v>0</v>
      </c>
      <c r="R1211" s="419">
        <f>ROUND(IF(+Q1211-H1211&lt;=0,0,Q1211-H1211),4)</f>
        <v>0</v>
      </c>
      <c r="S1211" s="423">
        <v>0.5</v>
      </c>
      <c r="T1211" s="419">
        <f>ROUND(+(R1211*C1211)*S1211,4)</f>
        <v>0</v>
      </c>
      <c r="U1211" s="419">
        <f>ROUND(+J1211+M1211+T1211,4)</f>
        <v>0</v>
      </c>
      <c r="V1211" s="235"/>
    </row>
    <row r="1212" spans="1:22" ht="15.75" x14ac:dyDescent="0.25">
      <c r="A1212" s="231"/>
      <c r="B1212" s="232"/>
      <c r="C1212" s="400"/>
      <c r="D1212" s="233"/>
      <c r="E1212" s="405"/>
      <c r="F1212" s="405"/>
      <c r="G1212" s="405"/>
      <c r="H1212" s="408">
        <f>ROUND(+E1212+F1212+G1212,4)</f>
        <v>0</v>
      </c>
      <c r="I1212" s="234"/>
      <c r="J1212" s="411"/>
      <c r="K1212" s="411"/>
      <c r="L1212" s="414">
        <v>0.1</v>
      </c>
      <c r="M1212" s="414">
        <f>ROUND(+L1212*C1212,4)</f>
        <v>0</v>
      </c>
      <c r="N1212" s="414"/>
      <c r="O1212" s="414"/>
      <c r="P1212" s="414"/>
      <c r="Q1212" s="419">
        <f>ROUND(+N1212+O1212+P1212,4)</f>
        <v>0</v>
      </c>
      <c r="R1212" s="419">
        <f>ROUND(IF(+Q1212-H1212&lt;=0,0,Q1212-H1212),4)</f>
        <v>0</v>
      </c>
      <c r="S1212" s="423">
        <v>0.5</v>
      </c>
      <c r="T1212" s="419">
        <f>ROUND(+(R1212*C1212)*S1212,4)</f>
        <v>0</v>
      </c>
      <c r="U1212" s="419">
        <f>ROUND(+J1212+M1212+T1212,4)</f>
        <v>0</v>
      </c>
      <c r="V1212" s="235"/>
    </row>
    <row r="1213" spans="1:22" ht="15.75" x14ac:dyDescent="0.25">
      <c r="A1213" s="231"/>
      <c r="B1213" s="232"/>
      <c r="C1213" s="400"/>
      <c r="D1213" s="233"/>
      <c r="E1213" s="405"/>
      <c r="F1213" s="405"/>
      <c r="G1213" s="405"/>
      <c r="H1213" s="408">
        <f>ROUND(+E1213+F1213+G1213,4)</f>
        <v>0</v>
      </c>
      <c r="I1213" s="234"/>
      <c r="J1213" s="411"/>
      <c r="K1213" s="411"/>
      <c r="L1213" s="414">
        <v>0.1</v>
      </c>
      <c r="M1213" s="414">
        <f>ROUND(+L1213*C1213,4)</f>
        <v>0</v>
      </c>
      <c r="N1213" s="414"/>
      <c r="O1213" s="414"/>
      <c r="P1213" s="414"/>
      <c r="Q1213" s="419">
        <f>ROUND(+N1213+O1213+P1213,4)</f>
        <v>0</v>
      </c>
      <c r="R1213" s="419">
        <f>ROUND(IF(+Q1213-H1213&lt;=0,0,Q1213-H1213),4)</f>
        <v>0</v>
      </c>
      <c r="S1213" s="423">
        <v>0.5</v>
      </c>
      <c r="T1213" s="419">
        <f>ROUND(+(R1213*C1213)*S1213,4)</f>
        <v>0</v>
      </c>
      <c r="U1213" s="419">
        <f>ROUND(+J1213+M1213+T1213,4)</f>
        <v>0</v>
      </c>
      <c r="V1213" s="235"/>
    </row>
    <row r="1214" spans="1:22" ht="15.75" x14ac:dyDescent="0.25">
      <c r="A1214" s="231"/>
      <c r="B1214" s="232"/>
      <c r="C1214" s="400"/>
      <c r="D1214" s="233"/>
      <c r="E1214" s="405"/>
      <c r="F1214" s="405"/>
      <c r="G1214" s="405"/>
      <c r="H1214" s="408">
        <f>ROUND(+E1214+F1214+G1214,4)</f>
        <v>0</v>
      </c>
      <c r="I1214" s="234"/>
      <c r="J1214" s="411"/>
      <c r="K1214" s="411"/>
      <c r="L1214" s="414">
        <v>0.1</v>
      </c>
      <c r="M1214" s="414">
        <f>ROUND(+L1214*C1214,4)</f>
        <v>0</v>
      </c>
      <c r="N1214" s="414"/>
      <c r="O1214" s="414"/>
      <c r="P1214" s="414"/>
      <c r="Q1214" s="419">
        <f>ROUND(+N1214+O1214+P1214,4)</f>
        <v>0</v>
      </c>
      <c r="R1214" s="419">
        <f>ROUND(IF(+Q1214-H1214&lt;=0,0,Q1214-H1214),4)</f>
        <v>0</v>
      </c>
      <c r="S1214" s="423">
        <v>0.5</v>
      </c>
      <c r="T1214" s="419">
        <f>ROUND(+(R1214*C1214)*S1214,4)</f>
        <v>0</v>
      </c>
      <c r="U1214" s="419">
        <f>ROUND(+J1214+M1214+T1214,4)</f>
        <v>0</v>
      </c>
      <c r="V1214" s="235"/>
    </row>
    <row r="1215" spans="1:22" ht="15.75" x14ac:dyDescent="0.25">
      <c r="A1215" s="231"/>
      <c r="B1215" s="232"/>
      <c r="C1215" s="400"/>
      <c r="D1215" s="233"/>
      <c r="E1215" s="405"/>
      <c r="F1215" s="405"/>
      <c r="G1215" s="405"/>
      <c r="H1215" s="408">
        <f>ROUND(+E1215+F1215+G1215,4)</f>
        <v>0</v>
      </c>
      <c r="I1215" s="234"/>
      <c r="J1215" s="411"/>
      <c r="K1215" s="411"/>
      <c r="L1215" s="414">
        <v>0.1</v>
      </c>
      <c r="M1215" s="414">
        <f>ROUND(+L1215*C1215,4)</f>
        <v>0</v>
      </c>
      <c r="N1215" s="414"/>
      <c r="O1215" s="414"/>
      <c r="P1215" s="414"/>
      <c r="Q1215" s="419">
        <f>ROUND(+N1215+O1215+P1215,4)</f>
        <v>0</v>
      </c>
      <c r="R1215" s="419">
        <f>ROUND(IF(+Q1215-H1215&lt;=0,0,Q1215-H1215),4)</f>
        <v>0</v>
      </c>
      <c r="S1215" s="423">
        <v>0.5</v>
      </c>
      <c r="T1215" s="419">
        <f>ROUND(+(R1215*C1215)*S1215,4)</f>
        <v>0</v>
      </c>
      <c r="U1215" s="419">
        <f>ROUND(+J1215+M1215+T1215,4)</f>
        <v>0</v>
      </c>
      <c r="V1215" s="235"/>
    </row>
    <row r="1216" spans="1:22" ht="15.75" x14ac:dyDescent="0.25">
      <c r="A1216" s="231"/>
      <c r="B1216" s="232"/>
      <c r="C1216" s="400"/>
      <c r="D1216" s="233"/>
      <c r="E1216" s="405"/>
      <c r="F1216" s="405"/>
      <c r="G1216" s="405"/>
      <c r="H1216" s="408">
        <f>ROUND(+E1216+F1216+G1216,4)</f>
        <v>0</v>
      </c>
      <c r="I1216" s="234"/>
      <c r="J1216" s="411"/>
      <c r="K1216" s="411"/>
      <c r="L1216" s="414">
        <v>0.1</v>
      </c>
      <c r="M1216" s="414">
        <f>ROUND(+L1216*C1216,4)</f>
        <v>0</v>
      </c>
      <c r="N1216" s="414"/>
      <c r="O1216" s="414"/>
      <c r="P1216" s="414"/>
      <c r="Q1216" s="419">
        <f>ROUND(+N1216+O1216+P1216,4)</f>
        <v>0</v>
      </c>
      <c r="R1216" s="419">
        <f>ROUND(IF(+Q1216-H1216&lt;=0,0,Q1216-H1216),4)</f>
        <v>0</v>
      </c>
      <c r="S1216" s="423">
        <v>0.5</v>
      </c>
      <c r="T1216" s="419">
        <f>ROUND(+(R1216*C1216)*S1216,4)</f>
        <v>0</v>
      </c>
      <c r="U1216" s="419">
        <f>ROUND(+J1216+M1216+T1216,4)</f>
        <v>0</v>
      </c>
      <c r="V1216" s="235"/>
    </row>
    <row r="1217" spans="1:22" ht="15.75" x14ac:dyDescent="0.25">
      <c r="A1217" s="231"/>
      <c r="B1217" s="232"/>
      <c r="C1217" s="400"/>
      <c r="D1217" s="233"/>
      <c r="E1217" s="405"/>
      <c r="F1217" s="405"/>
      <c r="G1217" s="405"/>
      <c r="H1217" s="408">
        <f>ROUND(+E1217+F1217+G1217,4)</f>
        <v>0</v>
      </c>
      <c r="I1217" s="234"/>
      <c r="J1217" s="411"/>
      <c r="K1217" s="411"/>
      <c r="L1217" s="414">
        <v>0.1</v>
      </c>
      <c r="M1217" s="414">
        <f>ROUND(+L1217*C1217,4)</f>
        <v>0</v>
      </c>
      <c r="N1217" s="414"/>
      <c r="O1217" s="414"/>
      <c r="P1217" s="414"/>
      <c r="Q1217" s="419">
        <f>ROUND(+N1217+O1217+P1217,4)</f>
        <v>0</v>
      </c>
      <c r="R1217" s="419">
        <f>ROUND(IF(+Q1217-H1217&lt;=0,0,Q1217-H1217),4)</f>
        <v>0</v>
      </c>
      <c r="S1217" s="423">
        <v>0.5</v>
      </c>
      <c r="T1217" s="419">
        <f>ROUND(+(R1217*C1217)*S1217,4)</f>
        <v>0</v>
      </c>
      <c r="U1217" s="419">
        <f>ROUND(+J1217+M1217+T1217,4)</f>
        <v>0</v>
      </c>
      <c r="V1217" s="235"/>
    </row>
    <row r="1218" spans="1:22" ht="15.75" x14ac:dyDescent="0.25">
      <c r="A1218" s="231"/>
      <c r="B1218" s="232"/>
      <c r="C1218" s="400"/>
      <c r="D1218" s="233"/>
      <c r="E1218" s="405"/>
      <c r="F1218" s="405"/>
      <c r="G1218" s="405"/>
      <c r="H1218" s="408">
        <f>ROUND(+E1218+F1218+G1218,4)</f>
        <v>0</v>
      </c>
      <c r="I1218" s="234"/>
      <c r="J1218" s="411"/>
      <c r="K1218" s="411"/>
      <c r="L1218" s="414">
        <v>0.1</v>
      </c>
      <c r="M1218" s="414">
        <f>ROUND(+L1218*C1218,4)</f>
        <v>0</v>
      </c>
      <c r="N1218" s="414"/>
      <c r="O1218" s="414"/>
      <c r="P1218" s="414"/>
      <c r="Q1218" s="419">
        <f>ROUND(+N1218+O1218+P1218,4)</f>
        <v>0</v>
      </c>
      <c r="R1218" s="419">
        <f>ROUND(IF(+Q1218-H1218&lt;=0,0,Q1218-H1218),4)</f>
        <v>0</v>
      </c>
      <c r="S1218" s="423">
        <v>0.5</v>
      </c>
      <c r="T1218" s="419">
        <f>ROUND(+(R1218*C1218)*S1218,4)</f>
        <v>0</v>
      </c>
      <c r="U1218" s="419">
        <f>ROUND(+J1218+M1218+T1218,4)</f>
        <v>0</v>
      </c>
      <c r="V1218" s="235"/>
    </row>
    <row r="1219" spans="1:22" ht="15.75" x14ac:dyDescent="0.25">
      <c r="A1219" s="231"/>
      <c r="B1219" s="232"/>
      <c r="C1219" s="400"/>
      <c r="D1219" s="233"/>
      <c r="E1219" s="405"/>
      <c r="F1219" s="405"/>
      <c r="G1219" s="405"/>
      <c r="H1219" s="408">
        <f>ROUND(+E1219+F1219+G1219,4)</f>
        <v>0</v>
      </c>
      <c r="I1219" s="234"/>
      <c r="J1219" s="411"/>
      <c r="K1219" s="411"/>
      <c r="L1219" s="414">
        <v>0.1</v>
      </c>
      <c r="M1219" s="414">
        <f>ROUND(+L1219*C1219,4)</f>
        <v>0</v>
      </c>
      <c r="N1219" s="414"/>
      <c r="O1219" s="414"/>
      <c r="P1219" s="414"/>
      <c r="Q1219" s="419">
        <f>ROUND(+N1219+O1219+P1219,4)</f>
        <v>0</v>
      </c>
      <c r="R1219" s="419">
        <f>ROUND(IF(+Q1219-H1219&lt;=0,0,Q1219-H1219),4)</f>
        <v>0</v>
      </c>
      <c r="S1219" s="423">
        <v>0.5</v>
      </c>
      <c r="T1219" s="419">
        <f>ROUND(+(R1219*C1219)*S1219,4)</f>
        <v>0</v>
      </c>
      <c r="U1219" s="419">
        <f>ROUND(+J1219+M1219+T1219,4)</f>
        <v>0</v>
      </c>
      <c r="V1219" s="235"/>
    </row>
    <row r="1220" spans="1:22" ht="15.75" x14ac:dyDescent="0.25">
      <c r="A1220" s="231"/>
      <c r="B1220" s="232"/>
      <c r="C1220" s="400"/>
      <c r="D1220" s="233"/>
      <c r="E1220" s="405"/>
      <c r="F1220" s="405"/>
      <c r="G1220" s="405"/>
      <c r="H1220" s="408">
        <f>ROUND(+E1220+F1220+G1220,4)</f>
        <v>0</v>
      </c>
      <c r="I1220" s="234"/>
      <c r="J1220" s="411"/>
      <c r="K1220" s="411"/>
      <c r="L1220" s="414">
        <v>0.1</v>
      </c>
      <c r="M1220" s="414">
        <f>ROUND(+L1220*C1220,4)</f>
        <v>0</v>
      </c>
      <c r="N1220" s="414"/>
      <c r="O1220" s="414"/>
      <c r="P1220" s="414"/>
      <c r="Q1220" s="419">
        <f>ROUND(+N1220+O1220+P1220,4)</f>
        <v>0</v>
      </c>
      <c r="R1220" s="419">
        <f>ROUND(IF(+Q1220-H1220&lt;=0,0,Q1220-H1220),4)</f>
        <v>0</v>
      </c>
      <c r="S1220" s="423">
        <v>0.5</v>
      </c>
      <c r="T1220" s="419">
        <f>ROUND(+(R1220*C1220)*S1220,4)</f>
        <v>0</v>
      </c>
      <c r="U1220" s="419">
        <f>ROUND(+J1220+M1220+T1220,4)</f>
        <v>0</v>
      </c>
      <c r="V1220" s="235"/>
    </row>
    <row r="1221" spans="1:22" ht="15.75" x14ac:dyDescent="0.25">
      <c r="A1221" s="231"/>
      <c r="B1221" s="232"/>
      <c r="C1221" s="400"/>
      <c r="D1221" s="233"/>
      <c r="E1221" s="405"/>
      <c r="F1221" s="405"/>
      <c r="G1221" s="405"/>
      <c r="H1221" s="408">
        <f>ROUND(+E1221+F1221+G1221,4)</f>
        <v>0</v>
      </c>
      <c r="I1221" s="234"/>
      <c r="J1221" s="411"/>
      <c r="K1221" s="411"/>
      <c r="L1221" s="414">
        <v>0.1</v>
      </c>
      <c r="M1221" s="414">
        <f>ROUND(+L1221*C1221,4)</f>
        <v>0</v>
      </c>
      <c r="N1221" s="414"/>
      <c r="O1221" s="414"/>
      <c r="P1221" s="414"/>
      <c r="Q1221" s="419">
        <f>ROUND(+N1221+O1221+P1221,4)</f>
        <v>0</v>
      </c>
      <c r="R1221" s="419">
        <f>ROUND(IF(+Q1221-H1221&lt;=0,0,Q1221-H1221),4)</f>
        <v>0</v>
      </c>
      <c r="S1221" s="423">
        <v>0.5</v>
      </c>
      <c r="T1221" s="419">
        <f>ROUND(+(R1221*C1221)*S1221,4)</f>
        <v>0</v>
      </c>
      <c r="U1221" s="419">
        <f>ROUND(+J1221+M1221+T1221,4)</f>
        <v>0</v>
      </c>
      <c r="V1221" s="235"/>
    </row>
    <row r="1222" spans="1:22" ht="15.75" x14ac:dyDescent="0.25">
      <c r="A1222" s="231"/>
      <c r="B1222" s="232"/>
      <c r="C1222" s="400"/>
      <c r="D1222" s="233"/>
      <c r="E1222" s="405"/>
      <c r="F1222" s="405"/>
      <c r="G1222" s="405"/>
      <c r="H1222" s="408">
        <f>ROUND(+E1222+F1222+G1222,4)</f>
        <v>0</v>
      </c>
      <c r="I1222" s="234"/>
      <c r="J1222" s="411"/>
      <c r="K1222" s="411"/>
      <c r="L1222" s="414">
        <v>0.1</v>
      </c>
      <c r="M1222" s="414">
        <f>ROUND(+L1222*C1222,4)</f>
        <v>0</v>
      </c>
      <c r="N1222" s="414"/>
      <c r="O1222" s="414"/>
      <c r="P1222" s="414"/>
      <c r="Q1222" s="419">
        <f>ROUND(+N1222+O1222+P1222,4)</f>
        <v>0</v>
      </c>
      <c r="R1222" s="419">
        <f>ROUND(IF(+Q1222-H1222&lt;=0,0,Q1222-H1222),4)</f>
        <v>0</v>
      </c>
      <c r="S1222" s="423">
        <v>0.5</v>
      </c>
      <c r="T1222" s="419">
        <f>ROUND(+(R1222*C1222)*S1222,4)</f>
        <v>0</v>
      </c>
      <c r="U1222" s="419">
        <f>ROUND(+J1222+M1222+T1222,4)</f>
        <v>0</v>
      </c>
      <c r="V1222" s="235"/>
    </row>
    <row r="1223" spans="1:22" ht="15.75" x14ac:dyDescent="0.25">
      <c r="A1223" s="231"/>
      <c r="B1223" s="232"/>
      <c r="C1223" s="400"/>
      <c r="D1223" s="233"/>
      <c r="E1223" s="405"/>
      <c r="F1223" s="405"/>
      <c r="G1223" s="405"/>
      <c r="H1223" s="408">
        <f>ROUND(+E1223+F1223+G1223,4)</f>
        <v>0</v>
      </c>
      <c r="I1223" s="234"/>
      <c r="J1223" s="411"/>
      <c r="K1223" s="411"/>
      <c r="L1223" s="414">
        <v>0.1</v>
      </c>
      <c r="M1223" s="414">
        <f>ROUND(+L1223*C1223,4)</f>
        <v>0</v>
      </c>
      <c r="N1223" s="414"/>
      <c r="O1223" s="414"/>
      <c r="P1223" s="414"/>
      <c r="Q1223" s="419">
        <f>ROUND(+N1223+O1223+P1223,4)</f>
        <v>0</v>
      </c>
      <c r="R1223" s="419">
        <f>ROUND(IF(+Q1223-H1223&lt;=0,0,Q1223-H1223),4)</f>
        <v>0</v>
      </c>
      <c r="S1223" s="423">
        <v>0.5</v>
      </c>
      <c r="T1223" s="419">
        <f>ROUND(+(R1223*C1223)*S1223,4)</f>
        <v>0</v>
      </c>
      <c r="U1223" s="419">
        <f>ROUND(+J1223+M1223+T1223,4)</f>
        <v>0</v>
      </c>
      <c r="V1223" s="235"/>
    </row>
    <row r="1224" spans="1:22" ht="15.75" x14ac:dyDescent="0.25">
      <c r="A1224" s="231"/>
      <c r="B1224" s="232"/>
      <c r="C1224" s="400"/>
      <c r="D1224" s="233"/>
      <c r="E1224" s="405"/>
      <c r="F1224" s="405"/>
      <c r="G1224" s="405"/>
      <c r="H1224" s="408">
        <f>ROUND(+E1224+F1224+G1224,4)</f>
        <v>0</v>
      </c>
      <c r="I1224" s="234"/>
      <c r="J1224" s="411"/>
      <c r="K1224" s="411"/>
      <c r="L1224" s="414">
        <v>0.1</v>
      </c>
      <c r="M1224" s="414">
        <f>ROUND(+L1224*C1224,4)</f>
        <v>0</v>
      </c>
      <c r="N1224" s="414"/>
      <c r="O1224" s="414"/>
      <c r="P1224" s="414"/>
      <c r="Q1224" s="419">
        <f>ROUND(+N1224+O1224+P1224,4)</f>
        <v>0</v>
      </c>
      <c r="R1224" s="419">
        <f>ROUND(IF(+Q1224-H1224&lt;=0,0,Q1224-H1224),4)</f>
        <v>0</v>
      </c>
      <c r="S1224" s="423">
        <v>0.5</v>
      </c>
      <c r="T1224" s="419">
        <f>ROUND(+(R1224*C1224)*S1224,4)</f>
        <v>0</v>
      </c>
      <c r="U1224" s="419">
        <f>ROUND(+J1224+M1224+T1224,4)</f>
        <v>0</v>
      </c>
      <c r="V1224" s="235"/>
    </row>
    <row r="1225" spans="1:22" ht="15.75" x14ac:dyDescent="0.25">
      <c r="A1225" s="231"/>
      <c r="B1225" s="232"/>
      <c r="C1225" s="400"/>
      <c r="D1225" s="233"/>
      <c r="E1225" s="405"/>
      <c r="F1225" s="405"/>
      <c r="G1225" s="405"/>
      <c r="H1225" s="408">
        <f>ROUND(+E1225+F1225+G1225,4)</f>
        <v>0</v>
      </c>
      <c r="I1225" s="234"/>
      <c r="J1225" s="411"/>
      <c r="K1225" s="411"/>
      <c r="L1225" s="414">
        <v>0.1</v>
      </c>
      <c r="M1225" s="414">
        <f>ROUND(+L1225*C1225,4)</f>
        <v>0</v>
      </c>
      <c r="N1225" s="414"/>
      <c r="O1225" s="414"/>
      <c r="P1225" s="414"/>
      <c r="Q1225" s="419">
        <f>ROUND(+N1225+O1225+P1225,4)</f>
        <v>0</v>
      </c>
      <c r="R1225" s="419">
        <f>ROUND(IF(+Q1225-H1225&lt;=0,0,Q1225-H1225),4)</f>
        <v>0</v>
      </c>
      <c r="S1225" s="423">
        <v>0.5</v>
      </c>
      <c r="T1225" s="419">
        <f>ROUND(+(R1225*C1225)*S1225,4)</f>
        <v>0</v>
      </c>
      <c r="U1225" s="419">
        <f>ROUND(+J1225+M1225+T1225,4)</f>
        <v>0</v>
      </c>
      <c r="V1225" s="235"/>
    </row>
    <row r="1226" spans="1:22" ht="15.75" x14ac:dyDescent="0.25">
      <c r="A1226" s="231"/>
      <c r="B1226" s="232"/>
      <c r="C1226" s="400"/>
      <c r="D1226" s="233"/>
      <c r="E1226" s="405"/>
      <c r="F1226" s="405"/>
      <c r="G1226" s="405"/>
      <c r="H1226" s="408">
        <f>ROUND(+E1226+F1226+G1226,4)</f>
        <v>0</v>
      </c>
      <c r="I1226" s="234"/>
      <c r="J1226" s="411"/>
      <c r="K1226" s="411"/>
      <c r="L1226" s="414">
        <v>0.1</v>
      </c>
      <c r="M1226" s="414">
        <f>ROUND(+L1226*C1226,4)</f>
        <v>0</v>
      </c>
      <c r="N1226" s="414"/>
      <c r="O1226" s="414"/>
      <c r="P1226" s="414"/>
      <c r="Q1226" s="419">
        <f>ROUND(+N1226+O1226+P1226,4)</f>
        <v>0</v>
      </c>
      <c r="R1226" s="419">
        <f>ROUND(IF(+Q1226-H1226&lt;=0,0,Q1226-H1226),4)</f>
        <v>0</v>
      </c>
      <c r="S1226" s="423">
        <v>0.5</v>
      </c>
      <c r="T1226" s="419">
        <f>ROUND(+(R1226*C1226)*S1226,4)</f>
        <v>0</v>
      </c>
      <c r="U1226" s="419">
        <f>ROUND(+J1226+M1226+T1226,4)</f>
        <v>0</v>
      </c>
      <c r="V1226" s="235"/>
    </row>
    <row r="1227" spans="1:22" ht="15.75" x14ac:dyDescent="0.25">
      <c r="A1227" s="231"/>
      <c r="B1227" s="232"/>
      <c r="C1227" s="400"/>
      <c r="D1227" s="233"/>
      <c r="E1227" s="405"/>
      <c r="F1227" s="405"/>
      <c r="G1227" s="405"/>
      <c r="H1227" s="408">
        <f>ROUND(+E1227+F1227+G1227,4)</f>
        <v>0</v>
      </c>
      <c r="I1227" s="234"/>
      <c r="J1227" s="411"/>
      <c r="K1227" s="411"/>
      <c r="L1227" s="414">
        <v>0.1</v>
      </c>
      <c r="M1227" s="414">
        <f>ROUND(+L1227*C1227,4)</f>
        <v>0</v>
      </c>
      <c r="N1227" s="414"/>
      <c r="O1227" s="414"/>
      <c r="P1227" s="414"/>
      <c r="Q1227" s="419">
        <f>ROUND(+N1227+O1227+P1227,4)</f>
        <v>0</v>
      </c>
      <c r="R1227" s="419">
        <f>ROUND(IF(+Q1227-H1227&lt;=0,0,Q1227-H1227),4)</f>
        <v>0</v>
      </c>
      <c r="S1227" s="423">
        <v>0.5</v>
      </c>
      <c r="T1227" s="419">
        <f>ROUND(+(R1227*C1227)*S1227,4)</f>
        <v>0</v>
      </c>
      <c r="U1227" s="419">
        <f>ROUND(+J1227+M1227+T1227,4)</f>
        <v>0</v>
      </c>
      <c r="V1227" s="235"/>
    </row>
    <row r="1228" spans="1:22" ht="15.75" x14ac:dyDescent="0.25">
      <c r="A1228" s="231"/>
      <c r="B1228" s="232"/>
      <c r="C1228" s="400"/>
      <c r="D1228" s="233"/>
      <c r="E1228" s="405"/>
      <c r="F1228" s="405"/>
      <c r="G1228" s="405"/>
      <c r="H1228" s="408">
        <f>ROUND(+E1228+F1228+G1228,4)</f>
        <v>0</v>
      </c>
      <c r="I1228" s="234"/>
      <c r="J1228" s="411"/>
      <c r="K1228" s="411"/>
      <c r="L1228" s="414">
        <v>0.1</v>
      </c>
      <c r="M1228" s="414">
        <f>ROUND(+L1228*C1228,4)</f>
        <v>0</v>
      </c>
      <c r="N1228" s="414"/>
      <c r="O1228" s="414"/>
      <c r="P1228" s="414"/>
      <c r="Q1228" s="419">
        <f>ROUND(+N1228+O1228+P1228,4)</f>
        <v>0</v>
      </c>
      <c r="R1228" s="419">
        <f>ROUND(IF(+Q1228-H1228&lt;=0,0,Q1228-H1228),4)</f>
        <v>0</v>
      </c>
      <c r="S1228" s="423">
        <v>0.5</v>
      </c>
      <c r="T1228" s="419">
        <f>ROUND(+(R1228*C1228)*S1228,4)</f>
        <v>0</v>
      </c>
      <c r="U1228" s="419">
        <f>ROUND(+J1228+M1228+T1228,4)</f>
        <v>0</v>
      </c>
      <c r="V1228" s="235"/>
    </row>
    <row r="1229" spans="1:22" ht="15.75" x14ac:dyDescent="0.25">
      <c r="A1229" s="231"/>
      <c r="B1229" s="232"/>
      <c r="C1229" s="400"/>
      <c r="D1229" s="233"/>
      <c r="E1229" s="405"/>
      <c r="F1229" s="405"/>
      <c r="G1229" s="405"/>
      <c r="H1229" s="408">
        <f>ROUND(+E1229+F1229+G1229,4)</f>
        <v>0</v>
      </c>
      <c r="I1229" s="234"/>
      <c r="J1229" s="411"/>
      <c r="K1229" s="411"/>
      <c r="L1229" s="414">
        <v>0.1</v>
      </c>
      <c r="M1229" s="414">
        <f>ROUND(+L1229*C1229,4)</f>
        <v>0</v>
      </c>
      <c r="N1229" s="414"/>
      <c r="O1229" s="414"/>
      <c r="P1229" s="414"/>
      <c r="Q1229" s="419">
        <f>ROUND(+N1229+O1229+P1229,4)</f>
        <v>0</v>
      </c>
      <c r="R1229" s="419">
        <f>ROUND(IF(+Q1229-H1229&lt;=0,0,Q1229-H1229),4)</f>
        <v>0</v>
      </c>
      <c r="S1229" s="423">
        <v>0.5</v>
      </c>
      <c r="T1229" s="419">
        <f>ROUND(+(R1229*C1229)*S1229,4)</f>
        <v>0</v>
      </c>
      <c r="U1229" s="419">
        <f>ROUND(+J1229+M1229+T1229,4)</f>
        <v>0</v>
      </c>
      <c r="V1229" s="235"/>
    </row>
    <row r="1230" spans="1:22" ht="15.75" x14ac:dyDescent="0.25">
      <c r="A1230" s="231"/>
      <c r="B1230" s="232"/>
      <c r="C1230" s="400"/>
      <c r="D1230" s="233"/>
      <c r="E1230" s="405"/>
      <c r="F1230" s="405"/>
      <c r="G1230" s="405"/>
      <c r="H1230" s="408">
        <f>ROUND(+E1230+F1230+G1230,4)</f>
        <v>0</v>
      </c>
      <c r="I1230" s="234"/>
      <c r="J1230" s="411"/>
      <c r="K1230" s="411"/>
      <c r="L1230" s="414">
        <v>0.1</v>
      </c>
      <c r="M1230" s="414">
        <f>ROUND(+L1230*C1230,4)</f>
        <v>0</v>
      </c>
      <c r="N1230" s="414"/>
      <c r="O1230" s="414"/>
      <c r="P1230" s="414"/>
      <c r="Q1230" s="419">
        <f>ROUND(+N1230+O1230+P1230,4)</f>
        <v>0</v>
      </c>
      <c r="R1230" s="419">
        <f>ROUND(IF(+Q1230-H1230&lt;=0,0,Q1230-H1230),4)</f>
        <v>0</v>
      </c>
      <c r="S1230" s="423">
        <v>0.5</v>
      </c>
      <c r="T1230" s="419">
        <f>ROUND(+(R1230*C1230)*S1230,4)</f>
        <v>0</v>
      </c>
      <c r="U1230" s="419">
        <f>ROUND(+J1230+M1230+T1230,4)</f>
        <v>0</v>
      </c>
      <c r="V1230" s="235"/>
    </row>
    <row r="1231" spans="1:22" ht="15.75" x14ac:dyDescent="0.25">
      <c r="A1231" s="231"/>
      <c r="B1231" s="232"/>
      <c r="C1231" s="400"/>
      <c r="D1231" s="233"/>
      <c r="E1231" s="405"/>
      <c r="F1231" s="405"/>
      <c r="G1231" s="405"/>
      <c r="H1231" s="408">
        <f>ROUND(+E1231+F1231+G1231,4)</f>
        <v>0</v>
      </c>
      <c r="I1231" s="234"/>
      <c r="J1231" s="411"/>
      <c r="K1231" s="411"/>
      <c r="L1231" s="414">
        <v>0.1</v>
      </c>
      <c r="M1231" s="414">
        <f>ROUND(+L1231*C1231,4)</f>
        <v>0</v>
      </c>
      <c r="N1231" s="414"/>
      <c r="O1231" s="414"/>
      <c r="P1231" s="414"/>
      <c r="Q1231" s="419">
        <f>ROUND(+N1231+O1231+P1231,4)</f>
        <v>0</v>
      </c>
      <c r="R1231" s="419">
        <f>ROUND(IF(+Q1231-H1231&lt;=0,0,Q1231-H1231),4)</f>
        <v>0</v>
      </c>
      <c r="S1231" s="423">
        <v>0.5</v>
      </c>
      <c r="T1231" s="419">
        <f>ROUND(+(R1231*C1231)*S1231,4)</f>
        <v>0</v>
      </c>
      <c r="U1231" s="419">
        <f>ROUND(+J1231+M1231+T1231,4)</f>
        <v>0</v>
      </c>
      <c r="V1231" s="235"/>
    </row>
    <row r="1232" spans="1:22" ht="15.75" x14ac:dyDescent="0.25">
      <c r="A1232" s="231"/>
      <c r="B1232" s="232"/>
      <c r="C1232" s="400"/>
      <c r="D1232" s="233"/>
      <c r="E1232" s="405"/>
      <c r="F1232" s="405"/>
      <c r="G1232" s="405"/>
      <c r="H1232" s="408">
        <f>ROUND(+E1232+F1232+G1232,4)</f>
        <v>0</v>
      </c>
      <c r="I1232" s="234"/>
      <c r="J1232" s="411"/>
      <c r="K1232" s="411"/>
      <c r="L1232" s="414">
        <v>0.1</v>
      </c>
      <c r="M1232" s="414">
        <f>ROUND(+L1232*C1232,4)</f>
        <v>0</v>
      </c>
      <c r="N1232" s="414"/>
      <c r="O1232" s="414"/>
      <c r="P1232" s="414"/>
      <c r="Q1232" s="419">
        <f>ROUND(+N1232+O1232+P1232,4)</f>
        <v>0</v>
      </c>
      <c r="R1232" s="419">
        <f>ROUND(IF(+Q1232-H1232&lt;=0,0,Q1232-H1232),4)</f>
        <v>0</v>
      </c>
      <c r="S1232" s="423">
        <v>0.5</v>
      </c>
      <c r="T1232" s="419">
        <f>ROUND(+(R1232*C1232)*S1232,4)</f>
        <v>0</v>
      </c>
      <c r="U1232" s="419">
        <f>ROUND(+J1232+M1232+T1232,4)</f>
        <v>0</v>
      </c>
      <c r="V1232" s="235"/>
    </row>
    <row r="1233" spans="1:22" ht="15.75" x14ac:dyDescent="0.25">
      <c r="A1233" s="231"/>
      <c r="B1233" s="232"/>
      <c r="C1233" s="400"/>
      <c r="D1233" s="233"/>
      <c r="E1233" s="405"/>
      <c r="F1233" s="405"/>
      <c r="G1233" s="405"/>
      <c r="H1233" s="408">
        <f>ROUND(+E1233+F1233+G1233,4)</f>
        <v>0</v>
      </c>
      <c r="I1233" s="234"/>
      <c r="J1233" s="411"/>
      <c r="K1233" s="411"/>
      <c r="L1233" s="414">
        <v>0.1</v>
      </c>
      <c r="M1233" s="414">
        <f>ROUND(+L1233*C1233,4)</f>
        <v>0</v>
      </c>
      <c r="N1233" s="414"/>
      <c r="O1233" s="414"/>
      <c r="P1233" s="414"/>
      <c r="Q1233" s="419">
        <f>ROUND(+N1233+O1233+P1233,4)</f>
        <v>0</v>
      </c>
      <c r="R1233" s="419">
        <f>ROUND(IF(+Q1233-H1233&lt;=0,0,Q1233-H1233),4)</f>
        <v>0</v>
      </c>
      <c r="S1233" s="423">
        <v>0.5</v>
      </c>
      <c r="T1233" s="419">
        <f>ROUND(+(R1233*C1233)*S1233,4)</f>
        <v>0</v>
      </c>
      <c r="U1233" s="419">
        <f>ROUND(+J1233+M1233+T1233,4)</f>
        <v>0</v>
      </c>
      <c r="V1233" s="235"/>
    </row>
    <row r="1234" spans="1:22" ht="15.75" x14ac:dyDescent="0.25">
      <c r="A1234" s="231"/>
      <c r="B1234" s="232"/>
      <c r="C1234" s="400"/>
      <c r="D1234" s="233"/>
      <c r="E1234" s="405"/>
      <c r="F1234" s="405"/>
      <c r="G1234" s="405"/>
      <c r="H1234" s="408">
        <f>ROUND(+E1234+F1234+G1234,4)</f>
        <v>0</v>
      </c>
      <c r="I1234" s="234"/>
      <c r="J1234" s="411"/>
      <c r="K1234" s="411"/>
      <c r="L1234" s="414">
        <v>0.1</v>
      </c>
      <c r="M1234" s="414">
        <f>ROUND(+L1234*C1234,4)</f>
        <v>0</v>
      </c>
      <c r="N1234" s="414"/>
      <c r="O1234" s="414"/>
      <c r="P1234" s="414"/>
      <c r="Q1234" s="419">
        <f>ROUND(+N1234+O1234+P1234,4)</f>
        <v>0</v>
      </c>
      <c r="R1234" s="419">
        <f>ROUND(IF(+Q1234-H1234&lt;=0,0,Q1234-H1234),4)</f>
        <v>0</v>
      </c>
      <c r="S1234" s="423">
        <v>0.5</v>
      </c>
      <c r="T1234" s="419">
        <f>ROUND(+(R1234*C1234)*S1234,4)</f>
        <v>0</v>
      </c>
      <c r="U1234" s="419">
        <f>ROUND(+J1234+M1234+T1234,4)</f>
        <v>0</v>
      </c>
      <c r="V1234" s="235"/>
    </row>
    <row r="1235" spans="1:22" ht="15.75" x14ac:dyDescent="0.25">
      <c r="A1235" s="231"/>
      <c r="B1235" s="232"/>
      <c r="C1235" s="400"/>
      <c r="D1235" s="233"/>
      <c r="E1235" s="405"/>
      <c r="F1235" s="405"/>
      <c r="G1235" s="405"/>
      <c r="H1235" s="408">
        <f>ROUND(+E1235+F1235+G1235,4)</f>
        <v>0</v>
      </c>
      <c r="I1235" s="234"/>
      <c r="J1235" s="411"/>
      <c r="K1235" s="411"/>
      <c r="L1235" s="414">
        <v>0.1</v>
      </c>
      <c r="M1235" s="414">
        <f>ROUND(+L1235*C1235,4)</f>
        <v>0</v>
      </c>
      <c r="N1235" s="414"/>
      <c r="O1235" s="414"/>
      <c r="P1235" s="414"/>
      <c r="Q1235" s="419">
        <f>ROUND(+N1235+O1235+P1235,4)</f>
        <v>0</v>
      </c>
      <c r="R1235" s="419">
        <f>ROUND(IF(+Q1235-H1235&lt;=0,0,Q1235-H1235),4)</f>
        <v>0</v>
      </c>
      <c r="S1235" s="423">
        <v>0.5</v>
      </c>
      <c r="T1235" s="419">
        <f>ROUND(+(R1235*C1235)*S1235,4)</f>
        <v>0</v>
      </c>
      <c r="U1235" s="419">
        <f>ROUND(+J1235+M1235+T1235,4)</f>
        <v>0</v>
      </c>
      <c r="V1235" s="235"/>
    </row>
    <row r="1236" spans="1:22" ht="15.75" x14ac:dyDescent="0.25">
      <c r="A1236" s="231"/>
      <c r="B1236" s="232"/>
      <c r="C1236" s="400"/>
      <c r="D1236" s="233"/>
      <c r="E1236" s="405"/>
      <c r="F1236" s="405"/>
      <c r="G1236" s="405"/>
      <c r="H1236" s="408">
        <f>ROUND(+E1236+F1236+G1236,4)</f>
        <v>0</v>
      </c>
      <c r="I1236" s="234"/>
      <c r="J1236" s="411"/>
      <c r="K1236" s="411"/>
      <c r="L1236" s="414">
        <v>0.1</v>
      </c>
      <c r="M1236" s="414">
        <f>ROUND(+L1236*C1236,4)</f>
        <v>0</v>
      </c>
      <c r="N1236" s="414"/>
      <c r="O1236" s="414"/>
      <c r="P1236" s="414"/>
      <c r="Q1236" s="419">
        <f>ROUND(+N1236+O1236+P1236,4)</f>
        <v>0</v>
      </c>
      <c r="R1236" s="419">
        <f>ROUND(IF(+Q1236-H1236&lt;=0,0,Q1236-H1236),4)</f>
        <v>0</v>
      </c>
      <c r="S1236" s="423">
        <v>0.5</v>
      </c>
      <c r="T1236" s="419">
        <f>ROUND(+(R1236*C1236)*S1236,4)</f>
        <v>0</v>
      </c>
      <c r="U1236" s="419">
        <f>ROUND(+J1236+M1236+T1236,4)</f>
        <v>0</v>
      </c>
      <c r="V1236" s="235"/>
    </row>
    <row r="1237" spans="1:22" ht="15.75" x14ac:dyDescent="0.25">
      <c r="A1237" s="231"/>
      <c r="B1237" s="232"/>
      <c r="C1237" s="400"/>
      <c r="D1237" s="233"/>
      <c r="E1237" s="405"/>
      <c r="F1237" s="405"/>
      <c r="G1237" s="405"/>
      <c r="H1237" s="408">
        <f>ROUND(+E1237+F1237+G1237,4)</f>
        <v>0</v>
      </c>
      <c r="I1237" s="234"/>
      <c r="J1237" s="411"/>
      <c r="K1237" s="411"/>
      <c r="L1237" s="414">
        <v>0.1</v>
      </c>
      <c r="M1237" s="414">
        <f>ROUND(+L1237*C1237,4)</f>
        <v>0</v>
      </c>
      <c r="N1237" s="414"/>
      <c r="O1237" s="414"/>
      <c r="P1237" s="414"/>
      <c r="Q1237" s="419">
        <f>ROUND(+N1237+O1237+P1237,4)</f>
        <v>0</v>
      </c>
      <c r="R1237" s="419">
        <f>ROUND(IF(+Q1237-H1237&lt;=0,0,Q1237-H1237),4)</f>
        <v>0</v>
      </c>
      <c r="S1237" s="423">
        <v>0.5</v>
      </c>
      <c r="T1237" s="419">
        <f>ROUND(+(R1237*C1237)*S1237,4)</f>
        <v>0</v>
      </c>
      <c r="U1237" s="419">
        <f>ROUND(+J1237+M1237+T1237,4)</f>
        <v>0</v>
      </c>
      <c r="V1237" s="235"/>
    </row>
    <row r="1238" spans="1:22" ht="15.75" x14ac:dyDescent="0.25">
      <c r="A1238" s="231"/>
      <c r="B1238" s="232"/>
      <c r="C1238" s="400"/>
      <c r="D1238" s="233"/>
      <c r="E1238" s="405"/>
      <c r="F1238" s="405"/>
      <c r="G1238" s="405"/>
      <c r="H1238" s="408">
        <f>ROUND(+E1238+F1238+G1238,4)</f>
        <v>0</v>
      </c>
      <c r="I1238" s="234"/>
      <c r="J1238" s="411"/>
      <c r="K1238" s="411"/>
      <c r="L1238" s="414">
        <v>0.1</v>
      </c>
      <c r="M1238" s="414">
        <f>ROUND(+L1238*C1238,4)</f>
        <v>0</v>
      </c>
      <c r="N1238" s="414"/>
      <c r="O1238" s="414"/>
      <c r="P1238" s="414"/>
      <c r="Q1238" s="419">
        <f>ROUND(+N1238+O1238+P1238,4)</f>
        <v>0</v>
      </c>
      <c r="R1238" s="419">
        <f>ROUND(IF(+Q1238-H1238&lt;=0,0,Q1238-H1238),4)</f>
        <v>0</v>
      </c>
      <c r="S1238" s="423">
        <v>0.5</v>
      </c>
      <c r="T1238" s="419">
        <f>ROUND(+(R1238*C1238)*S1238,4)</f>
        <v>0</v>
      </c>
      <c r="U1238" s="419">
        <f>ROUND(+J1238+M1238+T1238,4)</f>
        <v>0</v>
      </c>
      <c r="V1238" s="235"/>
    </row>
    <row r="1239" spans="1:22" ht="15.75" x14ac:dyDescent="0.25">
      <c r="A1239" s="231"/>
      <c r="B1239" s="232"/>
      <c r="C1239" s="400"/>
      <c r="D1239" s="233"/>
      <c r="E1239" s="405"/>
      <c r="F1239" s="405"/>
      <c r="G1239" s="405"/>
      <c r="H1239" s="408">
        <f>ROUND(+E1239+F1239+G1239,4)</f>
        <v>0</v>
      </c>
      <c r="I1239" s="234"/>
      <c r="J1239" s="411"/>
      <c r="K1239" s="411"/>
      <c r="L1239" s="414">
        <v>0.1</v>
      </c>
      <c r="M1239" s="414">
        <f>ROUND(+L1239*C1239,4)</f>
        <v>0</v>
      </c>
      <c r="N1239" s="414"/>
      <c r="O1239" s="414"/>
      <c r="P1239" s="414"/>
      <c r="Q1239" s="419">
        <f>ROUND(+N1239+O1239+P1239,4)</f>
        <v>0</v>
      </c>
      <c r="R1239" s="419">
        <f>ROUND(IF(+Q1239-H1239&lt;=0,0,Q1239-H1239),4)</f>
        <v>0</v>
      </c>
      <c r="S1239" s="423">
        <v>0.5</v>
      </c>
      <c r="T1239" s="419">
        <f>ROUND(+(R1239*C1239)*S1239,4)</f>
        <v>0</v>
      </c>
      <c r="U1239" s="419">
        <f>ROUND(+J1239+M1239+T1239,4)</f>
        <v>0</v>
      </c>
      <c r="V1239" s="235"/>
    </row>
    <row r="1240" spans="1:22" ht="15.75" x14ac:dyDescent="0.25">
      <c r="A1240" s="231"/>
      <c r="B1240" s="232"/>
      <c r="C1240" s="400"/>
      <c r="D1240" s="233"/>
      <c r="E1240" s="405"/>
      <c r="F1240" s="405"/>
      <c r="G1240" s="405"/>
      <c r="H1240" s="408">
        <f>ROUND(+E1240+F1240+G1240,4)</f>
        <v>0</v>
      </c>
      <c r="I1240" s="234"/>
      <c r="J1240" s="411"/>
      <c r="K1240" s="411"/>
      <c r="L1240" s="414">
        <v>0.1</v>
      </c>
      <c r="M1240" s="414">
        <f>ROUND(+L1240*C1240,4)</f>
        <v>0</v>
      </c>
      <c r="N1240" s="414"/>
      <c r="O1240" s="414"/>
      <c r="P1240" s="414"/>
      <c r="Q1240" s="419">
        <f>ROUND(+N1240+O1240+P1240,4)</f>
        <v>0</v>
      </c>
      <c r="R1240" s="419">
        <f>ROUND(IF(+Q1240-H1240&lt;=0,0,Q1240-H1240),4)</f>
        <v>0</v>
      </c>
      <c r="S1240" s="423">
        <v>0.5</v>
      </c>
      <c r="T1240" s="419">
        <f>ROUND(+(R1240*C1240)*S1240,4)</f>
        <v>0</v>
      </c>
      <c r="U1240" s="419">
        <f>ROUND(+J1240+M1240+T1240,4)</f>
        <v>0</v>
      </c>
      <c r="V1240" s="235"/>
    </row>
    <row r="1241" spans="1:22" ht="15.75" x14ac:dyDescent="0.25">
      <c r="A1241" s="231"/>
      <c r="B1241" s="232"/>
      <c r="C1241" s="400"/>
      <c r="D1241" s="233"/>
      <c r="E1241" s="405"/>
      <c r="F1241" s="405"/>
      <c r="G1241" s="405"/>
      <c r="H1241" s="408">
        <f>ROUND(+E1241+F1241+G1241,4)</f>
        <v>0</v>
      </c>
      <c r="I1241" s="234"/>
      <c r="J1241" s="411"/>
      <c r="K1241" s="411"/>
      <c r="L1241" s="414">
        <v>0.1</v>
      </c>
      <c r="M1241" s="414">
        <f>ROUND(+L1241*C1241,4)</f>
        <v>0</v>
      </c>
      <c r="N1241" s="414"/>
      <c r="O1241" s="414"/>
      <c r="P1241" s="414"/>
      <c r="Q1241" s="419">
        <f>ROUND(+N1241+O1241+P1241,4)</f>
        <v>0</v>
      </c>
      <c r="R1241" s="419">
        <f>ROUND(IF(+Q1241-H1241&lt;=0,0,Q1241-H1241),4)</f>
        <v>0</v>
      </c>
      <c r="S1241" s="423">
        <v>0.5</v>
      </c>
      <c r="T1241" s="419">
        <f>ROUND(+(R1241*C1241)*S1241,4)</f>
        <v>0</v>
      </c>
      <c r="U1241" s="419">
        <f>ROUND(+J1241+M1241+T1241,4)</f>
        <v>0</v>
      </c>
      <c r="V1241" s="235"/>
    </row>
    <row r="1242" spans="1:22" ht="15.75" x14ac:dyDescent="0.25">
      <c r="A1242" s="231"/>
      <c r="B1242" s="232"/>
      <c r="C1242" s="400"/>
      <c r="D1242" s="233"/>
      <c r="E1242" s="405"/>
      <c r="F1242" s="405"/>
      <c r="G1242" s="405"/>
      <c r="H1242" s="408">
        <f>ROUND(+E1242+F1242+G1242,4)</f>
        <v>0</v>
      </c>
      <c r="I1242" s="234"/>
      <c r="J1242" s="411"/>
      <c r="K1242" s="411"/>
      <c r="L1242" s="414">
        <v>0.1</v>
      </c>
      <c r="M1242" s="414">
        <f>ROUND(+L1242*C1242,4)</f>
        <v>0</v>
      </c>
      <c r="N1242" s="414"/>
      <c r="O1242" s="414"/>
      <c r="P1242" s="414"/>
      <c r="Q1242" s="419">
        <f>ROUND(+N1242+O1242+P1242,4)</f>
        <v>0</v>
      </c>
      <c r="R1242" s="419">
        <f>ROUND(IF(+Q1242-H1242&lt;=0,0,Q1242-H1242),4)</f>
        <v>0</v>
      </c>
      <c r="S1242" s="423">
        <v>0.5</v>
      </c>
      <c r="T1242" s="419">
        <f>ROUND(+(R1242*C1242)*S1242,4)</f>
        <v>0</v>
      </c>
      <c r="U1242" s="419">
        <f>ROUND(+J1242+M1242+T1242,4)</f>
        <v>0</v>
      </c>
      <c r="V1242" s="235"/>
    </row>
    <row r="1243" spans="1:22" ht="15.75" x14ac:dyDescent="0.25">
      <c r="A1243" s="231"/>
      <c r="B1243" s="232"/>
      <c r="C1243" s="400"/>
      <c r="D1243" s="233"/>
      <c r="E1243" s="405"/>
      <c r="F1243" s="405"/>
      <c r="G1243" s="405"/>
      <c r="H1243" s="408">
        <f>ROUND(+E1243+F1243+G1243,4)</f>
        <v>0</v>
      </c>
      <c r="I1243" s="234"/>
      <c r="J1243" s="411"/>
      <c r="K1243" s="411"/>
      <c r="L1243" s="414">
        <v>0.1</v>
      </c>
      <c r="M1243" s="414">
        <f>ROUND(+L1243*C1243,4)</f>
        <v>0</v>
      </c>
      <c r="N1243" s="414"/>
      <c r="O1243" s="414"/>
      <c r="P1243" s="414"/>
      <c r="Q1243" s="419">
        <f>ROUND(+N1243+O1243+P1243,4)</f>
        <v>0</v>
      </c>
      <c r="R1243" s="419">
        <f>ROUND(IF(+Q1243-H1243&lt;=0,0,Q1243-H1243),4)</f>
        <v>0</v>
      </c>
      <c r="S1243" s="423">
        <v>0.5</v>
      </c>
      <c r="T1243" s="419">
        <f>ROUND(+(R1243*C1243)*S1243,4)</f>
        <v>0</v>
      </c>
      <c r="U1243" s="419">
        <f>ROUND(+J1243+M1243+T1243,4)</f>
        <v>0</v>
      </c>
      <c r="V1243" s="235"/>
    </row>
    <row r="1244" spans="1:22" ht="15.75" x14ac:dyDescent="0.25">
      <c r="A1244" s="231"/>
      <c r="B1244" s="232"/>
      <c r="C1244" s="400"/>
      <c r="D1244" s="233"/>
      <c r="E1244" s="405"/>
      <c r="F1244" s="405"/>
      <c r="G1244" s="405"/>
      <c r="H1244" s="408">
        <f>ROUND(+E1244+F1244+G1244,4)</f>
        <v>0</v>
      </c>
      <c r="I1244" s="234"/>
      <c r="J1244" s="411"/>
      <c r="K1244" s="411"/>
      <c r="L1244" s="414">
        <v>0.1</v>
      </c>
      <c r="M1244" s="414">
        <f>ROUND(+L1244*C1244,4)</f>
        <v>0</v>
      </c>
      <c r="N1244" s="414"/>
      <c r="O1244" s="414"/>
      <c r="P1244" s="414"/>
      <c r="Q1244" s="419">
        <f>ROUND(+N1244+O1244+P1244,4)</f>
        <v>0</v>
      </c>
      <c r="R1244" s="419">
        <f>ROUND(IF(+Q1244-H1244&lt;=0,0,Q1244-H1244),4)</f>
        <v>0</v>
      </c>
      <c r="S1244" s="423">
        <v>0.5</v>
      </c>
      <c r="T1244" s="419">
        <f>ROUND(+(R1244*C1244)*S1244,4)</f>
        <v>0</v>
      </c>
      <c r="U1244" s="419">
        <f>ROUND(+J1244+M1244+T1244,4)</f>
        <v>0</v>
      </c>
      <c r="V1244" s="235"/>
    </row>
    <row r="1245" spans="1:22" ht="15.75" x14ac:dyDescent="0.25">
      <c r="A1245" s="231"/>
      <c r="B1245" s="232"/>
      <c r="C1245" s="400"/>
      <c r="D1245" s="233"/>
      <c r="E1245" s="405"/>
      <c r="F1245" s="405"/>
      <c r="G1245" s="405"/>
      <c r="H1245" s="408">
        <f>ROUND(+E1245+F1245+G1245,4)</f>
        <v>0</v>
      </c>
      <c r="I1245" s="234"/>
      <c r="J1245" s="411"/>
      <c r="K1245" s="411"/>
      <c r="L1245" s="414">
        <v>0.1</v>
      </c>
      <c r="M1245" s="414">
        <f>ROUND(+L1245*C1245,4)</f>
        <v>0</v>
      </c>
      <c r="N1245" s="414"/>
      <c r="O1245" s="414"/>
      <c r="P1245" s="414"/>
      <c r="Q1245" s="419">
        <f>ROUND(+N1245+O1245+P1245,4)</f>
        <v>0</v>
      </c>
      <c r="R1245" s="419">
        <f>ROUND(IF(+Q1245-H1245&lt;=0,0,Q1245-H1245),4)</f>
        <v>0</v>
      </c>
      <c r="S1245" s="423">
        <v>0.5</v>
      </c>
      <c r="T1245" s="419">
        <f>ROUND(+(R1245*C1245)*S1245,4)</f>
        <v>0</v>
      </c>
      <c r="U1245" s="419">
        <f>ROUND(+J1245+M1245+T1245,4)</f>
        <v>0</v>
      </c>
      <c r="V1245" s="235"/>
    </row>
    <row r="1246" spans="1:22" ht="15.75" x14ac:dyDescent="0.25">
      <c r="A1246" s="231"/>
      <c r="B1246" s="232"/>
      <c r="C1246" s="400"/>
      <c r="D1246" s="233"/>
      <c r="E1246" s="405"/>
      <c r="F1246" s="405"/>
      <c r="G1246" s="405"/>
      <c r="H1246" s="408">
        <f>ROUND(+E1246+F1246+G1246,4)</f>
        <v>0</v>
      </c>
      <c r="I1246" s="234"/>
      <c r="J1246" s="411"/>
      <c r="K1246" s="411"/>
      <c r="L1246" s="414">
        <v>0.1</v>
      </c>
      <c r="M1246" s="414">
        <f>ROUND(+L1246*C1246,4)</f>
        <v>0</v>
      </c>
      <c r="N1246" s="414"/>
      <c r="O1246" s="414"/>
      <c r="P1246" s="414"/>
      <c r="Q1246" s="419">
        <f>ROUND(+N1246+O1246+P1246,4)</f>
        <v>0</v>
      </c>
      <c r="R1246" s="419">
        <f>ROUND(IF(+Q1246-H1246&lt;=0,0,Q1246-H1246),4)</f>
        <v>0</v>
      </c>
      <c r="S1246" s="423">
        <v>0.5</v>
      </c>
      <c r="T1246" s="419">
        <f>ROUND(+(R1246*C1246)*S1246,4)</f>
        <v>0</v>
      </c>
      <c r="U1246" s="419">
        <f>ROUND(+J1246+M1246+T1246,4)</f>
        <v>0</v>
      </c>
      <c r="V1246" s="235"/>
    </row>
    <row r="1247" spans="1:22" ht="15.75" x14ac:dyDescent="0.25">
      <c r="A1247" s="231"/>
      <c r="B1247" s="232"/>
      <c r="C1247" s="400"/>
      <c r="D1247" s="233"/>
      <c r="E1247" s="405"/>
      <c r="F1247" s="405"/>
      <c r="G1247" s="405"/>
      <c r="H1247" s="408">
        <f>ROUND(+E1247+F1247+G1247,4)</f>
        <v>0</v>
      </c>
      <c r="I1247" s="234"/>
      <c r="J1247" s="411"/>
      <c r="K1247" s="411"/>
      <c r="L1247" s="414">
        <v>0.1</v>
      </c>
      <c r="M1247" s="414">
        <f>ROUND(+L1247*C1247,4)</f>
        <v>0</v>
      </c>
      <c r="N1247" s="414"/>
      <c r="O1247" s="414"/>
      <c r="P1247" s="414"/>
      <c r="Q1247" s="419">
        <f>ROUND(+N1247+O1247+P1247,4)</f>
        <v>0</v>
      </c>
      <c r="R1247" s="419">
        <f>ROUND(IF(+Q1247-H1247&lt;=0,0,Q1247-H1247),4)</f>
        <v>0</v>
      </c>
      <c r="S1247" s="423">
        <v>0.5</v>
      </c>
      <c r="T1247" s="419">
        <f>ROUND(+(R1247*C1247)*S1247,4)</f>
        <v>0</v>
      </c>
      <c r="U1247" s="419">
        <f>ROUND(+J1247+M1247+T1247,4)</f>
        <v>0</v>
      </c>
      <c r="V1247" s="235"/>
    </row>
    <row r="1248" spans="1:22" ht="15.75" x14ac:dyDescent="0.25">
      <c r="A1248" s="231"/>
      <c r="B1248" s="232"/>
      <c r="C1248" s="400"/>
      <c r="D1248" s="233"/>
      <c r="E1248" s="405"/>
      <c r="F1248" s="405"/>
      <c r="G1248" s="405"/>
      <c r="H1248" s="408">
        <f>ROUND(+E1248+F1248+G1248,4)</f>
        <v>0</v>
      </c>
      <c r="I1248" s="234"/>
      <c r="J1248" s="411"/>
      <c r="K1248" s="411"/>
      <c r="L1248" s="414">
        <v>0.1</v>
      </c>
      <c r="M1248" s="414">
        <f>ROUND(+L1248*C1248,4)</f>
        <v>0</v>
      </c>
      <c r="N1248" s="414"/>
      <c r="O1248" s="414"/>
      <c r="P1248" s="414"/>
      <c r="Q1248" s="419">
        <f>ROUND(+N1248+O1248+P1248,4)</f>
        <v>0</v>
      </c>
      <c r="R1248" s="419">
        <f>ROUND(IF(+Q1248-H1248&lt;=0,0,Q1248-H1248),4)</f>
        <v>0</v>
      </c>
      <c r="S1248" s="423">
        <v>0.5</v>
      </c>
      <c r="T1248" s="419">
        <f>ROUND(+(R1248*C1248)*S1248,4)</f>
        <v>0</v>
      </c>
      <c r="U1248" s="419">
        <f>ROUND(+J1248+M1248+T1248,4)</f>
        <v>0</v>
      </c>
      <c r="V1248" s="235"/>
    </row>
    <row r="1249" spans="1:22" ht="15.75" x14ac:dyDescent="0.25">
      <c r="A1249" s="231"/>
      <c r="B1249" s="232"/>
      <c r="C1249" s="400"/>
      <c r="D1249" s="233"/>
      <c r="E1249" s="405"/>
      <c r="F1249" s="405"/>
      <c r="G1249" s="405"/>
      <c r="H1249" s="408">
        <f>ROUND(+E1249+F1249+G1249,4)</f>
        <v>0</v>
      </c>
      <c r="I1249" s="234"/>
      <c r="J1249" s="411"/>
      <c r="K1249" s="411"/>
      <c r="L1249" s="414">
        <v>0.1</v>
      </c>
      <c r="M1249" s="414">
        <f>ROUND(+L1249*C1249,4)</f>
        <v>0</v>
      </c>
      <c r="N1249" s="414"/>
      <c r="O1249" s="414"/>
      <c r="P1249" s="414"/>
      <c r="Q1249" s="419">
        <f>ROUND(+N1249+O1249+P1249,4)</f>
        <v>0</v>
      </c>
      <c r="R1249" s="419">
        <f>ROUND(IF(+Q1249-H1249&lt;=0,0,Q1249-H1249),4)</f>
        <v>0</v>
      </c>
      <c r="S1249" s="423">
        <v>0.5</v>
      </c>
      <c r="T1249" s="419">
        <f>ROUND(+(R1249*C1249)*S1249,4)</f>
        <v>0</v>
      </c>
      <c r="U1249" s="419">
        <f>ROUND(+J1249+M1249+T1249,4)</f>
        <v>0</v>
      </c>
      <c r="V1249" s="235"/>
    </row>
    <row r="1250" spans="1:22" ht="15.75" x14ac:dyDescent="0.25">
      <c r="A1250" s="231"/>
      <c r="B1250" s="232"/>
      <c r="C1250" s="400"/>
      <c r="D1250" s="233"/>
      <c r="E1250" s="405"/>
      <c r="F1250" s="405"/>
      <c r="G1250" s="405"/>
      <c r="H1250" s="408">
        <f>ROUND(+E1250+F1250+G1250,4)</f>
        <v>0</v>
      </c>
      <c r="I1250" s="234"/>
      <c r="J1250" s="411"/>
      <c r="K1250" s="411"/>
      <c r="L1250" s="414">
        <v>0.1</v>
      </c>
      <c r="M1250" s="414">
        <f>ROUND(+L1250*C1250,4)</f>
        <v>0</v>
      </c>
      <c r="N1250" s="414"/>
      <c r="O1250" s="414"/>
      <c r="P1250" s="414"/>
      <c r="Q1250" s="419">
        <f>ROUND(+N1250+O1250+P1250,4)</f>
        <v>0</v>
      </c>
      <c r="R1250" s="419">
        <f>ROUND(IF(+Q1250-H1250&lt;=0,0,Q1250-H1250),4)</f>
        <v>0</v>
      </c>
      <c r="S1250" s="423">
        <v>0.5</v>
      </c>
      <c r="T1250" s="419">
        <f>ROUND(+(R1250*C1250)*S1250,4)</f>
        <v>0</v>
      </c>
      <c r="U1250" s="419">
        <f>ROUND(+J1250+M1250+T1250,4)</f>
        <v>0</v>
      </c>
      <c r="V1250" s="235"/>
    </row>
    <row r="1251" spans="1:22" ht="15.75" x14ac:dyDescent="0.25">
      <c r="A1251" s="231"/>
      <c r="B1251" s="232"/>
      <c r="C1251" s="400"/>
      <c r="D1251" s="233"/>
      <c r="E1251" s="405"/>
      <c r="F1251" s="405"/>
      <c r="G1251" s="405"/>
      <c r="H1251" s="408">
        <f>ROUND(+E1251+F1251+G1251,4)</f>
        <v>0</v>
      </c>
      <c r="I1251" s="234"/>
      <c r="J1251" s="411"/>
      <c r="K1251" s="411"/>
      <c r="L1251" s="414">
        <v>0.1</v>
      </c>
      <c r="M1251" s="414">
        <f>ROUND(+L1251*C1251,4)</f>
        <v>0</v>
      </c>
      <c r="N1251" s="414"/>
      <c r="O1251" s="414"/>
      <c r="P1251" s="414"/>
      <c r="Q1251" s="419">
        <f>ROUND(+N1251+O1251+P1251,4)</f>
        <v>0</v>
      </c>
      <c r="R1251" s="419">
        <f>ROUND(IF(+Q1251-H1251&lt;=0,0,Q1251-H1251),4)</f>
        <v>0</v>
      </c>
      <c r="S1251" s="423">
        <v>0.5</v>
      </c>
      <c r="T1251" s="419">
        <f>ROUND(+(R1251*C1251)*S1251,4)</f>
        <v>0</v>
      </c>
      <c r="U1251" s="419">
        <f>ROUND(+J1251+M1251+T1251,4)</f>
        <v>0</v>
      </c>
      <c r="V1251" s="235"/>
    </row>
    <row r="1252" spans="1:22" ht="15.75" x14ac:dyDescent="0.25">
      <c r="A1252" s="231"/>
      <c r="B1252" s="232"/>
      <c r="C1252" s="400"/>
      <c r="D1252" s="233"/>
      <c r="E1252" s="405"/>
      <c r="F1252" s="405"/>
      <c r="G1252" s="405"/>
      <c r="H1252" s="408">
        <f>ROUND(+E1252+F1252+G1252,4)</f>
        <v>0</v>
      </c>
      <c r="I1252" s="234"/>
      <c r="J1252" s="411"/>
      <c r="K1252" s="411"/>
      <c r="L1252" s="414">
        <v>0.1</v>
      </c>
      <c r="M1252" s="414">
        <f>ROUND(+L1252*C1252,4)</f>
        <v>0</v>
      </c>
      <c r="N1252" s="414"/>
      <c r="O1252" s="414"/>
      <c r="P1252" s="414"/>
      <c r="Q1252" s="419">
        <f>ROUND(+N1252+O1252+P1252,4)</f>
        <v>0</v>
      </c>
      <c r="R1252" s="419">
        <f>ROUND(IF(+Q1252-H1252&lt;=0,0,Q1252-H1252),4)</f>
        <v>0</v>
      </c>
      <c r="S1252" s="423">
        <v>0.5</v>
      </c>
      <c r="T1252" s="419">
        <f>ROUND(+(R1252*C1252)*S1252,4)</f>
        <v>0</v>
      </c>
      <c r="U1252" s="419">
        <f>ROUND(+J1252+M1252+T1252,4)</f>
        <v>0</v>
      </c>
      <c r="V1252" s="235"/>
    </row>
    <row r="1253" spans="1:22" ht="15.75" x14ac:dyDescent="0.25">
      <c r="A1253" s="231"/>
      <c r="B1253" s="232"/>
      <c r="C1253" s="400"/>
      <c r="D1253" s="233"/>
      <c r="E1253" s="405"/>
      <c r="F1253" s="405"/>
      <c r="G1253" s="405"/>
      <c r="H1253" s="408">
        <f>ROUND(+E1253+F1253+G1253,4)</f>
        <v>0</v>
      </c>
      <c r="I1253" s="234"/>
      <c r="J1253" s="411"/>
      <c r="K1253" s="411"/>
      <c r="L1253" s="414">
        <v>0.1</v>
      </c>
      <c r="M1253" s="414">
        <f>ROUND(+L1253*C1253,4)</f>
        <v>0</v>
      </c>
      <c r="N1253" s="414"/>
      <c r="O1253" s="414"/>
      <c r="P1253" s="414"/>
      <c r="Q1253" s="419">
        <f>ROUND(+N1253+O1253+P1253,4)</f>
        <v>0</v>
      </c>
      <c r="R1253" s="419">
        <f>ROUND(IF(+Q1253-H1253&lt;=0,0,Q1253-H1253),4)</f>
        <v>0</v>
      </c>
      <c r="S1253" s="423">
        <v>0.5</v>
      </c>
      <c r="T1253" s="419">
        <f>ROUND(+(R1253*C1253)*S1253,4)</f>
        <v>0</v>
      </c>
      <c r="U1253" s="419">
        <f>ROUND(+J1253+M1253+T1253,4)</f>
        <v>0</v>
      </c>
      <c r="V1253" s="235"/>
    </row>
    <row r="1254" spans="1:22" ht="15.75" x14ac:dyDescent="0.25">
      <c r="A1254" s="231"/>
      <c r="B1254" s="232"/>
      <c r="C1254" s="400"/>
      <c r="D1254" s="233"/>
      <c r="E1254" s="405"/>
      <c r="F1254" s="405"/>
      <c r="G1254" s="405"/>
      <c r="H1254" s="408">
        <f>ROUND(+E1254+F1254+G1254,4)</f>
        <v>0</v>
      </c>
      <c r="I1254" s="234"/>
      <c r="J1254" s="411"/>
      <c r="K1254" s="411"/>
      <c r="L1254" s="414">
        <v>0.1</v>
      </c>
      <c r="M1254" s="414">
        <f>ROUND(+L1254*C1254,4)</f>
        <v>0</v>
      </c>
      <c r="N1254" s="414"/>
      <c r="O1254" s="414"/>
      <c r="P1254" s="414"/>
      <c r="Q1254" s="419">
        <f>ROUND(+N1254+O1254+P1254,4)</f>
        <v>0</v>
      </c>
      <c r="R1254" s="419">
        <f>ROUND(IF(+Q1254-H1254&lt;=0,0,Q1254-H1254),4)</f>
        <v>0</v>
      </c>
      <c r="S1254" s="423">
        <v>0.5</v>
      </c>
      <c r="T1254" s="419">
        <f>ROUND(+(R1254*C1254)*S1254,4)</f>
        <v>0</v>
      </c>
      <c r="U1254" s="419">
        <f>ROUND(+J1254+M1254+T1254,4)</f>
        <v>0</v>
      </c>
      <c r="V1254" s="235"/>
    </row>
    <row r="1255" spans="1:22" ht="15.75" x14ac:dyDescent="0.25">
      <c r="A1255" s="231"/>
      <c r="B1255" s="232"/>
      <c r="C1255" s="400"/>
      <c r="D1255" s="233"/>
      <c r="E1255" s="405"/>
      <c r="F1255" s="405"/>
      <c r="G1255" s="405"/>
      <c r="H1255" s="408">
        <f>ROUND(+E1255+F1255+G1255,4)</f>
        <v>0</v>
      </c>
      <c r="I1255" s="234"/>
      <c r="J1255" s="411"/>
      <c r="K1255" s="411"/>
      <c r="L1255" s="414">
        <v>0.1</v>
      </c>
      <c r="M1255" s="414">
        <f>ROUND(+L1255*C1255,4)</f>
        <v>0</v>
      </c>
      <c r="N1255" s="414"/>
      <c r="O1255" s="414"/>
      <c r="P1255" s="414"/>
      <c r="Q1255" s="419">
        <f>ROUND(+N1255+O1255+P1255,4)</f>
        <v>0</v>
      </c>
      <c r="R1255" s="419">
        <f>ROUND(IF(+Q1255-H1255&lt;=0,0,Q1255-H1255),4)</f>
        <v>0</v>
      </c>
      <c r="S1255" s="423">
        <v>0.5</v>
      </c>
      <c r="T1255" s="419">
        <f>ROUND(+(R1255*C1255)*S1255,4)</f>
        <v>0</v>
      </c>
      <c r="U1255" s="419">
        <f>ROUND(+J1255+M1255+T1255,4)</f>
        <v>0</v>
      </c>
      <c r="V1255" s="235"/>
    </row>
    <row r="1256" spans="1:22" ht="15.75" x14ac:dyDescent="0.25">
      <c r="A1256" s="231"/>
      <c r="B1256" s="232"/>
      <c r="C1256" s="400"/>
      <c r="D1256" s="233"/>
      <c r="E1256" s="405"/>
      <c r="F1256" s="405"/>
      <c r="G1256" s="405"/>
      <c r="H1256" s="408">
        <f>ROUND(+E1256+F1256+G1256,4)</f>
        <v>0</v>
      </c>
      <c r="I1256" s="234"/>
      <c r="J1256" s="411"/>
      <c r="K1256" s="411"/>
      <c r="L1256" s="414">
        <v>0.1</v>
      </c>
      <c r="M1256" s="414">
        <f>ROUND(+L1256*C1256,4)</f>
        <v>0</v>
      </c>
      <c r="N1256" s="414"/>
      <c r="O1256" s="414"/>
      <c r="P1256" s="414"/>
      <c r="Q1256" s="419">
        <f>ROUND(+N1256+O1256+P1256,4)</f>
        <v>0</v>
      </c>
      <c r="R1256" s="419">
        <f>ROUND(IF(+Q1256-H1256&lt;=0,0,Q1256-H1256),4)</f>
        <v>0</v>
      </c>
      <c r="S1256" s="423">
        <v>0.5</v>
      </c>
      <c r="T1256" s="419">
        <f>ROUND(+(R1256*C1256)*S1256,4)</f>
        <v>0</v>
      </c>
      <c r="U1256" s="419">
        <f>ROUND(+J1256+M1256+T1256,4)</f>
        <v>0</v>
      </c>
      <c r="V1256" s="235"/>
    </row>
    <row r="1257" spans="1:22" ht="15.75" x14ac:dyDescent="0.25">
      <c r="A1257" s="231"/>
      <c r="B1257" s="232"/>
      <c r="C1257" s="400"/>
      <c r="D1257" s="233"/>
      <c r="E1257" s="405"/>
      <c r="F1257" s="405"/>
      <c r="G1257" s="405"/>
      <c r="H1257" s="408">
        <f>ROUND(+E1257+F1257+G1257,4)</f>
        <v>0</v>
      </c>
      <c r="I1257" s="234"/>
      <c r="J1257" s="411"/>
      <c r="K1257" s="411"/>
      <c r="L1257" s="414">
        <v>0.1</v>
      </c>
      <c r="M1257" s="414">
        <f>ROUND(+L1257*C1257,4)</f>
        <v>0</v>
      </c>
      <c r="N1257" s="414"/>
      <c r="O1257" s="414"/>
      <c r="P1257" s="414"/>
      <c r="Q1257" s="419">
        <f>ROUND(+N1257+O1257+P1257,4)</f>
        <v>0</v>
      </c>
      <c r="R1257" s="419">
        <f>ROUND(IF(+Q1257-H1257&lt;=0,0,Q1257-H1257),4)</f>
        <v>0</v>
      </c>
      <c r="S1257" s="423">
        <v>0.5</v>
      </c>
      <c r="T1257" s="419">
        <f>ROUND(+(R1257*C1257)*S1257,4)</f>
        <v>0</v>
      </c>
      <c r="U1257" s="419">
        <f>ROUND(+J1257+M1257+T1257,4)</f>
        <v>0</v>
      </c>
      <c r="V1257" s="235"/>
    </row>
    <row r="1258" spans="1:22" ht="15.75" x14ac:dyDescent="0.25">
      <c r="A1258" s="231"/>
      <c r="B1258" s="232"/>
      <c r="C1258" s="400"/>
      <c r="D1258" s="233"/>
      <c r="E1258" s="405"/>
      <c r="F1258" s="405"/>
      <c r="G1258" s="405"/>
      <c r="H1258" s="408">
        <f>ROUND(+E1258+F1258+G1258,4)</f>
        <v>0</v>
      </c>
      <c r="I1258" s="234"/>
      <c r="J1258" s="411"/>
      <c r="K1258" s="411"/>
      <c r="L1258" s="414">
        <v>0.1</v>
      </c>
      <c r="M1258" s="414">
        <f>ROUND(+L1258*C1258,4)</f>
        <v>0</v>
      </c>
      <c r="N1258" s="414"/>
      <c r="O1258" s="414"/>
      <c r="P1258" s="414"/>
      <c r="Q1258" s="419">
        <f>ROUND(+N1258+O1258+P1258,4)</f>
        <v>0</v>
      </c>
      <c r="R1258" s="419">
        <f>ROUND(IF(+Q1258-H1258&lt;=0,0,Q1258-H1258),4)</f>
        <v>0</v>
      </c>
      <c r="S1258" s="423">
        <v>0.5</v>
      </c>
      <c r="T1258" s="419">
        <f>ROUND(+(R1258*C1258)*S1258,4)</f>
        <v>0</v>
      </c>
      <c r="U1258" s="419">
        <f>ROUND(+J1258+M1258+T1258,4)</f>
        <v>0</v>
      </c>
      <c r="V1258" s="235"/>
    </row>
    <row r="1259" spans="1:22" ht="15.75" x14ac:dyDescent="0.25">
      <c r="A1259" s="231"/>
      <c r="B1259" s="232"/>
      <c r="C1259" s="400"/>
      <c r="D1259" s="233"/>
      <c r="E1259" s="405"/>
      <c r="F1259" s="405"/>
      <c r="G1259" s="405"/>
      <c r="H1259" s="408">
        <f>ROUND(+E1259+F1259+G1259,4)</f>
        <v>0</v>
      </c>
      <c r="I1259" s="234"/>
      <c r="J1259" s="411"/>
      <c r="K1259" s="411"/>
      <c r="L1259" s="414">
        <v>0.1</v>
      </c>
      <c r="M1259" s="414">
        <f>ROUND(+L1259*C1259,4)</f>
        <v>0</v>
      </c>
      <c r="N1259" s="414"/>
      <c r="O1259" s="414"/>
      <c r="P1259" s="414"/>
      <c r="Q1259" s="419">
        <f>ROUND(+N1259+O1259+P1259,4)</f>
        <v>0</v>
      </c>
      <c r="R1259" s="419">
        <f>ROUND(IF(+Q1259-H1259&lt;=0,0,Q1259-H1259),4)</f>
        <v>0</v>
      </c>
      <c r="S1259" s="423">
        <v>0.5</v>
      </c>
      <c r="T1259" s="419">
        <f>ROUND(+(R1259*C1259)*S1259,4)</f>
        <v>0</v>
      </c>
      <c r="U1259" s="419">
        <f>ROUND(+J1259+M1259+T1259,4)</f>
        <v>0</v>
      </c>
      <c r="V1259" s="235"/>
    </row>
    <row r="1260" spans="1:22" ht="15.75" x14ac:dyDescent="0.25">
      <c r="A1260" s="231"/>
      <c r="B1260" s="232"/>
      <c r="C1260" s="400"/>
      <c r="D1260" s="233"/>
      <c r="E1260" s="405"/>
      <c r="F1260" s="405"/>
      <c r="G1260" s="405"/>
      <c r="H1260" s="408">
        <f>ROUND(+E1260+F1260+G1260,4)</f>
        <v>0</v>
      </c>
      <c r="I1260" s="234"/>
      <c r="J1260" s="411"/>
      <c r="K1260" s="411"/>
      <c r="L1260" s="414">
        <v>0.1</v>
      </c>
      <c r="M1260" s="414">
        <f>ROUND(+L1260*C1260,4)</f>
        <v>0</v>
      </c>
      <c r="N1260" s="414"/>
      <c r="O1260" s="414"/>
      <c r="P1260" s="414"/>
      <c r="Q1260" s="419">
        <f>ROUND(+N1260+O1260+P1260,4)</f>
        <v>0</v>
      </c>
      <c r="R1260" s="419">
        <f>ROUND(IF(+Q1260-H1260&lt;=0,0,Q1260-H1260),4)</f>
        <v>0</v>
      </c>
      <c r="S1260" s="423">
        <v>0.5</v>
      </c>
      <c r="T1260" s="419">
        <f>ROUND(+(R1260*C1260)*S1260,4)</f>
        <v>0</v>
      </c>
      <c r="U1260" s="419">
        <f>ROUND(+J1260+M1260+T1260,4)</f>
        <v>0</v>
      </c>
      <c r="V1260" s="235"/>
    </row>
    <row r="1261" spans="1:22" ht="15.75" x14ac:dyDescent="0.25">
      <c r="A1261" s="231"/>
      <c r="B1261" s="232"/>
      <c r="C1261" s="400"/>
      <c r="D1261" s="233"/>
      <c r="E1261" s="405"/>
      <c r="F1261" s="405"/>
      <c r="G1261" s="405"/>
      <c r="H1261" s="408">
        <f>ROUND(+E1261+F1261+G1261,4)</f>
        <v>0</v>
      </c>
      <c r="I1261" s="234"/>
      <c r="J1261" s="411"/>
      <c r="K1261" s="411"/>
      <c r="L1261" s="414">
        <v>0.1</v>
      </c>
      <c r="M1261" s="414">
        <f>ROUND(+L1261*C1261,4)</f>
        <v>0</v>
      </c>
      <c r="N1261" s="414"/>
      <c r="O1261" s="414"/>
      <c r="P1261" s="414"/>
      <c r="Q1261" s="419">
        <f>ROUND(+N1261+O1261+P1261,4)</f>
        <v>0</v>
      </c>
      <c r="R1261" s="419">
        <f>ROUND(IF(+Q1261-H1261&lt;=0,0,Q1261-H1261),4)</f>
        <v>0</v>
      </c>
      <c r="S1261" s="423">
        <v>0.5</v>
      </c>
      <c r="T1261" s="419">
        <f>ROUND(+(R1261*C1261)*S1261,4)</f>
        <v>0</v>
      </c>
      <c r="U1261" s="419">
        <f>ROUND(+J1261+M1261+T1261,4)</f>
        <v>0</v>
      </c>
      <c r="V1261" s="235"/>
    </row>
    <row r="1262" spans="1:22" ht="15.75" x14ac:dyDescent="0.25">
      <c r="A1262" s="231"/>
      <c r="B1262" s="232"/>
      <c r="C1262" s="400"/>
      <c r="D1262" s="233"/>
      <c r="E1262" s="405"/>
      <c r="F1262" s="405"/>
      <c r="G1262" s="405"/>
      <c r="H1262" s="408">
        <f>ROUND(+E1262+F1262+G1262,4)</f>
        <v>0</v>
      </c>
      <c r="I1262" s="234"/>
      <c r="J1262" s="411"/>
      <c r="K1262" s="411"/>
      <c r="L1262" s="414">
        <v>0.1</v>
      </c>
      <c r="M1262" s="414">
        <f>ROUND(+L1262*C1262,4)</f>
        <v>0</v>
      </c>
      <c r="N1262" s="414"/>
      <c r="O1262" s="414"/>
      <c r="P1262" s="414"/>
      <c r="Q1262" s="419">
        <f>ROUND(+N1262+O1262+P1262,4)</f>
        <v>0</v>
      </c>
      <c r="R1262" s="419">
        <f>ROUND(IF(+Q1262-H1262&lt;=0,0,Q1262-H1262),4)</f>
        <v>0</v>
      </c>
      <c r="S1262" s="423">
        <v>0.5</v>
      </c>
      <c r="T1262" s="419">
        <f>ROUND(+(R1262*C1262)*S1262,4)</f>
        <v>0</v>
      </c>
      <c r="U1262" s="419">
        <f>ROUND(+J1262+M1262+T1262,4)</f>
        <v>0</v>
      </c>
      <c r="V1262" s="235"/>
    </row>
    <row r="1263" spans="1:22" ht="15.75" x14ac:dyDescent="0.25">
      <c r="A1263" s="231"/>
      <c r="B1263" s="232"/>
      <c r="C1263" s="400"/>
      <c r="D1263" s="233"/>
      <c r="E1263" s="405"/>
      <c r="F1263" s="405"/>
      <c r="G1263" s="405"/>
      <c r="H1263" s="408">
        <f>ROUND(+E1263+F1263+G1263,4)</f>
        <v>0</v>
      </c>
      <c r="I1263" s="234"/>
      <c r="J1263" s="411"/>
      <c r="K1263" s="411"/>
      <c r="L1263" s="414">
        <v>0.1</v>
      </c>
      <c r="M1263" s="414">
        <f>ROUND(+L1263*C1263,4)</f>
        <v>0</v>
      </c>
      <c r="N1263" s="414"/>
      <c r="O1263" s="414"/>
      <c r="P1263" s="414"/>
      <c r="Q1263" s="419">
        <f>ROUND(+N1263+O1263+P1263,4)</f>
        <v>0</v>
      </c>
      <c r="R1263" s="419">
        <f>ROUND(IF(+Q1263-H1263&lt;=0,0,Q1263-H1263),4)</f>
        <v>0</v>
      </c>
      <c r="S1263" s="423">
        <v>0.5</v>
      </c>
      <c r="T1263" s="419">
        <f>ROUND(+(R1263*C1263)*S1263,4)</f>
        <v>0</v>
      </c>
      <c r="U1263" s="419">
        <f>ROUND(+J1263+M1263+T1263,4)</f>
        <v>0</v>
      </c>
      <c r="V1263" s="235"/>
    </row>
    <row r="1264" spans="1:22" ht="15.75" x14ac:dyDescent="0.25">
      <c r="A1264" s="231"/>
      <c r="B1264" s="232"/>
      <c r="C1264" s="400"/>
      <c r="D1264" s="233"/>
      <c r="E1264" s="405"/>
      <c r="F1264" s="405"/>
      <c r="G1264" s="405"/>
      <c r="H1264" s="408">
        <f>ROUND(+E1264+F1264+G1264,4)</f>
        <v>0</v>
      </c>
      <c r="I1264" s="234"/>
      <c r="J1264" s="411"/>
      <c r="K1264" s="411"/>
      <c r="L1264" s="414">
        <v>0.1</v>
      </c>
      <c r="M1264" s="414">
        <f>ROUND(+L1264*C1264,4)</f>
        <v>0</v>
      </c>
      <c r="N1264" s="414"/>
      <c r="O1264" s="414"/>
      <c r="P1264" s="414"/>
      <c r="Q1264" s="419">
        <f>ROUND(+N1264+O1264+P1264,4)</f>
        <v>0</v>
      </c>
      <c r="R1264" s="419">
        <f>ROUND(IF(+Q1264-H1264&lt;=0,0,Q1264-H1264),4)</f>
        <v>0</v>
      </c>
      <c r="S1264" s="423">
        <v>0.5</v>
      </c>
      <c r="T1264" s="419">
        <f>ROUND(+(R1264*C1264)*S1264,4)</f>
        <v>0</v>
      </c>
      <c r="U1264" s="419">
        <f>ROUND(+J1264+M1264+T1264,4)</f>
        <v>0</v>
      </c>
      <c r="V1264" s="235"/>
    </row>
    <row r="1265" spans="1:22" ht="15.75" x14ac:dyDescent="0.25">
      <c r="A1265" s="231"/>
      <c r="B1265" s="232"/>
      <c r="C1265" s="400"/>
      <c r="D1265" s="233"/>
      <c r="E1265" s="405"/>
      <c r="F1265" s="405"/>
      <c r="G1265" s="405"/>
      <c r="H1265" s="408">
        <f>ROUND(+E1265+F1265+G1265,4)</f>
        <v>0</v>
      </c>
      <c r="I1265" s="234"/>
      <c r="J1265" s="411"/>
      <c r="K1265" s="411"/>
      <c r="L1265" s="414">
        <v>0.1</v>
      </c>
      <c r="M1265" s="414">
        <f>ROUND(+L1265*C1265,4)</f>
        <v>0</v>
      </c>
      <c r="N1265" s="414"/>
      <c r="O1265" s="414"/>
      <c r="P1265" s="414"/>
      <c r="Q1265" s="419">
        <f>ROUND(+N1265+O1265+P1265,4)</f>
        <v>0</v>
      </c>
      <c r="R1265" s="419">
        <f>ROUND(IF(+Q1265-H1265&lt;=0,0,Q1265-H1265),4)</f>
        <v>0</v>
      </c>
      <c r="S1265" s="423">
        <v>0.5</v>
      </c>
      <c r="T1265" s="419">
        <f>ROUND(+(R1265*C1265)*S1265,4)</f>
        <v>0</v>
      </c>
      <c r="U1265" s="419">
        <f>ROUND(+J1265+M1265+T1265,4)</f>
        <v>0</v>
      </c>
      <c r="V1265" s="235"/>
    </row>
    <row r="1266" spans="1:22" ht="15.75" x14ac:dyDescent="0.25">
      <c r="A1266" s="231"/>
      <c r="B1266" s="232"/>
      <c r="C1266" s="400"/>
      <c r="D1266" s="233"/>
      <c r="E1266" s="405"/>
      <c r="F1266" s="405"/>
      <c r="G1266" s="405"/>
      <c r="H1266" s="408">
        <f>ROUND(+E1266+F1266+G1266,4)</f>
        <v>0</v>
      </c>
      <c r="I1266" s="234"/>
      <c r="J1266" s="411"/>
      <c r="K1266" s="411"/>
      <c r="L1266" s="414">
        <v>0.1</v>
      </c>
      <c r="M1266" s="414">
        <f>ROUND(+L1266*C1266,4)</f>
        <v>0</v>
      </c>
      <c r="N1266" s="414"/>
      <c r="O1266" s="414"/>
      <c r="P1266" s="414"/>
      <c r="Q1266" s="419">
        <f>ROUND(+N1266+O1266+P1266,4)</f>
        <v>0</v>
      </c>
      <c r="R1266" s="419">
        <f>ROUND(IF(+Q1266-H1266&lt;=0,0,Q1266-H1266),4)</f>
        <v>0</v>
      </c>
      <c r="S1266" s="423">
        <v>0.5</v>
      </c>
      <c r="T1266" s="419">
        <f>ROUND(+(R1266*C1266)*S1266,4)</f>
        <v>0</v>
      </c>
      <c r="U1266" s="419">
        <f>ROUND(+J1266+M1266+T1266,4)</f>
        <v>0</v>
      </c>
      <c r="V1266" s="235"/>
    </row>
    <row r="1267" spans="1:22" ht="15.75" x14ac:dyDescent="0.25">
      <c r="A1267" s="231"/>
      <c r="B1267" s="232"/>
      <c r="C1267" s="400"/>
      <c r="D1267" s="233"/>
      <c r="E1267" s="405"/>
      <c r="F1267" s="405"/>
      <c r="G1267" s="405"/>
      <c r="H1267" s="408">
        <f>ROUND(+E1267+F1267+G1267,4)</f>
        <v>0</v>
      </c>
      <c r="I1267" s="234"/>
      <c r="J1267" s="411"/>
      <c r="K1267" s="411"/>
      <c r="L1267" s="414">
        <v>0.1</v>
      </c>
      <c r="M1267" s="414">
        <f>ROUND(+L1267*C1267,4)</f>
        <v>0</v>
      </c>
      <c r="N1267" s="414"/>
      <c r="O1267" s="414"/>
      <c r="P1267" s="414"/>
      <c r="Q1267" s="419">
        <f>ROUND(+N1267+O1267+P1267,4)</f>
        <v>0</v>
      </c>
      <c r="R1267" s="419">
        <f>ROUND(IF(+Q1267-H1267&lt;=0,0,Q1267-H1267),4)</f>
        <v>0</v>
      </c>
      <c r="S1267" s="423">
        <v>0.5</v>
      </c>
      <c r="T1267" s="419">
        <f>ROUND(+(R1267*C1267)*S1267,4)</f>
        <v>0</v>
      </c>
      <c r="U1267" s="419">
        <f>ROUND(+J1267+M1267+T1267,4)</f>
        <v>0</v>
      </c>
      <c r="V1267" s="235"/>
    </row>
    <row r="1268" spans="1:22" ht="15.75" x14ac:dyDescent="0.25">
      <c r="A1268" s="231"/>
      <c r="B1268" s="232"/>
      <c r="C1268" s="400"/>
      <c r="D1268" s="233"/>
      <c r="E1268" s="405"/>
      <c r="F1268" s="405"/>
      <c r="G1268" s="405"/>
      <c r="H1268" s="408">
        <f>ROUND(+E1268+F1268+G1268,4)</f>
        <v>0</v>
      </c>
      <c r="I1268" s="234"/>
      <c r="J1268" s="411"/>
      <c r="K1268" s="411"/>
      <c r="L1268" s="414">
        <v>0.1</v>
      </c>
      <c r="M1268" s="414">
        <f>ROUND(+L1268*C1268,4)</f>
        <v>0</v>
      </c>
      <c r="N1268" s="414"/>
      <c r="O1268" s="414"/>
      <c r="P1268" s="414"/>
      <c r="Q1268" s="419">
        <f>ROUND(+N1268+O1268+P1268,4)</f>
        <v>0</v>
      </c>
      <c r="R1268" s="419">
        <f>ROUND(IF(+Q1268-H1268&lt;=0,0,Q1268-H1268),4)</f>
        <v>0</v>
      </c>
      <c r="S1268" s="423">
        <v>0.5</v>
      </c>
      <c r="T1268" s="419">
        <f>ROUND(+(R1268*C1268)*S1268,4)</f>
        <v>0</v>
      </c>
      <c r="U1268" s="419">
        <f>ROUND(+J1268+M1268+T1268,4)</f>
        <v>0</v>
      </c>
      <c r="V1268" s="235"/>
    </row>
    <row r="1269" spans="1:22" ht="15.75" x14ac:dyDescent="0.25">
      <c r="A1269" s="231"/>
      <c r="B1269" s="232"/>
      <c r="C1269" s="400"/>
      <c r="D1269" s="233"/>
      <c r="E1269" s="405"/>
      <c r="F1269" s="405"/>
      <c r="G1269" s="405"/>
      <c r="H1269" s="408">
        <f>ROUND(+E1269+F1269+G1269,4)</f>
        <v>0</v>
      </c>
      <c r="I1269" s="234"/>
      <c r="J1269" s="411"/>
      <c r="K1269" s="411"/>
      <c r="L1269" s="414">
        <v>0.1</v>
      </c>
      <c r="M1269" s="414">
        <f>ROUND(+L1269*C1269,4)</f>
        <v>0</v>
      </c>
      <c r="N1269" s="414"/>
      <c r="O1269" s="414"/>
      <c r="P1269" s="414"/>
      <c r="Q1269" s="419">
        <f>ROUND(+N1269+O1269+P1269,4)</f>
        <v>0</v>
      </c>
      <c r="R1269" s="419">
        <f>ROUND(IF(+Q1269-H1269&lt;=0,0,Q1269-H1269),4)</f>
        <v>0</v>
      </c>
      <c r="S1269" s="423">
        <v>0.5</v>
      </c>
      <c r="T1269" s="419">
        <f>ROUND(+(R1269*C1269)*S1269,4)</f>
        <v>0</v>
      </c>
      <c r="U1269" s="419">
        <f>ROUND(+J1269+M1269+T1269,4)</f>
        <v>0</v>
      </c>
      <c r="V1269" s="235"/>
    </row>
    <row r="1270" spans="1:22" ht="15.75" x14ac:dyDescent="0.25">
      <c r="A1270" s="231"/>
      <c r="B1270" s="232"/>
      <c r="C1270" s="400"/>
      <c r="D1270" s="233"/>
      <c r="E1270" s="405"/>
      <c r="F1270" s="405"/>
      <c r="G1270" s="405"/>
      <c r="H1270" s="408">
        <f>ROUND(+E1270+F1270+G1270,4)</f>
        <v>0</v>
      </c>
      <c r="I1270" s="234"/>
      <c r="J1270" s="411"/>
      <c r="K1270" s="411"/>
      <c r="L1270" s="414">
        <v>0.1</v>
      </c>
      <c r="M1270" s="414">
        <f>ROUND(+L1270*C1270,4)</f>
        <v>0</v>
      </c>
      <c r="N1270" s="414"/>
      <c r="O1270" s="414"/>
      <c r="P1270" s="414"/>
      <c r="Q1270" s="419">
        <f>ROUND(+N1270+O1270+P1270,4)</f>
        <v>0</v>
      </c>
      <c r="R1270" s="419">
        <f>ROUND(IF(+Q1270-H1270&lt;=0,0,Q1270-H1270),4)</f>
        <v>0</v>
      </c>
      <c r="S1270" s="423">
        <v>0.5</v>
      </c>
      <c r="T1270" s="419">
        <f>ROUND(+(R1270*C1270)*S1270,4)</f>
        <v>0</v>
      </c>
      <c r="U1270" s="419">
        <f>ROUND(+J1270+M1270+T1270,4)</f>
        <v>0</v>
      </c>
      <c r="V1270" s="235"/>
    </row>
    <row r="1271" spans="1:22" ht="15.75" x14ac:dyDescent="0.25">
      <c r="A1271" s="231"/>
      <c r="B1271" s="232"/>
      <c r="C1271" s="400"/>
      <c r="D1271" s="233"/>
      <c r="E1271" s="405"/>
      <c r="F1271" s="405"/>
      <c r="G1271" s="405"/>
      <c r="H1271" s="408">
        <f>ROUND(+E1271+F1271+G1271,4)</f>
        <v>0</v>
      </c>
      <c r="I1271" s="234"/>
      <c r="J1271" s="411"/>
      <c r="K1271" s="411"/>
      <c r="L1271" s="414">
        <v>0.1</v>
      </c>
      <c r="M1271" s="414">
        <f>ROUND(+L1271*C1271,4)</f>
        <v>0</v>
      </c>
      <c r="N1271" s="414"/>
      <c r="O1271" s="414"/>
      <c r="P1271" s="414"/>
      <c r="Q1271" s="419">
        <f>ROUND(+N1271+O1271+P1271,4)</f>
        <v>0</v>
      </c>
      <c r="R1271" s="419">
        <f>ROUND(IF(+Q1271-H1271&lt;=0,0,Q1271-H1271),4)</f>
        <v>0</v>
      </c>
      <c r="S1271" s="423">
        <v>0.5</v>
      </c>
      <c r="T1271" s="419">
        <f>ROUND(+(R1271*C1271)*S1271,4)</f>
        <v>0</v>
      </c>
      <c r="U1271" s="419">
        <f>ROUND(+J1271+M1271+T1271,4)</f>
        <v>0</v>
      </c>
      <c r="V1271" s="235"/>
    </row>
    <row r="1272" spans="1:22" ht="15.75" x14ac:dyDescent="0.25">
      <c r="A1272" s="231"/>
      <c r="B1272" s="232"/>
      <c r="C1272" s="400"/>
      <c r="D1272" s="233"/>
      <c r="E1272" s="405"/>
      <c r="F1272" s="405"/>
      <c r="G1272" s="405"/>
      <c r="H1272" s="408">
        <f>ROUND(+E1272+F1272+G1272,4)</f>
        <v>0</v>
      </c>
      <c r="I1272" s="234"/>
      <c r="J1272" s="411"/>
      <c r="K1272" s="411"/>
      <c r="L1272" s="414">
        <v>0.1</v>
      </c>
      <c r="M1272" s="414">
        <f>ROUND(+L1272*C1272,4)</f>
        <v>0</v>
      </c>
      <c r="N1272" s="414"/>
      <c r="O1272" s="414"/>
      <c r="P1272" s="414"/>
      <c r="Q1272" s="419">
        <f>ROUND(+N1272+O1272+P1272,4)</f>
        <v>0</v>
      </c>
      <c r="R1272" s="419">
        <f>ROUND(IF(+Q1272-H1272&lt;=0,0,Q1272-H1272),4)</f>
        <v>0</v>
      </c>
      <c r="S1272" s="423">
        <v>0.5</v>
      </c>
      <c r="T1272" s="419">
        <f>ROUND(+(R1272*C1272)*S1272,4)</f>
        <v>0</v>
      </c>
      <c r="U1272" s="419">
        <f>ROUND(+J1272+M1272+T1272,4)</f>
        <v>0</v>
      </c>
      <c r="V1272" s="235"/>
    </row>
    <row r="1273" spans="1:22" ht="15.75" x14ac:dyDescent="0.25">
      <c r="A1273" s="231"/>
      <c r="B1273" s="232"/>
      <c r="C1273" s="400"/>
      <c r="D1273" s="233"/>
      <c r="E1273" s="405"/>
      <c r="F1273" s="405"/>
      <c r="G1273" s="405"/>
      <c r="H1273" s="408">
        <f>ROUND(+E1273+F1273+G1273,4)</f>
        <v>0</v>
      </c>
      <c r="I1273" s="234"/>
      <c r="J1273" s="411"/>
      <c r="K1273" s="411"/>
      <c r="L1273" s="414">
        <v>0.1</v>
      </c>
      <c r="M1273" s="414">
        <f>ROUND(+L1273*C1273,4)</f>
        <v>0</v>
      </c>
      <c r="N1273" s="414"/>
      <c r="O1273" s="414"/>
      <c r="P1273" s="414"/>
      <c r="Q1273" s="419">
        <f>ROUND(+N1273+O1273+P1273,4)</f>
        <v>0</v>
      </c>
      <c r="R1273" s="419">
        <f>ROUND(IF(+Q1273-H1273&lt;=0,0,Q1273-H1273),4)</f>
        <v>0</v>
      </c>
      <c r="S1273" s="423">
        <v>0.5</v>
      </c>
      <c r="T1273" s="419">
        <f>ROUND(+(R1273*C1273)*S1273,4)</f>
        <v>0</v>
      </c>
      <c r="U1273" s="419">
        <f>ROUND(+J1273+M1273+T1273,4)</f>
        <v>0</v>
      </c>
      <c r="V1273" s="235"/>
    </row>
    <row r="1274" spans="1:22" ht="15.75" x14ac:dyDescent="0.25">
      <c r="A1274" s="231"/>
      <c r="B1274" s="232"/>
      <c r="C1274" s="400"/>
      <c r="D1274" s="233"/>
      <c r="E1274" s="405"/>
      <c r="F1274" s="405"/>
      <c r="G1274" s="405"/>
      <c r="H1274" s="408">
        <f>ROUND(+E1274+F1274+G1274,4)</f>
        <v>0</v>
      </c>
      <c r="I1274" s="234"/>
      <c r="J1274" s="411"/>
      <c r="K1274" s="411"/>
      <c r="L1274" s="414">
        <v>0.1</v>
      </c>
      <c r="M1274" s="414">
        <f>ROUND(+L1274*C1274,4)</f>
        <v>0</v>
      </c>
      <c r="N1274" s="414"/>
      <c r="O1274" s="414"/>
      <c r="P1274" s="414"/>
      <c r="Q1274" s="419">
        <f>ROUND(+N1274+O1274+P1274,4)</f>
        <v>0</v>
      </c>
      <c r="R1274" s="419">
        <f>ROUND(IF(+Q1274-H1274&lt;=0,0,Q1274-H1274),4)</f>
        <v>0</v>
      </c>
      <c r="S1274" s="423">
        <v>0.5</v>
      </c>
      <c r="T1274" s="419">
        <f>ROUND(+(R1274*C1274)*S1274,4)</f>
        <v>0</v>
      </c>
      <c r="U1274" s="419">
        <f>ROUND(+J1274+M1274+T1274,4)</f>
        <v>0</v>
      </c>
      <c r="V1274" s="235"/>
    </row>
    <row r="1275" spans="1:22" ht="15.75" x14ac:dyDescent="0.25">
      <c r="A1275" s="231"/>
      <c r="B1275" s="232"/>
      <c r="C1275" s="400"/>
      <c r="D1275" s="233"/>
      <c r="E1275" s="405"/>
      <c r="F1275" s="405"/>
      <c r="G1275" s="405"/>
      <c r="H1275" s="408">
        <f>ROUND(+E1275+F1275+G1275,4)</f>
        <v>0</v>
      </c>
      <c r="I1275" s="234"/>
      <c r="J1275" s="411"/>
      <c r="K1275" s="411"/>
      <c r="L1275" s="414">
        <v>0.1</v>
      </c>
      <c r="M1275" s="414">
        <f>ROUND(+L1275*C1275,4)</f>
        <v>0</v>
      </c>
      <c r="N1275" s="414"/>
      <c r="O1275" s="414"/>
      <c r="P1275" s="414"/>
      <c r="Q1275" s="419">
        <f>ROUND(+N1275+O1275+P1275,4)</f>
        <v>0</v>
      </c>
      <c r="R1275" s="419">
        <f>ROUND(IF(+Q1275-H1275&lt;=0,0,Q1275-H1275),4)</f>
        <v>0</v>
      </c>
      <c r="S1275" s="423">
        <v>0.5</v>
      </c>
      <c r="T1275" s="419">
        <f>ROUND(+(R1275*C1275)*S1275,4)</f>
        <v>0</v>
      </c>
      <c r="U1275" s="419">
        <f>ROUND(+J1275+M1275+T1275,4)</f>
        <v>0</v>
      </c>
      <c r="V1275" s="235"/>
    </row>
    <row r="1276" spans="1:22" ht="15.75" x14ac:dyDescent="0.25">
      <c r="A1276" s="231"/>
      <c r="B1276" s="232"/>
      <c r="C1276" s="400"/>
      <c r="D1276" s="233"/>
      <c r="E1276" s="405"/>
      <c r="F1276" s="405"/>
      <c r="G1276" s="405"/>
      <c r="H1276" s="408">
        <f>ROUND(+E1276+F1276+G1276,4)</f>
        <v>0</v>
      </c>
      <c r="I1276" s="234"/>
      <c r="J1276" s="411"/>
      <c r="K1276" s="411"/>
      <c r="L1276" s="414">
        <v>0.1</v>
      </c>
      <c r="M1276" s="414">
        <f>ROUND(+L1276*C1276,4)</f>
        <v>0</v>
      </c>
      <c r="N1276" s="414"/>
      <c r="O1276" s="414"/>
      <c r="P1276" s="414"/>
      <c r="Q1276" s="419">
        <f>ROUND(+N1276+O1276+P1276,4)</f>
        <v>0</v>
      </c>
      <c r="R1276" s="419">
        <f>ROUND(IF(+Q1276-H1276&lt;=0,0,Q1276-H1276),4)</f>
        <v>0</v>
      </c>
      <c r="S1276" s="423">
        <v>0.5</v>
      </c>
      <c r="T1276" s="419">
        <f>ROUND(+(R1276*C1276)*S1276,4)</f>
        <v>0</v>
      </c>
      <c r="U1276" s="419">
        <f>ROUND(+J1276+M1276+T1276,4)</f>
        <v>0</v>
      </c>
      <c r="V1276" s="235"/>
    </row>
    <row r="1277" spans="1:22" ht="15.75" x14ac:dyDescent="0.25">
      <c r="A1277" s="231"/>
      <c r="B1277" s="232"/>
      <c r="C1277" s="400"/>
      <c r="D1277" s="233"/>
      <c r="E1277" s="405"/>
      <c r="F1277" s="405"/>
      <c r="G1277" s="405"/>
      <c r="H1277" s="408">
        <f>ROUND(+E1277+F1277+G1277,4)</f>
        <v>0</v>
      </c>
      <c r="I1277" s="234"/>
      <c r="J1277" s="411"/>
      <c r="K1277" s="411"/>
      <c r="L1277" s="414">
        <v>0.1</v>
      </c>
      <c r="M1277" s="414">
        <f>ROUND(+L1277*C1277,4)</f>
        <v>0</v>
      </c>
      <c r="N1277" s="414"/>
      <c r="O1277" s="414"/>
      <c r="P1277" s="414"/>
      <c r="Q1277" s="419">
        <f>ROUND(+N1277+O1277+P1277,4)</f>
        <v>0</v>
      </c>
      <c r="R1277" s="419">
        <f>ROUND(IF(+Q1277-H1277&lt;=0,0,Q1277-H1277),4)</f>
        <v>0</v>
      </c>
      <c r="S1277" s="423">
        <v>0.5</v>
      </c>
      <c r="T1277" s="419">
        <f>ROUND(+(R1277*C1277)*S1277,4)</f>
        <v>0</v>
      </c>
      <c r="U1277" s="419">
        <f>ROUND(+J1277+M1277+T1277,4)</f>
        <v>0</v>
      </c>
      <c r="V1277" s="235"/>
    </row>
    <row r="1278" spans="1:22" ht="15.75" x14ac:dyDescent="0.25">
      <c r="A1278" s="231"/>
      <c r="B1278" s="232"/>
      <c r="C1278" s="400"/>
      <c r="D1278" s="233"/>
      <c r="E1278" s="405"/>
      <c r="F1278" s="405"/>
      <c r="G1278" s="405"/>
      <c r="H1278" s="408">
        <f>ROUND(+E1278+F1278+G1278,4)</f>
        <v>0</v>
      </c>
      <c r="I1278" s="234"/>
      <c r="J1278" s="411"/>
      <c r="K1278" s="411"/>
      <c r="L1278" s="414">
        <v>0.1</v>
      </c>
      <c r="M1278" s="414">
        <f>ROUND(+L1278*C1278,4)</f>
        <v>0</v>
      </c>
      <c r="N1278" s="414"/>
      <c r="O1278" s="414"/>
      <c r="P1278" s="414"/>
      <c r="Q1278" s="419">
        <f>ROUND(+N1278+O1278+P1278,4)</f>
        <v>0</v>
      </c>
      <c r="R1278" s="419">
        <f>ROUND(IF(+Q1278-H1278&lt;=0,0,Q1278-H1278),4)</f>
        <v>0</v>
      </c>
      <c r="S1278" s="423">
        <v>0.5</v>
      </c>
      <c r="T1278" s="419">
        <f>ROUND(+(R1278*C1278)*S1278,4)</f>
        <v>0</v>
      </c>
      <c r="U1278" s="419">
        <f>ROUND(+J1278+M1278+T1278,4)</f>
        <v>0</v>
      </c>
      <c r="V1278" s="235"/>
    </row>
    <row r="1279" spans="1:22" ht="15.75" x14ac:dyDescent="0.25">
      <c r="A1279" s="231"/>
      <c r="B1279" s="232"/>
      <c r="C1279" s="400"/>
      <c r="D1279" s="233"/>
      <c r="E1279" s="405"/>
      <c r="F1279" s="405"/>
      <c r="G1279" s="405"/>
      <c r="H1279" s="408">
        <f>ROUND(+E1279+F1279+G1279,4)</f>
        <v>0</v>
      </c>
      <c r="I1279" s="234"/>
      <c r="J1279" s="411"/>
      <c r="K1279" s="411"/>
      <c r="L1279" s="414">
        <v>0.1</v>
      </c>
      <c r="M1279" s="414">
        <f>ROUND(+L1279*C1279,4)</f>
        <v>0</v>
      </c>
      <c r="N1279" s="414"/>
      <c r="O1279" s="414"/>
      <c r="P1279" s="414"/>
      <c r="Q1279" s="419">
        <f>ROUND(+N1279+O1279+P1279,4)</f>
        <v>0</v>
      </c>
      <c r="R1279" s="419">
        <f>ROUND(IF(+Q1279-H1279&lt;=0,0,Q1279-H1279),4)</f>
        <v>0</v>
      </c>
      <c r="S1279" s="423">
        <v>0.5</v>
      </c>
      <c r="T1279" s="419">
        <f>ROUND(+(R1279*C1279)*S1279,4)</f>
        <v>0</v>
      </c>
      <c r="U1279" s="419">
        <f>ROUND(+J1279+M1279+T1279,4)</f>
        <v>0</v>
      </c>
      <c r="V1279" s="235"/>
    </row>
    <row r="1280" spans="1:22" ht="15.75" x14ac:dyDescent="0.25">
      <c r="A1280" s="231"/>
      <c r="B1280" s="232"/>
      <c r="C1280" s="400"/>
      <c r="D1280" s="233"/>
      <c r="E1280" s="405"/>
      <c r="F1280" s="405"/>
      <c r="G1280" s="405"/>
      <c r="H1280" s="408">
        <f>ROUND(+E1280+F1280+G1280,4)</f>
        <v>0</v>
      </c>
      <c r="I1280" s="234"/>
      <c r="J1280" s="411"/>
      <c r="K1280" s="411"/>
      <c r="L1280" s="414">
        <v>0.1</v>
      </c>
      <c r="M1280" s="414">
        <f>ROUND(+L1280*C1280,4)</f>
        <v>0</v>
      </c>
      <c r="N1280" s="414"/>
      <c r="O1280" s="414"/>
      <c r="P1280" s="414"/>
      <c r="Q1280" s="419">
        <f>ROUND(+N1280+O1280+P1280,4)</f>
        <v>0</v>
      </c>
      <c r="R1280" s="419">
        <f>ROUND(IF(+Q1280-H1280&lt;=0,0,Q1280-H1280),4)</f>
        <v>0</v>
      </c>
      <c r="S1280" s="423">
        <v>0.5</v>
      </c>
      <c r="T1280" s="419">
        <f>ROUND(+(R1280*C1280)*S1280,4)</f>
        <v>0</v>
      </c>
      <c r="U1280" s="419">
        <f>ROUND(+J1280+M1280+T1280,4)</f>
        <v>0</v>
      </c>
      <c r="V1280" s="235"/>
    </row>
    <row r="1281" spans="1:22" ht="15.75" x14ac:dyDescent="0.25">
      <c r="A1281" s="231"/>
      <c r="B1281" s="232"/>
      <c r="C1281" s="400"/>
      <c r="D1281" s="233"/>
      <c r="E1281" s="405"/>
      <c r="F1281" s="405"/>
      <c r="G1281" s="405"/>
      <c r="H1281" s="408">
        <f>ROUND(+E1281+F1281+G1281,4)</f>
        <v>0</v>
      </c>
      <c r="I1281" s="234"/>
      <c r="J1281" s="411"/>
      <c r="K1281" s="411"/>
      <c r="L1281" s="414">
        <v>0.1</v>
      </c>
      <c r="M1281" s="414">
        <f>ROUND(+L1281*C1281,4)</f>
        <v>0</v>
      </c>
      <c r="N1281" s="414"/>
      <c r="O1281" s="414"/>
      <c r="P1281" s="414"/>
      <c r="Q1281" s="419">
        <f>ROUND(+N1281+O1281+P1281,4)</f>
        <v>0</v>
      </c>
      <c r="R1281" s="419">
        <f>ROUND(IF(+Q1281-H1281&lt;=0,0,Q1281-H1281),4)</f>
        <v>0</v>
      </c>
      <c r="S1281" s="423">
        <v>0.5</v>
      </c>
      <c r="T1281" s="419">
        <f>ROUND(+(R1281*C1281)*S1281,4)</f>
        <v>0</v>
      </c>
      <c r="U1281" s="419">
        <f>ROUND(+J1281+M1281+T1281,4)</f>
        <v>0</v>
      </c>
      <c r="V1281" s="235"/>
    </row>
    <row r="1282" spans="1:22" ht="15.75" x14ac:dyDescent="0.25">
      <c r="A1282" s="231"/>
      <c r="B1282" s="232"/>
      <c r="C1282" s="400"/>
      <c r="D1282" s="233"/>
      <c r="E1282" s="405"/>
      <c r="F1282" s="405"/>
      <c r="G1282" s="405"/>
      <c r="H1282" s="408">
        <f>ROUND(+E1282+F1282+G1282,4)</f>
        <v>0</v>
      </c>
      <c r="I1282" s="234"/>
      <c r="J1282" s="411"/>
      <c r="K1282" s="411"/>
      <c r="L1282" s="414">
        <v>0.1</v>
      </c>
      <c r="M1282" s="414">
        <f>ROUND(+L1282*C1282,4)</f>
        <v>0</v>
      </c>
      <c r="N1282" s="414"/>
      <c r="O1282" s="414"/>
      <c r="P1282" s="414"/>
      <c r="Q1282" s="419">
        <f>ROUND(+N1282+O1282+P1282,4)</f>
        <v>0</v>
      </c>
      <c r="R1282" s="419">
        <f>ROUND(IF(+Q1282-H1282&lt;=0,0,Q1282-H1282),4)</f>
        <v>0</v>
      </c>
      <c r="S1282" s="423">
        <v>0.5</v>
      </c>
      <c r="T1282" s="419">
        <f>ROUND(+(R1282*C1282)*S1282,4)</f>
        <v>0</v>
      </c>
      <c r="U1282" s="419">
        <f>ROUND(+J1282+M1282+T1282,4)</f>
        <v>0</v>
      </c>
      <c r="V1282" s="235"/>
    </row>
    <row r="1283" spans="1:22" ht="15.75" x14ac:dyDescent="0.25">
      <c r="A1283" s="231"/>
      <c r="B1283" s="232"/>
      <c r="C1283" s="400"/>
      <c r="D1283" s="233"/>
      <c r="E1283" s="405"/>
      <c r="F1283" s="405"/>
      <c r="G1283" s="405"/>
      <c r="H1283" s="408">
        <f>ROUND(+E1283+F1283+G1283,4)</f>
        <v>0</v>
      </c>
      <c r="I1283" s="234"/>
      <c r="J1283" s="411"/>
      <c r="K1283" s="411"/>
      <c r="L1283" s="414">
        <v>0.1</v>
      </c>
      <c r="M1283" s="414">
        <f>ROUND(+L1283*C1283,4)</f>
        <v>0</v>
      </c>
      <c r="N1283" s="414"/>
      <c r="O1283" s="414"/>
      <c r="P1283" s="414"/>
      <c r="Q1283" s="419">
        <f>ROUND(+N1283+O1283+P1283,4)</f>
        <v>0</v>
      </c>
      <c r="R1283" s="419">
        <f>ROUND(IF(+Q1283-H1283&lt;=0,0,Q1283-H1283),4)</f>
        <v>0</v>
      </c>
      <c r="S1283" s="423">
        <v>0.5</v>
      </c>
      <c r="T1283" s="419">
        <f>ROUND(+(R1283*C1283)*S1283,4)</f>
        <v>0</v>
      </c>
      <c r="U1283" s="419">
        <f>ROUND(+J1283+M1283+T1283,4)</f>
        <v>0</v>
      </c>
      <c r="V1283" s="235"/>
    </row>
    <row r="1284" spans="1:22" ht="15.75" x14ac:dyDescent="0.25">
      <c r="A1284" s="231"/>
      <c r="B1284" s="232"/>
      <c r="C1284" s="400"/>
      <c r="D1284" s="233"/>
      <c r="E1284" s="405"/>
      <c r="F1284" s="405"/>
      <c r="G1284" s="405"/>
      <c r="H1284" s="408">
        <f>ROUND(+E1284+F1284+G1284,4)</f>
        <v>0</v>
      </c>
      <c r="I1284" s="234"/>
      <c r="J1284" s="411"/>
      <c r="K1284" s="411"/>
      <c r="L1284" s="414">
        <v>0.1</v>
      </c>
      <c r="M1284" s="414">
        <f>ROUND(+L1284*C1284,4)</f>
        <v>0</v>
      </c>
      <c r="N1284" s="414"/>
      <c r="O1284" s="414"/>
      <c r="P1284" s="414"/>
      <c r="Q1284" s="419">
        <f>ROUND(+N1284+O1284+P1284,4)</f>
        <v>0</v>
      </c>
      <c r="R1284" s="419">
        <f>ROUND(IF(+Q1284-H1284&lt;=0,0,Q1284-H1284),4)</f>
        <v>0</v>
      </c>
      <c r="S1284" s="423">
        <v>0.5</v>
      </c>
      <c r="T1284" s="419">
        <f>ROUND(+(R1284*C1284)*S1284,4)</f>
        <v>0</v>
      </c>
      <c r="U1284" s="419">
        <f>ROUND(+J1284+M1284+T1284,4)</f>
        <v>0</v>
      </c>
      <c r="V1284" s="235"/>
    </row>
    <row r="1285" spans="1:22" ht="15.75" x14ac:dyDescent="0.25">
      <c r="A1285" s="231"/>
      <c r="B1285" s="232"/>
      <c r="C1285" s="400"/>
      <c r="D1285" s="233"/>
      <c r="E1285" s="405"/>
      <c r="F1285" s="405"/>
      <c r="G1285" s="405"/>
      <c r="H1285" s="408">
        <f>ROUND(+E1285+F1285+G1285,4)</f>
        <v>0</v>
      </c>
      <c r="I1285" s="234"/>
      <c r="J1285" s="411"/>
      <c r="K1285" s="411"/>
      <c r="L1285" s="414">
        <v>0.1</v>
      </c>
      <c r="M1285" s="414">
        <f>ROUND(+L1285*C1285,4)</f>
        <v>0</v>
      </c>
      <c r="N1285" s="414"/>
      <c r="O1285" s="414"/>
      <c r="P1285" s="414"/>
      <c r="Q1285" s="419">
        <f>ROUND(+N1285+O1285+P1285,4)</f>
        <v>0</v>
      </c>
      <c r="R1285" s="419">
        <f>ROUND(IF(+Q1285-H1285&lt;=0,0,Q1285-H1285),4)</f>
        <v>0</v>
      </c>
      <c r="S1285" s="423">
        <v>0.5</v>
      </c>
      <c r="T1285" s="419">
        <f>ROUND(+(R1285*C1285)*S1285,4)</f>
        <v>0</v>
      </c>
      <c r="U1285" s="419">
        <f>ROUND(+J1285+M1285+T1285,4)</f>
        <v>0</v>
      </c>
      <c r="V1285" s="235"/>
    </row>
    <row r="1286" spans="1:22" ht="15.75" x14ac:dyDescent="0.25">
      <c r="A1286" s="231"/>
      <c r="B1286" s="232"/>
      <c r="C1286" s="400"/>
      <c r="D1286" s="233"/>
      <c r="E1286" s="405"/>
      <c r="F1286" s="405"/>
      <c r="G1286" s="405"/>
      <c r="H1286" s="408">
        <f>ROUND(+E1286+F1286+G1286,4)</f>
        <v>0</v>
      </c>
      <c r="I1286" s="234"/>
      <c r="J1286" s="411"/>
      <c r="K1286" s="411"/>
      <c r="L1286" s="414">
        <v>0.1</v>
      </c>
      <c r="M1286" s="414">
        <f>ROUND(+L1286*C1286,4)</f>
        <v>0</v>
      </c>
      <c r="N1286" s="414"/>
      <c r="O1286" s="414"/>
      <c r="P1286" s="414"/>
      <c r="Q1286" s="419">
        <f>ROUND(+N1286+O1286+P1286,4)</f>
        <v>0</v>
      </c>
      <c r="R1286" s="419">
        <f>ROUND(IF(+Q1286-H1286&lt;=0,0,Q1286-H1286),4)</f>
        <v>0</v>
      </c>
      <c r="S1286" s="423">
        <v>0.5</v>
      </c>
      <c r="T1286" s="419">
        <f>ROUND(+(R1286*C1286)*S1286,4)</f>
        <v>0</v>
      </c>
      <c r="U1286" s="419">
        <f>ROUND(+J1286+M1286+T1286,4)</f>
        <v>0</v>
      </c>
      <c r="V1286" s="235"/>
    </row>
    <row r="1287" spans="1:22" ht="15.75" x14ac:dyDescent="0.25">
      <c r="A1287" s="231"/>
      <c r="B1287" s="232"/>
      <c r="C1287" s="400"/>
      <c r="D1287" s="233"/>
      <c r="E1287" s="405"/>
      <c r="F1287" s="405"/>
      <c r="G1287" s="405"/>
      <c r="H1287" s="408">
        <f>ROUND(+E1287+F1287+G1287,4)</f>
        <v>0</v>
      </c>
      <c r="I1287" s="234"/>
      <c r="J1287" s="411"/>
      <c r="K1287" s="411"/>
      <c r="L1287" s="414">
        <v>0.1</v>
      </c>
      <c r="M1287" s="414">
        <f>ROUND(+L1287*C1287,4)</f>
        <v>0</v>
      </c>
      <c r="N1287" s="414"/>
      <c r="O1287" s="414"/>
      <c r="P1287" s="414"/>
      <c r="Q1287" s="419">
        <f>ROUND(+N1287+O1287+P1287,4)</f>
        <v>0</v>
      </c>
      <c r="R1287" s="419">
        <f>ROUND(IF(+Q1287-H1287&lt;=0,0,Q1287-H1287),4)</f>
        <v>0</v>
      </c>
      <c r="S1287" s="423">
        <v>0.5</v>
      </c>
      <c r="T1287" s="419">
        <f>ROUND(+(R1287*C1287)*S1287,4)</f>
        <v>0</v>
      </c>
      <c r="U1287" s="419">
        <f>ROUND(+J1287+M1287+T1287,4)</f>
        <v>0</v>
      </c>
      <c r="V1287" s="235"/>
    </row>
    <row r="1288" spans="1:22" ht="15.75" x14ac:dyDescent="0.25">
      <c r="A1288" s="231"/>
      <c r="B1288" s="232"/>
      <c r="C1288" s="400"/>
      <c r="D1288" s="233"/>
      <c r="E1288" s="405"/>
      <c r="F1288" s="405"/>
      <c r="G1288" s="405"/>
      <c r="H1288" s="408">
        <f>ROUND(+E1288+F1288+G1288,4)</f>
        <v>0</v>
      </c>
      <c r="I1288" s="234"/>
      <c r="J1288" s="411"/>
      <c r="K1288" s="411"/>
      <c r="L1288" s="414">
        <v>0.1</v>
      </c>
      <c r="M1288" s="414">
        <f>ROUND(+L1288*C1288,4)</f>
        <v>0</v>
      </c>
      <c r="N1288" s="414"/>
      <c r="O1288" s="414"/>
      <c r="P1288" s="414"/>
      <c r="Q1288" s="419">
        <f>ROUND(+N1288+O1288+P1288,4)</f>
        <v>0</v>
      </c>
      <c r="R1288" s="419">
        <f>ROUND(IF(+Q1288-H1288&lt;=0,0,Q1288-H1288),4)</f>
        <v>0</v>
      </c>
      <c r="S1288" s="423">
        <v>0.5</v>
      </c>
      <c r="T1288" s="419">
        <f>ROUND(+(R1288*C1288)*S1288,4)</f>
        <v>0</v>
      </c>
      <c r="U1288" s="419">
        <f>ROUND(+J1288+M1288+T1288,4)</f>
        <v>0</v>
      </c>
      <c r="V1288" s="235"/>
    </row>
    <row r="1289" spans="1:22" ht="15.75" x14ac:dyDescent="0.25">
      <c r="A1289" s="231"/>
      <c r="B1289" s="232"/>
      <c r="C1289" s="400"/>
      <c r="D1289" s="233"/>
      <c r="E1289" s="405"/>
      <c r="F1289" s="405"/>
      <c r="G1289" s="405"/>
      <c r="H1289" s="408">
        <f>ROUND(+E1289+F1289+G1289,4)</f>
        <v>0</v>
      </c>
      <c r="I1289" s="234"/>
      <c r="J1289" s="411"/>
      <c r="K1289" s="411"/>
      <c r="L1289" s="414">
        <v>0.1</v>
      </c>
      <c r="M1289" s="414">
        <f>ROUND(+L1289*C1289,4)</f>
        <v>0</v>
      </c>
      <c r="N1289" s="414"/>
      <c r="O1289" s="414"/>
      <c r="P1289" s="414"/>
      <c r="Q1289" s="419">
        <f>ROUND(+N1289+O1289+P1289,4)</f>
        <v>0</v>
      </c>
      <c r="R1289" s="419">
        <f>ROUND(IF(+Q1289-H1289&lt;=0,0,Q1289-H1289),4)</f>
        <v>0</v>
      </c>
      <c r="S1289" s="423">
        <v>0.5</v>
      </c>
      <c r="T1289" s="419">
        <f>ROUND(+(R1289*C1289)*S1289,4)</f>
        <v>0</v>
      </c>
      <c r="U1289" s="419">
        <f>ROUND(+J1289+M1289+T1289,4)</f>
        <v>0</v>
      </c>
      <c r="V1289" s="235"/>
    </row>
    <row r="1290" spans="1:22" ht="15.75" x14ac:dyDescent="0.25">
      <c r="A1290" s="231"/>
      <c r="B1290" s="232"/>
      <c r="C1290" s="400"/>
      <c r="D1290" s="233"/>
      <c r="E1290" s="405"/>
      <c r="F1290" s="405"/>
      <c r="G1290" s="405"/>
      <c r="H1290" s="408">
        <f>ROUND(+E1290+F1290+G1290,4)</f>
        <v>0</v>
      </c>
      <c r="I1290" s="234"/>
      <c r="J1290" s="411"/>
      <c r="K1290" s="411"/>
      <c r="L1290" s="414">
        <v>0.1</v>
      </c>
      <c r="M1290" s="414">
        <f>ROUND(+L1290*C1290,4)</f>
        <v>0</v>
      </c>
      <c r="N1290" s="414"/>
      <c r="O1290" s="414"/>
      <c r="P1290" s="414"/>
      <c r="Q1290" s="419">
        <f>ROUND(+N1290+O1290+P1290,4)</f>
        <v>0</v>
      </c>
      <c r="R1290" s="419">
        <f>ROUND(IF(+Q1290-H1290&lt;=0,0,Q1290-H1290),4)</f>
        <v>0</v>
      </c>
      <c r="S1290" s="423">
        <v>0.5</v>
      </c>
      <c r="T1290" s="419">
        <f>ROUND(+(R1290*C1290)*S1290,4)</f>
        <v>0</v>
      </c>
      <c r="U1290" s="419">
        <f>ROUND(+J1290+M1290+T1290,4)</f>
        <v>0</v>
      </c>
      <c r="V1290" s="235"/>
    </row>
    <row r="1291" spans="1:22" ht="15.75" x14ac:dyDescent="0.25">
      <c r="A1291" s="231"/>
      <c r="B1291" s="232"/>
      <c r="C1291" s="400"/>
      <c r="D1291" s="233"/>
      <c r="E1291" s="405"/>
      <c r="F1291" s="405"/>
      <c r="G1291" s="405"/>
      <c r="H1291" s="408">
        <f>ROUND(+E1291+F1291+G1291,4)</f>
        <v>0</v>
      </c>
      <c r="I1291" s="234"/>
      <c r="J1291" s="411"/>
      <c r="K1291" s="411"/>
      <c r="L1291" s="414">
        <v>0.1</v>
      </c>
      <c r="M1291" s="414">
        <f>ROUND(+L1291*C1291,4)</f>
        <v>0</v>
      </c>
      <c r="N1291" s="414"/>
      <c r="O1291" s="414"/>
      <c r="P1291" s="414"/>
      <c r="Q1291" s="419">
        <f>ROUND(+N1291+O1291+P1291,4)</f>
        <v>0</v>
      </c>
      <c r="R1291" s="419">
        <f>ROUND(IF(+Q1291-H1291&lt;=0,0,Q1291-H1291),4)</f>
        <v>0</v>
      </c>
      <c r="S1291" s="423">
        <v>0.5</v>
      </c>
      <c r="T1291" s="419">
        <f>ROUND(+(R1291*C1291)*S1291,4)</f>
        <v>0</v>
      </c>
      <c r="U1291" s="419">
        <f>ROUND(+J1291+M1291+T1291,4)</f>
        <v>0</v>
      </c>
      <c r="V1291" s="235"/>
    </row>
    <row r="1292" spans="1:22" ht="15.75" x14ac:dyDescent="0.25">
      <c r="A1292" s="231"/>
      <c r="B1292" s="232"/>
      <c r="C1292" s="400"/>
      <c r="D1292" s="233"/>
      <c r="E1292" s="405"/>
      <c r="F1292" s="405"/>
      <c r="G1292" s="405"/>
      <c r="H1292" s="408">
        <f>ROUND(+E1292+F1292+G1292,4)</f>
        <v>0</v>
      </c>
      <c r="I1292" s="234"/>
      <c r="J1292" s="411"/>
      <c r="K1292" s="411"/>
      <c r="L1292" s="414">
        <v>0.1</v>
      </c>
      <c r="M1292" s="414">
        <f>ROUND(+L1292*C1292,4)</f>
        <v>0</v>
      </c>
      <c r="N1292" s="414"/>
      <c r="O1292" s="414"/>
      <c r="P1292" s="414"/>
      <c r="Q1292" s="419">
        <f>ROUND(+N1292+O1292+P1292,4)</f>
        <v>0</v>
      </c>
      <c r="R1292" s="419">
        <f>ROUND(IF(+Q1292-H1292&lt;=0,0,Q1292-H1292),4)</f>
        <v>0</v>
      </c>
      <c r="S1292" s="423">
        <v>0.5</v>
      </c>
      <c r="T1292" s="419">
        <f>ROUND(+(R1292*C1292)*S1292,4)</f>
        <v>0</v>
      </c>
      <c r="U1292" s="419">
        <f>ROUND(+J1292+M1292+T1292,4)</f>
        <v>0</v>
      </c>
      <c r="V1292" s="235"/>
    </row>
    <row r="1293" spans="1:22" ht="15.75" x14ac:dyDescent="0.25">
      <c r="A1293" s="231"/>
      <c r="B1293" s="232"/>
      <c r="C1293" s="400"/>
      <c r="D1293" s="233"/>
      <c r="E1293" s="405"/>
      <c r="F1293" s="405"/>
      <c r="G1293" s="405"/>
      <c r="H1293" s="408">
        <f>ROUND(+E1293+F1293+G1293,4)</f>
        <v>0</v>
      </c>
      <c r="I1293" s="234"/>
      <c r="J1293" s="411"/>
      <c r="K1293" s="411"/>
      <c r="L1293" s="414">
        <v>0.1</v>
      </c>
      <c r="M1293" s="414">
        <f>ROUND(+L1293*C1293,4)</f>
        <v>0</v>
      </c>
      <c r="N1293" s="414"/>
      <c r="O1293" s="414"/>
      <c r="P1293" s="414"/>
      <c r="Q1293" s="419">
        <f>ROUND(+N1293+O1293+P1293,4)</f>
        <v>0</v>
      </c>
      <c r="R1293" s="419">
        <f>ROUND(IF(+Q1293-H1293&lt;=0,0,Q1293-H1293),4)</f>
        <v>0</v>
      </c>
      <c r="S1293" s="423">
        <v>0.5</v>
      </c>
      <c r="T1293" s="419">
        <f>ROUND(+(R1293*C1293)*S1293,4)</f>
        <v>0</v>
      </c>
      <c r="U1293" s="419">
        <f>ROUND(+J1293+M1293+T1293,4)</f>
        <v>0</v>
      </c>
      <c r="V1293" s="235"/>
    </row>
    <row r="1294" spans="1:22" ht="15.75" x14ac:dyDescent="0.25">
      <c r="A1294" s="231"/>
      <c r="B1294" s="232"/>
      <c r="C1294" s="400"/>
      <c r="D1294" s="233"/>
      <c r="E1294" s="405"/>
      <c r="F1294" s="405"/>
      <c r="G1294" s="405"/>
      <c r="H1294" s="408">
        <f>ROUND(+E1294+F1294+G1294,4)</f>
        <v>0</v>
      </c>
      <c r="I1294" s="234"/>
      <c r="J1294" s="411"/>
      <c r="K1294" s="411"/>
      <c r="L1294" s="414">
        <v>0.1</v>
      </c>
      <c r="M1294" s="414">
        <f>ROUND(+L1294*C1294,4)</f>
        <v>0</v>
      </c>
      <c r="N1294" s="414"/>
      <c r="O1294" s="414"/>
      <c r="P1294" s="414"/>
      <c r="Q1294" s="419">
        <f>ROUND(+N1294+O1294+P1294,4)</f>
        <v>0</v>
      </c>
      <c r="R1294" s="419">
        <f>ROUND(IF(+Q1294-H1294&lt;=0,0,Q1294-H1294),4)</f>
        <v>0</v>
      </c>
      <c r="S1294" s="423">
        <v>0.5</v>
      </c>
      <c r="T1294" s="419">
        <f>ROUND(+(R1294*C1294)*S1294,4)</f>
        <v>0</v>
      </c>
      <c r="U1294" s="419">
        <f>ROUND(+J1294+M1294+T1294,4)</f>
        <v>0</v>
      </c>
      <c r="V1294" s="235"/>
    </row>
    <row r="1295" spans="1:22" ht="15.75" x14ac:dyDescent="0.25">
      <c r="A1295" s="231"/>
      <c r="B1295" s="232"/>
      <c r="C1295" s="400"/>
      <c r="D1295" s="233"/>
      <c r="E1295" s="405"/>
      <c r="F1295" s="405"/>
      <c r="G1295" s="405"/>
      <c r="H1295" s="408">
        <f>ROUND(+E1295+F1295+G1295,4)</f>
        <v>0</v>
      </c>
      <c r="I1295" s="234"/>
      <c r="J1295" s="411"/>
      <c r="K1295" s="411"/>
      <c r="L1295" s="414">
        <v>0.1</v>
      </c>
      <c r="M1295" s="414">
        <f>ROUND(+L1295*C1295,4)</f>
        <v>0</v>
      </c>
      <c r="N1295" s="414"/>
      <c r="O1295" s="414"/>
      <c r="P1295" s="414"/>
      <c r="Q1295" s="419">
        <f>ROUND(+N1295+O1295+P1295,4)</f>
        <v>0</v>
      </c>
      <c r="R1295" s="419">
        <f>ROUND(IF(+Q1295-H1295&lt;=0,0,Q1295-H1295),4)</f>
        <v>0</v>
      </c>
      <c r="S1295" s="423">
        <v>0.5</v>
      </c>
      <c r="T1295" s="419">
        <f>ROUND(+(R1295*C1295)*S1295,4)</f>
        <v>0</v>
      </c>
      <c r="U1295" s="419">
        <f>ROUND(+J1295+M1295+T1295,4)</f>
        <v>0</v>
      </c>
      <c r="V1295" s="235"/>
    </row>
    <row r="1296" spans="1:22" ht="15.75" x14ac:dyDescent="0.25">
      <c r="A1296" s="231"/>
      <c r="B1296" s="232"/>
      <c r="C1296" s="400"/>
      <c r="D1296" s="233"/>
      <c r="E1296" s="405"/>
      <c r="F1296" s="405"/>
      <c r="G1296" s="405"/>
      <c r="H1296" s="408">
        <f>ROUND(+E1296+F1296+G1296,4)</f>
        <v>0</v>
      </c>
      <c r="I1296" s="234"/>
      <c r="J1296" s="411"/>
      <c r="K1296" s="411"/>
      <c r="L1296" s="414">
        <v>0.1</v>
      </c>
      <c r="M1296" s="414">
        <f>ROUND(+L1296*C1296,4)</f>
        <v>0</v>
      </c>
      <c r="N1296" s="414"/>
      <c r="O1296" s="414"/>
      <c r="P1296" s="414"/>
      <c r="Q1296" s="419">
        <f>ROUND(+N1296+O1296+P1296,4)</f>
        <v>0</v>
      </c>
      <c r="R1296" s="419">
        <f>ROUND(IF(+Q1296-H1296&lt;=0,0,Q1296-H1296),4)</f>
        <v>0</v>
      </c>
      <c r="S1296" s="423">
        <v>0.5</v>
      </c>
      <c r="T1296" s="419">
        <f>ROUND(+(R1296*C1296)*S1296,4)</f>
        <v>0</v>
      </c>
      <c r="U1296" s="419">
        <f>ROUND(+J1296+M1296+T1296,4)</f>
        <v>0</v>
      </c>
      <c r="V1296" s="235"/>
    </row>
    <row r="1297" spans="1:22" ht="15.75" x14ac:dyDescent="0.25">
      <c r="A1297" s="231"/>
      <c r="B1297" s="232"/>
      <c r="C1297" s="400"/>
      <c r="D1297" s="233"/>
      <c r="E1297" s="405"/>
      <c r="F1297" s="405"/>
      <c r="G1297" s="405"/>
      <c r="H1297" s="408">
        <f>ROUND(+E1297+F1297+G1297,4)</f>
        <v>0</v>
      </c>
      <c r="I1297" s="234"/>
      <c r="J1297" s="411"/>
      <c r="K1297" s="411"/>
      <c r="L1297" s="414">
        <v>0.1</v>
      </c>
      <c r="M1297" s="414">
        <f>ROUND(+L1297*C1297,4)</f>
        <v>0</v>
      </c>
      <c r="N1297" s="414"/>
      <c r="O1297" s="414"/>
      <c r="P1297" s="414"/>
      <c r="Q1297" s="419">
        <f>ROUND(+N1297+O1297+P1297,4)</f>
        <v>0</v>
      </c>
      <c r="R1297" s="419">
        <f>ROUND(IF(+Q1297-H1297&lt;=0,0,Q1297-H1297),4)</f>
        <v>0</v>
      </c>
      <c r="S1297" s="423">
        <v>0.5</v>
      </c>
      <c r="T1297" s="419">
        <f>ROUND(+(R1297*C1297)*S1297,4)</f>
        <v>0</v>
      </c>
      <c r="U1297" s="419">
        <f>ROUND(+J1297+M1297+T1297,4)</f>
        <v>0</v>
      </c>
      <c r="V1297" s="235"/>
    </row>
    <row r="1298" spans="1:22" ht="15.75" x14ac:dyDescent="0.25">
      <c r="A1298" s="231"/>
      <c r="B1298" s="232"/>
      <c r="C1298" s="400"/>
      <c r="D1298" s="233"/>
      <c r="E1298" s="405"/>
      <c r="F1298" s="405"/>
      <c r="G1298" s="405"/>
      <c r="H1298" s="408">
        <f>ROUND(+E1298+F1298+G1298,4)</f>
        <v>0</v>
      </c>
      <c r="I1298" s="234"/>
      <c r="J1298" s="411"/>
      <c r="K1298" s="411"/>
      <c r="L1298" s="414">
        <v>0.1</v>
      </c>
      <c r="M1298" s="414">
        <f>ROUND(+L1298*C1298,4)</f>
        <v>0</v>
      </c>
      <c r="N1298" s="414"/>
      <c r="O1298" s="414"/>
      <c r="P1298" s="414"/>
      <c r="Q1298" s="419">
        <f>ROUND(+N1298+O1298+P1298,4)</f>
        <v>0</v>
      </c>
      <c r="R1298" s="419">
        <f>ROUND(IF(+Q1298-H1298&lt;=0,0,Q1298-H1298),4)</f>
        <v>0</v>
      </c>
      <c r="S1298" s="423">
        <v>0.5</v>
      </c>
      <c r="T1298" s="419">
        <f>ROUND(+(R1298*C1298)*S1298,4)</f>
        <v>0</v>
      </c>
      <c r="U1298" s="419">
        <f>ROUND(+J1298+M1298+T1298,4)</f>
        <v>0</v>
      </c>
      <c r="V1298" s="235"/>
    </row>
    <row r="1299" spans="1:22" ht="15.75" x14ac:dyDescent="0.25">
      <c r="A1299" s="231"/>
      <c r="B1299" s="232"/>
      <c r="C1299" s="400"/>
      <c r="D1299" s="233"/>
      <c r="E1299" s="405"/>
      <c r="F1299" s="405"/>
      <c r="G1299" s="405"/>
      <c r="H1299" s="408">
        <f>ROUND(+E1299+F1299+G1299,4)</f>
        <v>0</v>
      </c>
      <c r="I1299" s="234"/>
      <c r="J1299" s="411"/>
      <c r="K1299" s="411"/>
      <c r="L1299" s="414">
        <v>0.1</v>
      </c>
      <c r="M1299" s="414">
        <f>ROUND(+L1299*C1299,4)</f>
        <v>0</v>
      </c>
      <c r="N1299" s="414"/>
      <c r="O1299" s="414"/>
      <c r="P1299" s="414"/>
      <c r="Q1299" s="419">
        <f>ROUND(+N1299+O1299+P1299,4)</f>
        <v>0</v>
      </c>
      <c r="R1299" s="419">
        <f>ROUND(IF(+Q1299-H1299&lt;=0,0,Q1299-H1299),4)</f>
        <v>0</v>
      </c>
      <c r="S1299" s="423">
        <v>0.5</v>
      </c>
      <c r="T1299" s="419">
        <f>ROUND(+(R1299*C1299)*S1299,4)</f>
        <v>0</v>
      </c>
      <c r="U1299" s="419">
        <f>ROUND(+J1299+M1299+T1299,4)</f>
        <v>0</v>
      </c>
      <c r="V1299" s="235"/>
    </row>
    <row r="1300" spans="1:22" ht="15.75" x14ac:dyDescent="0.25">
      <c r="A1300" s="231"/>
      <c r="B1300" s="232"/>
      <c r="C1300" s="400"/>
      <c r="D1300" s="233"/>
      <c r="E1300" s="405"/>
      <c r="F1300" s="405"/>
      <c r="G1300" s="405"/>
      <c r="H1300" s="408">
        <f>ROUND(+E1300+F1300+G1300,4)</f>
        <v>0</v>
      </c>
      <c r="I1300" s="234"/>
      <c r="J1300" s="411"/>
      <c r="K1300" s="411"/>
      <c r="L1300" s="414">
        <v>0.1</v>
      </c>
      <c r="M1300" s="414">
        <f>ROUND(+L1300*C1300,4)</f>
        <v>0</v>
      </c>
      <c r="N1300" s="414"/>
      <c r="O1300" s="414"/>
      <c r="P1300" s="414"/>
      <c r="Q1300" s="419">
        <f>ROUND(+N1300+O1300+P1300,4)</f>
        <v>0</v>
      </c>
      <c r="R1300" s="419">
        <f>ROUND(IF(+Q1300-H1300&lt;=0,0,Q1300-H1300),4)</f>
        <v>0</v>
      </c>
      <c r="S1300" s="423">
        <v>0.5</v>
      </c>
      <c r="T1300" s="419">
        <f>ROUND(+(R1300*C1300)*S1300,4)</f>
        <v>0</v>
      </c>
      <c r="U1300" s="419">
        <f>ROUND(+J1300+M1300+T1300,4)</f>
        <v>0</v>
      </c>
      <c r="V1300" s="235"/>
    </row>
    <row r="1301" spans="1:22" ht="15.75" x14ac:dyDescent="0.25">
      <c r="A1301" s="231"/>
      <c r="B1301" s="232"/>
      <c r="C1301" s="400"/>
      <c r="D1301" s="233"/>
      <c r="E1301" s="405"/>
      <c r="F1301" s="405"/>
      <c r="G1301" s="405"/>
      <c r="H1301" s="408">
        <f>ROUND(+E1301+F1301+G1301,4)</f>
        <v>0</v>
      </c>
      <c r="I1301" s="234"/>
      <c r="J1301" s="411"/>
      <c r="K1301" s="411"/>
      <c r="L1301" s="414">
        <v>0.1</v>
      </c>
      <c r="M1301" s="414">
        <f>ROUND(+L1301*C1301,4)</f>
        <v>0</v>
      </c>
      <c r="N1301" s="414"/>
      <c r="O1301" s="414"/>
      <c r="P1301" s="414"/>
      <c r="Q1301" s="419">
        <f>ROUND(+N1301+O1301+P1301,4)</f>
        <v>0</v>
      </c>
      <c r="R1301" s="419">
        <f>ROUND(IF(+Q1301-H1301&lt;=0,0,Q1301-H1301),4)</f>
        <v>0</v>
      </c>
      <c r="S1301" s="423">
        <v>0.5</v>
      </c>
      <c r="T1301" s="419">
        <f>ROUND(+(R1301*C1301)*S1301,4)</f>
        <v>0</v>
      </c>
      <c r="U1301" s="419">
        <f>ROUND(+J1301+M1301+T1301,4)</f>
        <v>0</v>
      </c>
      <c r="V1301" s="235"/>
    </row>
    <row r="1302" spans="1:22" ht="15.75" x14ac:dyDescent="0.25">
      <c r="A1302" s="231"/>
      <c r="B1302" s="232"/>
      <c r="C1302" s="400"/>
      <c r="D1302" s="233"/>
      <c r="E1302" s="405"/>
      <c r="F1302" s="405"/>
      <c r="G1302" s="405"/>
      <c r="H1302" s="408">
        <f>ROUND(+E1302+F1302+G1302,4)</f>
        <v>0</v>
      </c>
      <c r="I1302" s="234"/>
      <c r="J1302" s="411"/>
      <c r="K1302" s="411"/>
      <c r="L1302" s="414">
        <v>0.1</v>
      </c>
      <c r="M1302" s="414">
        <f>ROUND(+L1302*C1302,4)</f>
        <v>0</v>
      </c>
      <c r="N1302" s="414"/>
      <c r="O1302" s="414"/>
      <c r="P1302" s="414"/>
      <c r="Q1302" s="419">
        <f>ROUND(+N1302+O1302+P1302,4)</f>
        <v>0</v>
      </c>
      <c r="R1302" s="419">
        <f>ROUND(IF(+Q1302-H1302&lt;=0,0,Q1302-H1302),4)</f>
        <v>0</v>
      </c>
      <c r="S1302" s="423">
        <v>0.5</v>
      </c>
      <c r="T1302" s="419">
        <f>ROUND(+(R1302*C1302)*S1302,4)</f>
        <v>0</v>
      </c>
      <c r="U1302" s="419">
        <f>ROUND(+J1302+M1302+T1302,4)</f>
        <v>0</v>
      </c>
      <c r="V1302" s="235"/>
    </row>
    <row r="1303" spans="1:22" ht="15.75" x14ac:dyDescent="0.25">
      <c r="A1303" s="231"/>
      <c r="B1303" s="232"/>
      <c r="C1303" s="400"/>
      <c r="D1303" s="233"/>
      <c r="E1303" s="405"/>
      <c r="F1303" s="405"/>
      <c r="G1303" s="405"/>
      <c r="H1303" s="408">
        <f>ROUND(+E1303+F1303+G1303,4)</f>
        <v>0</v>
      </c>
      <c r="I1303" s="234"/>
      <c r="J1303" s="411"/>
      <c r="K1303" s="411"/>
      <c r="L1303" s="414">
        <v>0.1</v>
      </c>
      <c r="M1303" s="414">
        <f>ROUND(+L1303*C1303,4)</f>
        <v>0</v>
      </c>
      <c r="N1303" s="414"/>
      <c r="O1303" s="414"/>
      <c r="P1303" s="414"/>
      <c r="Q1303" s="419">
        <f>ROUND(+N1303+O1303+P1303,4)</f>
        <v>0</v>
      </c>
      <c r="R1303" s="419">
        <f>ROUND(IF(+Q1303-H1303&lt;=0,0,Q1303-H1303),4)</f>
        <v>0</v>
      </c>
      <c r="S1303" s="423">
        <v>0.5</v>
      </c>
      <c r="T1303" s="419">
        <f>ROUND(+(R1303*C1303)*S1303,4)</f>
        <v>0</v>
      </c>
      <c r="U1303" s="419">
        <f>ROUND(+J1303+M1303+T1303,4)</f>
        <v>0</v>
      </c>
      <c r="V1303" s="235"/>
    </row>
    <row r="1304" spans="1:22" ht="15.75" x14ac:dyDescent="0.25">
      <c r="A1304" s="231"/>
      <c r="B1304" s="232"/>
      <c r="C1304" s="400"/>
      <c r="D1304" s="233"/>
      <c r="E1304" s="405"/>
      <c r="F1304" s="405"/>
      <c r="G1304" s="405"/>
      <c r="H1304" s="408">
        <f>ROUND(+E1304+F1304+G1304,4)</f>
        <v>0</v>
      </c>
      <c r="I1304" s="234"/>
      <c r="J1304" s="411"/>
      <c r="K1304" s="411"/>
      <c r="L1304" s="414">
        <v>0.1</v>
      </c>
      <c r="M1304" s="414">
        <f>ROUND(+L1304*C1304,4)</f>
        <v>0</v>
      </c>
      <c r="N1304" s="414"/>
      <c r="O1304" s="414"/>
      <c r="P1304" s="414"/>
      <c r="Q1304" s="419">
        <f>ROUND(+N1304+O1304+P1304,4)</f>
        <v>0</v>
      </c>
      <c r="R1304" s="419">
        <f>ROUND(IF(+Q1304-H1304&lt;=0,0,Q1304-H1304),4)</f>
        <v>0</v>
      </c>
      <c r="S1304" s="423">
        <v>0.5</v>
      </c>
      <c r="T1304" s="419">
        <f>ROUND(+(R1304*C1304)*S1304,4)</f>
        <v>0</v>
      </c>
      <c r="U1304" s="419">
        <f>ROUND(+J1304+M1304+T1304,4)</f>
        <v>0</v>
      </c>
      <c r="V1304" s="235"/>
    </row>
    <row r="1305" spans="1:22" ht="15.75" x14ac:dyDescent="0.25">
      <c r="A1305" s="231"/>
      <c r="B1305" s="232"/>
      <c r="C1305" s="400"/>
      <c r="D1305" s="233"/>
      <c r="E1305" s="405"/>
      <c r="F1305" s="405"/>
      <c r="G1305" s="405"/>
      <c r="H1305" s="408">
        <f>ROUND(+E1305+F1305+G1305,4)</f>
        <v>0</v>
      </c>
      <c r="I1305" s="234"/>
      <c r="J1305" s="411"/>
      <c r="K1305" s="411"/>
      <c r="L1305" s="414">
        <v>0.1</v>
      </c>
      <c r="M1305" s="414">
        <f>ROUND(+L1305*C1305,4)</f>
        <v>0</v>
      </c>
      <c r="N1305" s="414"/>
      <c r="O1305" s="414"/>
      <c r="P1305" s="414"/>
      <c r="Q1305" s="419">
        <f>ROUND(+N1305+O1305+P1305,4)</f>
        <v>0</v>
      </c>
      <c r="R1305" s="419">
        <f>ROUND(IF(+Q1305-H1305&lt;=0,0,Q1305-H1305),4)</f>
        <v>0</v>
      </c>
      <c r="S1305" s="423">
        <v>0.5</v>
      </c>
      <c r="T1305" s="419">
        <f>ROUND(+(R1305*C1305)*S1305,4)</f>
        <v>0</v>
      </c>
      <c r="U1305" s="419">
        <f>ROUND(+J1305+M1305+T1305,4)</f>
        <v>0</v>
      </c>
      <c r="V1305" s="235"/>
    </row>
    <row r="1306" spans="1:22" ht="15.75" x14ac:dyDescent="0.25">
      <c r="A1306" s="231"/>
      <c r="B1306" s="232"/>
      <c r="C1306" s="400"/>
      <c r="D1306" s="233"/>
      <c r="E1306" s="405"/>
      <c r="F1306" s="405"/>
      <c r="G1306" s="405"/>
      <c r="H1306" s="408">
        <f>ROUND(+E1306+F1306+G1306,4)</f>
        <v>0</v>
      </c>
      <c r="I1306" s="234"/>
      <c r="J1306" s="411"/>
      <c r="K1306" s="411"/>
      <c r="L1306" s="414">
        <v>0.1</v>
      </c>
      <c r="M1306" s="414">
        <f>ROUND(+L1306*C1306,4)</f>
        <v>0</v>
      </c>
      <c r="N1306" s="414"/>
      <c r="O1306" s="414"/>
      <c r="P1306" s="414"/>
      <c r="Q1306" s="419">
        <f>ROUND(+N1306+O1306+P1306,4)</f>
        <v>0</v>
      </c>
      <c r="R1306" s="419">
        <f>ROUND(IF(+Q1306-H1306&lt;=0,0,Q1306-H1306),4)</f>
        <v>0</v>
      </c>
      <c r="S1306" s="423">
        <v>0.5</v>
      </c>
      <c r="T1306" s="419">
        <f>ROUND(+(R1306*C1306)*S1306,4)</f>
        <v>0</v>
      </c>
      <c r="U1306" s="419">
        <f>ROUND(+J1306+M1306+T1306,4)</f>
        <v>0</v>
      </c>
      <c r="V1306" s="235"/>
    </row>
    <row r="1307" spans="1:22" ht="15.75" x14ac:dyDescent="0.25">
      <c r="A1307" s="231"/>
      <c r="B1307" s="232"/>
      <c r="C1307" s="400"/>
      <c r="D1307" s="233"/>
      <c r="E1307" s="405"/>
      <c r="F1307" s="405"/>
      <c r="G1307" s="405"/>
      <c r="H1307" s="408">
        <f>ROUND(+E1307+F1307+G1307,4)</f>
        <v>0</v>
      </c>
      <c r="I1307" s="234"/>
      <c r="J1307" s="411"/>
      <c r="K1307" s="411"/>
      <c r="L1307" s="414">
        <v>0.1</v>
      </c>
      <c r="M1307" s="414">
        <f>ROUND(+L1307*C1307,4)</f>
        <v>0</v>
      </c>
      <c r="N1307" s="414"/>
      <c r="O1307" s="414"/>
      <c r="P1307" s="414"/>
      <c r="Q1307" s="419">
        <f>ROUND(+N1307+O1307+P1307,4)</f>
        <v>0</v>
      </c>
      <c r="R1307" s="419">
        <f>ROUND(IF(+Q1307-H1307&lt;=0,0,Q1307-H1307),4)</f>
        <v>0</v>
      </c>
      <c r="S1307" s="423">
        <v>0.5</v>
      </c>
      <c r="T1307" s="419">
        <f>ROUND(+(R1307*C1307)*S1307,4)</f>
        <v>0</v>
      </c>
      <c r="U1307" s="419">
        <f>ROUND(+J1307+M1307+T1307,4)</f>
        <v>0</v>
      </c>
      <c r="V1307" s="235"/>
    </row>
    <row r="1308" spans="1:22" ht="15.75" x14ac:dyDescent="0.25">
      <c r="A1308" s="231"/>
      <c r="B1308" s="232"/>
      <c r="C1308" s="400"/>
      <c r="D1308" s="233"/>
      <c r="E1308" s="405"/>
      <c r="F1308" s="405"/>
      <c r="G1308" s="405"/>
      <c r="H1308" s="408">
        <f>ROUND(+E1308+F1308+G1308,4)</f>
        <v>0</v>
      </c>
      <c r="I1308" s="234"/>
      <c r="J1308" s="411"/>
      <c r="K1308" s="411"/>
      <c r="L1308" s="414">
        <v>0.1</v>
      </c>
      <c r="M1308" s="414">
        <f>ROUND(+L1308*C1308,4)</f>
        <v>0</v>
      </c>
      <c r="N1308" s="414"/>
      <c r="O1308" s="414"/>
      <c r="P1308" s="414"/>
      <c r="Q1308" s="419">
        <f>ROUND(+N1308+O1308+P1308,4)</f>
        <v>0</v>
      </c>
      <c r="R1308" s="419">
        <f>ROUND(IF(+Q1308-H1308&lt;=0,0,Q1308-H1308),4)</f>
        <v>0</v>
      </c>
      <c r="S1308" s="423">
        <v>0.5</v>
      </c>
      <c r="T1308" s="419">
        <f>ROUND(+(R1308*C1308)*S1308,4)</f>
        <v>0</v>
      </c>
      <c r="U1308" s="419">
        <f>ROUND(+J1308+M1308+T1308,4)</f>
        <v>0</v>
      </c>
      <c r="V1308" s="235"/>
    </row>
    <row r="1309" spans="1:22" ht="15.75" x14ac:dyDescent="0.25">
      <c r="A1309" s="231"/>
      <c r="B1309" s="232"/>
      <c r="C1309" s="400"/>
      <c r="D1309" s="233"/>
      <c r="E1309" s="405"/>
      <c r="F1309" s="405"/>
      <c r="G1309" s="405"/>
      <c r="H1309" s="408">
        <f>ROUND(+E1309+F1309+G1309,4)</f>
        <v>0</v>
      </c>
      <c r="I1309" s="234"/>
      <c r="J1309" s="411"/>
      <c r="K1309" s="411"/>
      <c r="L1309" s="414">
        <v>0.1</v>
      </c>
      <c r="M1309" s="414">
        <f>ROUND(+L1309*C1309,4)</f>
        <v>0</v>
      </c>
      <c r="N1309" s="414"/>
      <c r="O1309" s="414"/>
      <c r="P1309" s="414"/>
      <c r="Q1309" s="419">
        <f>ROUND(+N1309+O1309+P1309,4)</f>
        <v>0</v>
      </c>
      <c r="R1309" s="419">
        <f>ROUND(IF(+Q1309-H1309&lt;=0,0,Q1309-H1309),4)</f>
        <v>0</v>
      </c>
      <c r="S1309" s="423">
        <v>0.5</v>
      </c>
      <c r="T1309" s="419">
        <f>ROUND(+(R1309*C1309)*S1309,4)</f>
        <v>0</v>
      </c>
      <c r="U1309" s="419">
        <f>ROUND(+J1309+M1309+T1309,4)</f>
        <v>0</v>
      </c>
      <c r="V1309" s="235"/>
    </row>
    <row r="1310" spans="1:22" ht="15.75" x14ac:dyDescent="0.25">
      <c r="A1310" s="231"/>
      <c r="B1310" s="232"/>
      <c r="C1310" s="400"/>
      <c r="D1310" s="233"/>
      <c r="E1310" s="405"/>
      <c r="F1310" s="405"/>
      <c r="G1310" s="405"/>
      <c r="H1310" s="408">
        <f>ROUND(+E1310+F1310+G1310,4)</f>
        <v>0</v>
      </c>
      <c r="I1310" s="234"/>
      <c r="J1310" s="411"/>
      <c r="K1310" s="411"/>
      <c r="L1310" s="414">
        <v>0.1</v>
      </c>
      <c r="M1310" s="414">
        <f>ROUND(+L1310*C1310,4)</f>
        <v>0</v>
      </c>
      <c r="N1310" s="414"/>
      <c r="O1310" s="414"/>
      <c r="P1310" s="414"/>
      <c r="Q1310" s="419">
        <f>ROUND(+N1310+O1310+P1310,4)</f>
        <v>0</v>
      </c>
      <c r="R1310" s="419">
        <f>ROUND(IF(+Q1310-H1310&lt;=0,0,Q1310-H1310),4)</f>
        <v>0</v>
      </c>
      <c r="S1310" s="423">
        <v>0.5</v>
      </c>
      <c r="T1310" s="419">
        <f>ROUND(+(R1310*C1310)*S1310,4)</f>
        <v>0</v>
      </c>
      <c r="U1310" s="419">
        <f>ROUND(+J1310+M1310+T1310,4)</f>
        <v>0</v>
      </c>
      <c r="V1310" s="235"/>
    </row>
    <row r="1311" spans="1:22" ht="15.75" x14ac:dyDescent="0.25">
      <c r="A1311" s="231"/>
      <c r="B1311" s="232"/>
      <c r="C1311" s="400"/>
      <c r="D1311" s="233"/>
      <c r="E1311" s="405"/>
      <c r="F1311" s="405"/>
      <c r="G1311" s="405"/>
      <c r="H1311" s="408">
        <f>ROUND(+E1311+F1311+G1311,4)</f>
        <v>0</v>
      </c>
      <c r="I1311" s="234"/>
      <c r="J1311" s="411"/>
      <c r="K1311" s="411"/>
      <c r="L1311" s="414">
        <v>0.1</v>
      </c>
      <c r="M1311" s="414">
        <f>ROUND(+L1311*C1311,4)</f>
        <v>0</v>
      </c>
      <c r="N1311" s="414"/>
      <c r="O1311" s="414"/>
      <c r="P1311" s="414"/>
      <c r="Q1311" s="419">
        <f>ROUND(+N1311+O1311+P1311,4)</f>
        <v>0</v>
      </c>
      <c r="R1311" s="419">
        <f>ROUND(IF(+Q1311-H1311&lt;=0,0,Q1311-H1311),4)</f>
        <v>0</v>
      </c>
      <c r="S1311" s="423">
        <v>0.5</v>
      </c>
      <c r="T1311" s="419">
        <f>ROUND(+(R1311*C1311)*S1311,4)</f>
        <v>0</v>
      </c>
      <c r="U1311" s="419">
        <f>ROUND(+J1311+M1311+T1311,4)</f>
        <v>0</v>
      </c>
      <c r="V1311" s="235"/>
    </row>
    <row r="1312" spans="1:22" ht="15.75" x14ac:dyDescent="0.25">
      <c r="A1312" s="231"/>
      <c r="B1312" s="232"/>
      <c r="C1312" s="400"/>
      <c r="D1312" s="233"/>
      <c r="E1312" s="405"/>
      <c r="F1312" s="405"/>
      <c r="G1312" s="405"/>
      <c r="H1312" s="408">
        <f>ROUND(+E1312+F1312+G1312,4)</f>
        <v>0</v>
      </c>
      <c r="I1312" s="234"/>
      <c r="J1312" s="411"/>
      <c r="K1312" s="411"/>
      <c r="L1312" s="414">
        <v>0.1</v>
      </c>
      <c r="M1312" s="414">
        <f>ROUND(+L1312*C1312,4)</f>
        <v>0</v>
      </c>
      <c r="N1312" s="414"/>
      <c r="O1312" s="414"/>
      <c r="P1312" s="414"/>
      <c r="Q1312" s="419">
        <f>ROUND(+N1312+O1312+P1312,4)</f>
        <v>0</v>
      </c>
      <c r="R1312" s="419">
        <f>ROUND(IF(+Q1312-H1312&lt;=0,0,Q1312-H1312),4)</f>
        <v>0</v>
      </c>
      <c r="S1312" s="423">
        <v>0.5</v>
      </c>
      <c r="T1312" s="419">
        <f>ROUND(+(R1312*C1312)*S1312,4)</f>
        <v>0</v>
      </c>
      <c r="U1312" s="419">
        <f>ROUND(+J1312+M1312+T1312,4)</f>
        <v>0</v>
      </c>
      <c r="V1312" s="235"/>
    </row>
    <row r="1313" spans="1:22" ht="15.75" x14ac:dyDescent="0.25">
      <c r="A1313" s="231"/>
      <c r="B1313" s="232"/>
      <c r="C1313" s="400"/>
      <c r="D1313" s="233"/>
      <c r="E1313" s="405"/>
      <c r="F1313" s="405"/>
      <c r="G1313" s="405"/>
      <c r="H1313" s="408">
        <f>ROUND(+E1313+F1313+G1313,4)</f>
        <v>0</v>
      </c>
      <c r="I1313" s="234"/>
      <c r="J1313" s="411"/>
      <c r="K1313" s="411"/>
      <c r="L1313" s="414">
        <v>0.1</v>
      </c>
      <c r="M1313" s="414">
        <f>ROUND(+L1313*C1313,4)</f>
        <v>0</v>
      </c>
      <c r="N1313" s="414"/>
      <c r="O1313" s="414"/>
      <c r="P1313" s="414"/>
      <c r="Q1313" s="419">
        <f>ROUND(+N1313+O1313+P1313,4)</f>
        <v>0</v>
      </c>
      <c r="R1313" s="419">
        <f>ROUND(IF(+Q1313-H1313&lt;=0,0,Q1313-H1313),4)</f>
        <v>0</v>
      </c>
      <c r="S1313" s="423">
        <v>0.5</v>
      </c>
      <c r="T1313" s="419">
        <f>ROUND(+(R1313*C1313)*S1313,4)</f>
        <v>0</v>
      </c>
      <c r="U1313" s="419">
        <f>ROUND(+J1313+M1313+T1313,4)</f>
        <v>0</v>
      </c>
      <c r="V1313" s="235"/>
    </row>
    <row r="1314" spans="1:22" ht="15.75" x14ac:dyDescent="0.25">
      <c r="A1314" s="231"/>
      <c r="B1314" s="232"/>
      <c r="C1314" s="400"/>
      <c r="D1314" s="233"/>
      <c r="E1314" s="405"/>
      <c r="F1314" s="405"/>
      <c r="G1314" s="405"/>
      <c r="H1314" s="408">
        <f>ROUND(+E1314+F1314+G1314,4)</f>
        <v>0</v>
      </c>
      <c r="I1314" s="234"/>
      <c r="J1314" s="411"/>
      <c r="K1314" s="411"/>
      <c r="L1314" s="414">
        <v>0.1</v>
      </c>
      <c r="M1314" s="414">
        <f>ROUND(+L1314*C1314,4)</f>
        <v>0</v>
      </c>
      <c r="N1314" s="414"/>
      <c r="O1314" s="414"/>
      <c r="P1314" s="414"/>
      <c r="Q1314" s="419">
        <f>ROUND(+N1314+O1314+P1314,4)</f>
        <v>0</v>
      </c>
      <c r="R1314" s="419">
        <f>ROUND(IF(+Q1314-H1314&lt;=0,0,Q1314-H1314),4)</f>
        <v>0</v>
      </c>
      <c r="S1314" s="423">
        <v>0.5</v>
      </c>
      <c r="T1314" s="419">
        <f>ROUND(+(R1314*C1314)*S1314,4)</f>
        <v>0</v>
      </c>
      <c r="U1314" s="419">
        <f>ROUND(+J1314+M1314+T1314,4)</f>
        <v>0</v>
      </c>
      <c r="V1314" s="235"/>
    </row>
    <row r="1315" spans="1:22" ht="15.75" x14ac:dyDescent="0.25">
      <c r="A1315" s="231"/>
      <c r="B1315" s="232"/>
      <c r="C1315" s="400"/>
      <c r="D1315" s="233"/>
      <c r="E1315" s="405"/>
      <c r="F1315" s="405"/>
      <c r="G1315" s="405"/>
      <c r="H1315" s="408">
        <f>ROUND(+E1315+F1315+G1315,4)</f>
        <v>0</v>
      </c>
      <c r="I1315" s="234"/>
      <c r="J1315" s="411"/>
      <c r="K1315" s="411"/>
      <c r="L1315" s="414">
        <v>0.1</v>
      </c>
      <c r="M1315" s="414">
        <f>ROUND(+L1315*C1315,4)</f>
        <v>0</v>
      </c>
      <c r="N1315" s="414"/>
      <c r="O1315" s="414"/>
      <c r="P1315" s="414"/>
      <c r="Q1315" s="419">
        <f>ROUND(+N1315+O1315+P1315,4)</f>
        <v>0</v>
      </c>
      <c r="R1315" s="419">
        <f>ROUND(IF(+Q1315-H1315&lt;=0,0,Q1315-H1315),4)</f>
        <v>0</v>
      </c>
      <c r="S1315" s="423">
        <v>0.5</v>
      </c>
      <c r="T1315" s="419">
        <f>ROUND(+(R1315*C1315)*S1315,4)</f>
        <v>0</v>
      </c>
      <c r="U1315" s="419">
        <f>ROUND(+J1315+M1315+T1315,4)</f>
        <v>0</v>
      </c>
      <c r="V1315" s="235"/>
    </row>
    <row r="1316" spans="1:22" ht="15.75" x14ac:dyDescent="0.25">
      <c r="A1316" s="231"/>
      <c r="B1316" s="232"/>
      <c r="C1316" s="400"/>
      <c r="D1316" s="233"/>
      <c r="E1316" s="405"/>
      <c r="F1316" s="405"/>
      <c r="G1316" s="405"/>
      <c r="H1316" s="408">
        <f>ROUND(+E1316+F1316+G1316,4)</f>
        <v>0</v>
      </c>
      <c r="I1316" s="234"/>
      <c r="J1316" s="411"/>
      <c r="K1316" s="411"/>
      <c r="L1316" s="414">
        <v>0.1</v>
      </c>
      <c r="M1316" s="414">
        <f>ROUND(+L1316*C1316,4)</f>
        <v>0</v>
      </c>
      <c r="N1316" s="414"/>
      <c r="O1316" s="414"/>
      <c r="P1316" s="414"/>
      <c r="Q1316" s="419">
        <f>ROUND(+N1316+O1316+P1316,4)</f>
        <v>0</v>
      </c>
      <c r="R1316" s="419">
        <f>ROUND(IF(+Q1316-H1316&lt;=0,0,Q1316-H1316),4)</f>
        <v>0</v>
      </c>
      <c r="S1316" s="423">
        <v>0.5</v>
      </c>
      <c r="T1316" s="419">
        <f>ROUND(+(R1316*C1316)*S1316,4)</f>
        <v>0</v>
      </c>
      <c r="U1316" s="419">
        <f>ROUND(+J1316+M1316+T1316,4)</f>
        <v>0</v>
      </c>
      <c r="V1316" s="235"/>
    </row>
    <row r="1317" spans="1:22" ht="15.75" x14ac:dyDescent="0.25">
      <c r="A1317" s="231"/>
      <c r="B1317" s="232"/>
      <c r="C1317" s="400"/>
      <c r="D1317" s="233"/>
      <c r="E1317" s="405"/>
      <c r="F1317" s="405"/>
      <c r="G1317" s="405"/>
      <c r="H1317" s="408">
        <f>ROUND(+E1317+F1317+G1317,4)</f>
        <v>0</v>
      </c>
      <c r="I1317" s="234"/>
      <c r="J1317" s="411"/>
      <c r="K1317" s="411"/>
      <c r="L1317" s="414">
        <v>0.1</v>
      </c>
      <c r="M1317" s="414">
        <f>ROUND(+L1317*C1317,4)</f>
        <v>0</v>
      </c>
      <c r="N1317" s="414"/>
      <c r="O1317" s="414"/>
      <c r="P1317" s="414"/>
      <c r="Q1317" s="419">
        <f>ROUND(+N1317+O1317+P1317,4)</f>
        <v>0</v>
      </c>
      <c r="R1317" s="419">
        <f>ROUND(IF(+Q1317-H1317&lt;=0,0,Q1317-H1317),4)</f>
        <v>0</v>
      </c>
      <c r="S1317" s="423">
        <v>0.5</v>
      </c>
      <c r="T1317" s="419">
        <f>ROUND(+(R1317*C1317)*S1317,4)</f>
        <v>0</v>
      </c>
      <c r="U1317" s="419">
        <f>ROUND(+J1317+M1317+T1317,4)</f>
        <v>0</v>
      </c>
      <c r="V1317" s="235"/>
    </row>
    <row r="1318" spans="1:22" ht="15.75" x14ac:dyDescent="0.25">
      <c r="A1318" s="231"/>
      <c r="B1318" s="232"/>
      <c r="C1318" s="400"/>
      <c r="D1318" s="233"/>
      <c r="E1318" s="405"/>
      <c r="F1318" s="405"/>
      <c r="G1318" s="405"/>
      <c r="H1318" s="408">
        <f>ROUND(+E1318+F1318+G1318,4)</f>
        <v>0</v>
      </c>
      <c r="I1318" s="234"/>
      <c r="J1318" s="411"/>
      <c r="K1318" s="411"/>
      <c r="L1318" s="414">
        <v>0.1</v>
      </c>
      <c r="M1318" s="414">
        <f>ROUND(+L1318*C1318,4)</f>
        <v>0</v>
      </c>
      <c r="N1318" s="414"/>
      <c r="O1318" s="414"/>
      <c r="P1318" s="414"/>
      <c r="Q1318" s="419">
        <f>ROUND(+N1318+O1318+P1318,4)</f>
        <v>0</v>
      </c>
      <c r="R1318" s="419">
        <f>ROUND(IF(+Q1318-H1318&lt;=0,0,Q1318-H1318),4)</f>
        <v>0</v>
      </c>
      <c r="S1318" s="423">
        <v>0.5</v>
      </c>
      <c r="T1318" s="419">
        <f>ROUND(+(R1318*C1318)*S1318,4)</f>
        <v>0</v>
      </c>
      <c r="U1318" s="419">
        <f>ROUND(+J1318+M1318+T1318,4)</f>
        <v>0</v>
      </c>
      <c r="V1318" s="235"/>
    </row>
    <row r="1319" spans="1:22" ht="15.75" x14ac:dyDescent="0.25">
      <c r="A1319" s="231"/>
      <c r="B1319" s="232"/>
      <c r="C1319" s="400"/>
      <c r="D1319" s="233"/>
      <c r="E1319" s="405"/>
      <c r="F1319" s="405"/>
      <c r="G1319" s="405"/>
      <c r="H1319" s="408">
        <f>ROUND(+E1319+F1319+G1319,4)</f>
        <v>0</v>
      </c>
      <c r="I1319" s="234"/>
      <c r="J1319" s="411"/>
      <c r="K1319" s="411"/>
      <c r="L1319" s="414">
        <v>0.1</v>
      </c>
      <c r="M1319" s="414">
        <f>ROUND(+L1319*C1319,4)</f>
        <v>0</v>
      </c>
      <c r="N1319" s="414"/>
      <c r="O1319" s="414"/>
      <c r="P1319" s="414"/>
      <c r="Q1319" s="419">
        <f>ROUND(+N1319+O1319+P1319,4)</f>
        <v>0</v>
      </c>
      <c r="R1319" s="419">
        <f>ROUND(IF(+Q1319-H1319&lt;=0,0,Q1319-H1319),4)</f>
        <v>0</v>
      </c>
      <c r="S1319" s="423">
        <v>0.5</v>
      </c>
      <c r="T1319" s="419">
        <f>ROUND(+(R1319*C1319)*S1319,4)</f>
        <v>0</v>
      </c>
      <c r="U1319" s="419">
        <f>ROUND(+J1319+M1319+T1319,4)</f>
        <v>0</v>
      </c>
      <c r="V1319" s="235"/>
    </row>
    <row r="1320" spans="1:22" ht="15.75" x14ac:dyDescent="0.25">
      <c r="A1320" s="231"/>
      <c r="B1320" s="232"/>
      <c r="C1320" s="400"/>
      <c r="D1320" s="233"/>
      <c r="E1320" s="405"/>
      <c r="F1320" s="405"/>
      <c r="G1320" s="405"/>
      <c r="H1320" s="408">
        <f>ROUND(+E1320+F1320+G1320,4)</f>
        <v>0</v>
      </c>
      <c r="I1320" s="234"/>
      <c r="J1320" s="411"/>
      <c r="K1320" s="411"/>
      <c r="L1320" s="414">
        <v>0.1</v>
      </c>
      <c r="M1320" s="414">
        <f>ROUND(+L1320*C1320,4)</f>
        <v>0</v>
      </c>
      <c r="N1320" s="414"/>
      <c r="O1320" s="414"/>
      <c r="P1320" s="414"/>
      <c r="Q1320" s="419">
        <f>ROUND(+N1320+O1320+P1320,4)</f>
        <v>0</v>
      </c>
      <c r="R1320" s="419">
        <f>ROUND(IF(+Q1320-H1320&lt;=0,0,Q1320-H1320),4)</f>
        <v>0</v>
      </c>
      <c r="S1320" s="423">
        <v>0.5</v>
      </c>
      <c r="T1320" s="419">
        <f>ROUND(+(R1320*C1320)*S1320,4)</f>
        <v>0</v>
      </c>
      <c r="U1320" s="419">
        <f>ROUND(+J1320+M1320+T1320,4)</f>
        <v>0</v>
      </c>
      <c r="V1320" s="235"/>
    </row>
    <row r="1321" spans="1:22" ht="15.75" x14ac:dyDescent="0.25">
      <c r="A1321" s="231"/>
      <c r="B1321" s="232"/>
      <c r="C1321" s="400"/>
      <c r="D1321" s="233"/>
      <c r="E1321" s="405"/>
      <c r="F1321" s="405"/>
      <c r="G1321" s="405"/>
      <c r="H1321" s="408">
        <f>ROUND(+E1321+F1321+G1321,4)</f>
        <v>0</v>
      </c>
      <c r="I1321" s="234"/>
      <c r="J1321" s="411"/>
      <c r="K1321" s="411"/>
      <c r="L1321" s="414">
        <v>0.1</v>
      </c>
      <c r="M1321" s="414">
        <f>ROUND(+L1321*C1321,4)</f>
        <v>0</v>
      </c>
      <c r="N1321" s="414"/>
      <c r="O1321" s="414"/>
      <c r="P1321" s="414"/>
      <c r="Q1321" s="419">
        <f>ROUND(+N1321+O1321+P1321,4)</f>
        <v>0</v>
      </c>
      <c r="R1321" s="419">
        <f>ROUND(IF(+Q1321-H1321&lt;=0,0,Q1321-H1321),4)</f>
        <v>0</v>
      </c>
      <c r="S1321" s="423">
        <v>0.5</v>
      </c>
      <c r="T1321" s="419">
        <f>ROUND(+(R1321*C1321)*S1321,4)</f>
        <v>0</v>
      </c>
      <c r="U1321" s="419">
        <f>ROUND(+J1321+M1321+T1321,4)</f>
        <v>0</v>
      </c>
      <c r="V1321" s="235"/>
    </row>
    <row r="1322" spans="1:22" ht="15.75" x14ac:dyDescent="0.25">
      <c r="A1322" s="231"/>
      <c r="B1322" s="232"/>
      <c r="C1322" s="400"/>
      <c r="D1322" s="233"/>
      <c r="E1322" s="405"/>
      <c r="F1322" s="405"/>
      <c r="G1322" s="405"/>
      <c r="H1322" s="408">
        <f>ROUND(+E1322+F1322+G1322,4)</f>
        <v>0</v>
      </c>
      <c r="I1322" s="234"/>
      <c r="J1322" s="411"/>
      <c r="K1322" s="411"/>
      <c r="L1322" s="414">
        <v>0.1</v>
      </c>
      <c r="M1322" s="414">
        <f>ROUND(+L1322*C1322,4)</f>
        <v>0</v>
      </c>
      <c r="N1322" s="414"/>
      <c r="O1322" s="414"/>
      <c r="P1322" s="414"/>
      <c r="Q1322" s="419">
        <f>ROUND(+N1322+O1322+P1322,4)</f>
        <v>0</v>
      </c>
      <c r="R1322" s="419">
        <f>ROUND(IF(+Q1322-H1322&lt;=0,0,Q1322-H1322),4)</f>
        <v>0</v>
      </c>
      <c r="S1322" s="423">
        <v>0.5</v>
      </c>
      <c r="T1322" s="419">
        <f>ROUND(+(R1322*C1322)*S1322,4)</f>
        <v>0</v>
      </c>
      <c r="U1322" s="419">
        <f>ROUND(+J1322+M1322+T1322,4)</f>
        <v>0</v>
      </c>
      <c r="V1322" s="235"/>
    </row>
    <row r="1323" spans="1:22" ht="15.75" x14ac:dyDescent="0.25">
      <c r="A1323" s="231"/>
      <c r="B1323" s="232"/>
      <c r="C1323" s="400"/>
      <c r="D1323" s="233"/>
      <c r="E1323" s="405"/>
      <c r="F1323" s="405"/>
      <c r="G1323" s="405"/>
      <c r="H1323" s="408">
        <f>ROUND(+E1323+F1323+G1323,4)</f>
        <v>0</v>
      </c>
      <c r="I1323" s="234"/>
      <c r="J1323" s="411"/>
      <c r="K1323" s="411"/>
      <c r="L1323" s="414">
        <v>0.1</v>
      </c>
      <c r="M1323" s="414">
        <f>ROUND(+L1323*C1323,4)</f>
        <v>0</v>
      </c>
      <c r="N1323" s="414"/>
      <c r="O1323" s="414"/>
      <c r="P1323" s="414"/>
      <c r="Q1323" s="419">
        <f>ROUND(+N1323+O1323+P1323,4)</f>
        <v>0</v>
      </c>
      <c r="R1323" s="419">
        <f>ROUND(IF(+Q1323-H1323&lt;=0,0,Q1323-H1323),4)</f>
        <v>0</v>
      </c>
      <c r="S1323" s="423">
        <v>0.5</v>
      </c>
      <c r="T1323" s="419">
        <f>ROUND(+(R1323*C1323)*S1323,4)</f>
        <v>0</v>
      </c>
      <c r="U1323" s="419">
        <f>ROUND(+J1323+M1323+T1323,4)</f>
        <v>0</v>
      </c>
      <c r="V1323" s="235"/>
    </row>
    <row r="1324" spans="1:22" ht="15.75" x14ac:dyDescent="0.25">
      <c r="A1324" s="231"/>
      <c r="B1324" s="232"/>
      <c r="C1324" s="400"/>
      <c r="D1324" s="233"/>
      <c r="E1324" s="405"/>
      <c r="F1324" s="405"/>
      <c r="G1324" s="405"/>
      <c r="H1324" s="408">
        <f>ROUND(+E1324+F1324+G1324,4)</f>
        <v>0</v>
      </c>
      <c r="I1324" s="234"/>
      <c r="J1324" s="411"/>
      <c r="K1324" s="411"/>
      <c r="L1324" s="414">
        <v>0.1</v>
      </c>
      <c r="M1324" s="414">
        <f>ROUND(+L1324*C1324,4)</f>
        <v>0</v>
      </c>
      <c r="N1324" s="414"/>
      <c r="O1324" s="414"/>
      <c r="P1324" s="414"/>
      <c r="Q1324" s="419">
        <f>ROUND(+N1324+O1324+P1324,4)</f>
        <v>0</v>
      </c>
      <c r="R1324" s="419">
        <f>ROUND(IF(+Q1324-H1324&lt;=0,0,Q1324-H1324),4)</f>
        <v>0</v>
      </c>
      <c r="S1324" s="423">
        <v>0.5</v>
      </c>
      <c r="T1324" s="419">
        <f>ROUND(+(R1324*C1324)*S1324,4)</f>
        <v>0</v>
      </c>
      <c r="U1324" s="419">
        <f>ROUND(+J1324+M1324+T1324,4)</f>
        <v>0</v>
      </c>
      <c r="V1324" s="235"/>
    </row>
    <row r="1325" spans="1:22" ht="15.75" x14ac:dyDescent="0.25">
      <c r="A1325" s="231"/>
      <c r="B1325" s="232"/>
      <c r="C1325" s="400"/>
      <c r="D1325" s="233"/>
      <c r="E1325" s="405"/>
      <c r="F1325" s="405"/>
      <c r="G1325" s="405"/>
      <c r="H1325" s="408">
        <f>ROUND(+E1325+F1325+G1325,4)</f>
        <v>0</v>
      </c>
      <c r="I1325" s="234"/>
      <c r="J1325" s="411"/>
      <c r="K1325" s="411"/>
      <c r="L1325" s="414">
        <v>0.1</v>
      </c>
      <c r="M1325" s="414">
        <f>ROUND(+L1325*C1325,4)</f>
        <v>0</v>
      </c>
      <c r="N1325" s="414"/>
      <c r="O1325" s="414"/>
      <c r="P1325" s="414"/>
      <c r="Q1325" s="419">
        <f>ROUND(+N1325+O1325+P1325,4)</f>
        <v>0</v>
      </c>
      <c r="R1325" s="419">
        <f>ROUND(IF(+Q1325-H1325&lt;=0,0,Q1325-H1325),4)</f>
        <v>0</v>
      </c>
      <c r="S1325" s="423">
        <v>0.5</v>
      </c>
      <c r="T1325" s="419">
        <f>ROUND(+(R1325*C1325)*S1325,4)</f>
        <v>0</v>
      </c>
      <c r="U1325" s="419">
        <f>ROUND(+J1325+M1325+T1325,4)</f>
        <v>0</v>
      </c>
      <c r="V1325" s="235"/>
    </row>
    <row r="1326" spans="1:22" ht="15.75" x14ac:dyDescent="0.25">
      <c r="A1326" s="231"/>
      <c r="B1326" s="232"/>
      <c r="C1326" s="400"/>
      <c r="D1326" s="233"/>
      <c r="E1326" s="405"/>
      <c r="F1326" s="405"/>
      <c r="G1326" s="405"/>
      <c r="H1326" s="408">
        <f>ROUND(+E1326+F1326+G1326,4)</f>
        <v>0</v>
      </c>
      <c r="I1326" s="234"/>
      <c r="J1326" s="411"/>
      <c r="K1326" s="411"/>
      <c r="L1326" s="414">
        <v>0.1</v>
      </c>
      <c r="M1326" s="414">
        <f>ROUND(+L1326*C1326,4)</f>
        <v>0</v>
      </c>
      <c r="N1326" s="414"/>
      <c r="O1326" s="414"/>
      <c r="P1326" s="414"/>
      <c r="Q1326" s="419">
        <f>ROUND(+N1326+O1326+P1326,4)</f>
        <v>0</v>
      </c>
      <c r="R1326" s="419">
        <f>ROUND(IF(+Q1326-H1326&lt;=0,0,Q1326-H1326),4)</f>
        <v>0</v>
      </c>
      <c r="S1326" s="423">
        <v>0.5</v>
      </c>
      <c r="T1326" s="419">
        <f>ROUND(+(R1326*C1326)*S1326,4)</f>
        <v>0</v>
      </c>
      <c r="U1326" s="419">
        <f>ROUND(+J1326+M1326+T1326,4)</f>
        <v>0</v>
      </c>
      <c r="V1326" s="235"/>
    </row>
    <row r="1327" spans="1:22" ht="15.75" x14ac:dyDescent="0.25">
      <c r="A1327" s="231"/>
      <c r="B1327" s="232"/>
      <c r="C1327" s="400"/>
      <c r="D1327" s="233"/>
      <c r="E1327" s="405"/>
      <c r="F1327" s="405"/>
      <c r="G1327" s="405"/>
      <c r="H1327" s="408">
        <f>ROUND(+E1327+F1327+G1327,4)</f>
        <v>0</v>
      </c>
      <c r="I1327" s="234"/>
      <c r="J1327" s="411"/>
      <c r="K1327" s="411"/>
      <c r="L1327" s="414">
        <v>0.1</v>
      </c>
      <c r="M1327" s="414">
        <f>ROUND(+L1327*C1327,4)</f>
        <v>0</v>
      </c>
      <c r="N1327" s="414"/>
      <c r="O1327" s="414"/>
      <c r="P1327" s="414"/>
      <c r="Q1327" s="419">
        <f>ROUND(+N1327+O1327+P1327,4)</f>
        <v>0</v>
      </c>
      <c r="R1327" s="419">
        <f>ROUND(IF(+Q1327-H1327&lt;=0,0,Q1327-H1327),4)</f>
        <v>0</v>
      </c>
      <c r="S1327" s="423">
        <v>0.5</v>
      </c>
      <c r="T1327" s="419">
        <f>ROUND(+(R1327*C1327)*S1327,4)</f>
        <v>0</v>
      </c>
      <c r="U1327" s="419">
        <f>ROUND(+J1327+M1327+T1327,4)</f>
        <v>0</v>
      </c>
      <c r="V1327" s="235"/>
    </row>
    <row r="1328" spans="1:22" ht="15.75" x14ac:dyDescent="0.25">
      <c r="A1328" s="231"/>
      <c r="B1328" s="232"/>
      <c r="C1328" s="400"/>
      <c r="D1328" s="233"/>
      <c r="E1328" s="405"/>
      <c r="F1328" s="405"/>
      <c r="G1328" s="405"/>
      <c r="H1328" s="408">
        <f>ROUND(+E1328+F1328+G1328,4)</f>
        <v>0</v>
      </c>
      <c r="I1328" s="234"/>
      <c r="J1328" s="411"/>
      <c r="K1328" s="411"/>
      <c r="L1328" s="414">
        <v>0.1</v>
      </c>
      <c r="M1328" s="414">
        <f>ROUND(+L1328*C1328,4)</f>
        <v>0</v>
      </c>
      <c r="N1328" s="414"/>
      <c r="O1328" s="414"/>
      <c r="P1328" s="414"/>
      <c r="Q1328" s="419">
        <f>ROUND(+N1328+O1328+P1328,4)</f>
        <v>0</v>
      </c>
      <c r="R1328" s="419">
        <f>ROUND(IF(+Q1328-H1328&lt;=0,0,Q1328-H1328),4)</f>
        <v>0</v>
      </c>
      <c r="S1328" s="423">
        <v>0.5</v>
      </c>
      <c r="T1328" s="419">
        <f>ROUND(+(R1328*C1328)*S1328,4)</f>
        <v>0</v>
      </c>
      <c r="U1328" s="419">
        <f>ROUND(+J1328+M1328+T1328,4)</f>
        <v>0</v>
      </c>
      <c r="V1328" s="235"/>
    </row>
    <row r="1329" spans="1:22" ht="15.75" x14ac:dyDescent="0.25">
      <c r="A1329" s="231"/>
      <c r="B1329" s="232"/>
      <c r="C1329" s="400"/>
      <c r="D1329" s="233"/>
      <c r="E1329" s="405"/>
      <c r="F1329" s="405"/>
      <c r="G1329" s="405"/>
      <c r="H1329" s="408">
        <f>ROUND(+E1329+F1329+G1329,4)</f>
        <v>0</v>
      </c>
      <c r="I1329" s="234"/>
      <c r="J1329" s="411"/>
      <c r="K1329" s="411"/>
      <c r="L1329" s="414">
        <v>0.1</v>
      </c>
      <c r="M1329" s="414">
        <f>ROUND(+L1329*C1329,4)</f>
        <v>0</v>
      </c>
      <c r="N1329" s="414"/>
      <c r="O1329" s="414"/>
      <c r="P1329" s="414"/>
      <c r="Q1329" s="419">
        <f>ROUND(+N1329+O1329+P1329,4)</f>
        <v>0</v>
      </c>
      <c r="R1329" s="419">
        <f>ROUND(IF(+Q1329-H1329&lt;=0,0,Q1329-H1329),4)</f>
        <v>0</v>
      </c>
      <c r="S1329" s="423">
        <v>0.5</v>
      </c>
      <c r="T1329" s="419">
        <f>ROUND(+(R1329*C1329)*S1329,4)</f>
        <v>0</v>
      </c>
      <c r="U1329" s="419">
        <f>ROUND(+J1329+M1329+T1329,4)</f>
        <v>0</v>
      </c>
      <c r="V1329" s="235"/>
    </row>
    <row r="1330" spans="1:22" ht="15.75" x14ac:dyDescent="0.25">
      <c r="A1330" s="231"/>
      <c r="B1330" s="232"/>
      <c r="C1330" s="400"/>
      <c r="D1330" s="233"/>
      <c r="E1330" s="405"/>
      <c r="F1330" s="405"/>
      <c r="G1330" s="405"/>
      <c r="H1330" s="408">
        <f>ROUND(+E1330+F1330+G1330,4)</f>
        <v>0</v>
      </c>
      <c r="I1330" s="234"/>
      <c r="J1330" s="411"/>
      <c r="K1330" s="411"/>
      <c r="L1330" s="414">
        <v>0.1</v>
      </c>
      <c r="M1330" s="414">
        <f>ROUND(+L1330*C1330,4)</f>
        <v>0</v>
      </c>
      <c r="N1330" s="414"/>
      <c r="O1330" s="414"/>
      <c r="P1330" s="414"/>
      <c r="Q1330" s="419">
        <f>ROUND(+N1330+O1330+P1330,4)</f>
        <v>0</v>
      </c>
      <c r="R1330" s="419">
        <f>ROUND(IF(+Q1330-H1330&lt;=0,0,Q1330-H1330),4)</f>
        <v>0</v>
      </c>
      <c r="S1330" s="423">
        <v>0.5</v>
      </c>
      <c r="T1330" s="419">
        <f>ROUND(+(R1330*C1330)*S1330,4)</f>
        <v>0</v>
      </c>
      <c r="U1330" s="419">
        <f>ROUND(+J1330+M1330+T1330,4)</f>
        <v>0</v>
      </c>
      <c r="V1330" s="235"/>
    </row>
    <row r="1331" spans="1:22" ht="15.75" x14ac:dyDescent="0.25">
      <c r="A1331" s="231"/>
      <c r="B1331" s="232"/>
      <c r="C1331" s="400"/>
      <c r="D1331" s="233"/>
      <c r="E1331" s="405"/>
      <c r="F1331" s="405"/>
      <c r="G1331" s="405"/>
      <c r="H1331" s="408">
        <f>ROUND(+E1331+F1331+G1331,4)</f>
        <v>0</v>
      </c>
      <c r="I1331" s="234"/>
      <c r="J1331" s="411"/>
      <c r="K1331" s="411"/>
      <c r="L1331" s="414">
        <v>0.1</v>
      </c>
      <c r="M1331" s="414">
        <f>ROUND(+L1331*C1331,4)</f>
        <v>0</v>
      </c>
      <c r="N1331" s="414"/>
      <c r="O1331" s="414"/>
      <c r="P1331" s="414"/>
      <c r="Q1331" s="419">
        <f>ROUND(+N1331+O1331+P1331,4)</f>
        <v>0</v>
      </c>
      <c r="R1331" s="419">
        <f>ROUND(IF(+Q1331-H1331&lt;=0,0,Q1331-H1331),4)</f>
        <v>0</v>
      </c>
      <c r="S1331" s="423">
        <v>0.5</v>
      </c>
      <c r="T1331" s="419">
        <f>ROUND(+(R1331*C1331)*S1331,4)</f>
        <v>0</v>
      </c>
      <c r="U1331" s="419">
        <f>ROUND(+J1331+M1331+T1331,4)</f>
        <v>0</v>
      </c>
      <c r="V1331" s="235"/>
    </row>
    <row r="1332" spans="1:22" ht="15.75" x14ac:dyDescent="0.25">
      <c r="A1332" s="231"/>
      <c r="B1332" s="232"/>
      <c r="C1332" s="400"/>
      <c r="D1332" s="233"/>
      <c r="E1332" s="405"/>
      <c r="F1332" s="405"/>
      <c r="G1332" s="405"/>
      <c r="H1332" s="408">
        <f>ROUND(+E1332+F1332+G1332,4)</f>
        <v>0</v>
      </c>
      <c r="I1332" s="234"/>
      <c r="J1332" s="411"/>
      <c r="K1332" s="411"/>
      <c r="L1332" s="414">
        <v>0.1</v>
      </c>
      <c r="M1332" s="414">
        <f>ROUND(+L1332*C1332,4)</f>
        <v>0</v>
      </c>
      <c r="N1332" s="414"/>
      <c r="O1332" s="414"/>
      <c r="P1332" s="414"/>
      <c r="Q1332" s="419">
        <f>ROUND(+N1332+O1332+P1332,4)</f>
        <v>0</v>
      </c>
      <c r="R1332" s="419">
        <f>ROUND(IF(+Q1332-H1332&lt;=0,0,Q1332-H1332),4)</f>
        <v>0</v>
      </c>
      <c r="S1332" s="423">
        <v>0.5</v>
      </c>
      <c r="T1332" s="419">
        <f>ROUND(+(R1332*C1332)*S1332,4)</f>
        <v>0</v>
      </c>
      <c r="U1332" s="419">
        <f>ROUND(+J1332+M1332+T1332,4)</f>
        <v>0</v>
      </c>
      <c r="V1332" s="235"/>
    </row>
    <row r="1333" spans="1:22" ht="15.75" x14ac:dyDescent="0.25">
      <c r="A1333" s="231"/>
      <c r="B1333" s="232"/>
      <c r="C1333" s="400"/>
      <c r="D1333" s="233"/>
      <c r="E1333" s="405"/>
      <c r="F1333" s="405"/>
      <c r="G1333" s="405"/>
      <c r="H1333" s="408">
        <f>ROUND(+E1333+F1333+G1333,4)</f>
        <v>0</v>
      </c>
      <c r="I1333" s="234"/>
      <c r="J1333" s="411"/>
      <c r="K1333" s="411"/>
      <c r="L1333" s="414">
        <v>0.1</v>
      </c>
      <c r="M1333" s="414">
        <f>ROUND(+L1333*C1333,4)</f>
        <v>0</v>
      </c>
      <c r="N1333" s="414"/>
      <c r="O1333" s="414"/>
      <c r="P1333" s="414"/>
      <c r="Q1333" s="419">
        <f>ROUND(+N1333+O1333+P1333,4)</f>
        <v>0</v>
      </c>
      <c r="R1333" s="419">
        <f>ROUND(IF(+Q1333-H1333&lt;=0,0,Q1333-H1333),4)</f>
        <v>0</v>
      </c>
      <c r="S1333" s="423">
        <v>0.5</v>
      </c>
      <c r="T1333" s="419">
        <f>ROUND(+(R1333*C1333)*S1333,4)</f>
        <v>0</v>
      </c>
      <c r="U1333" s="419">
        <f>ROUND(+J1333+M1333+T1333,4)</f>
        <v>0</v>
      </c>
      <c r="V1333" s="235"/>
    </row>
    <row r="1334" spans="1:22" ht="15.75" x14ac:dyDescent="0.25">
      <c r="A1334" s="231"/>
      <c r="B1334" s="232"/>
      <c r="C1334" s="400"/>
      <c r="D1334" s="233"/>
      <c r="E1334" s="405"/>
      <c r="F1334" s="405"/>
      <c r="G1334" s="405"/>
      <c r="H1334" s="408">
        <f>ROUND(+E1334+F1334+G1334,4)</f>
        <v>0</v>
      </c>
      <c r="I1334" s="234"/>
      <c r="J1334" s="411"/>
      <c r="K1334" s="411"/>
      <c r="L1334" s="414">
        <v>0.1</v>
      </c>
      <c r="M1334" s="414">
        <f>ROUND(+L1334*C1334,4)</f>
        <v>0</v>
      </c>
      <c r="N1334" s="414"/>
      <c r="O1334" s="414"/>
      <c r="P1334" s="414"/>
      <c r="Q1334" s="419">
        <f>ROUND(+N1334+O1334+P1334,4)</f>
        <v>0</v>
      </c>
      <c r="R1334" s="419">
        <f>ROUND(IF(+Q1334-H1334&lt;=0,0,Q1334-H1334),4)</f>
        <v>0</v>
      </c>
      <c r="S1334" s="423">
        <v>0.5</v>
      </c>
      <c r="T1334" s="419">
        <f>ROUND(+(R1334*C1334)*S1334,4)</f>
        <v>0</v>
      </c>
      <c r="U1334" s="419">
        <f>ROUND(+J1334+M1334+T1334,4)</f>
        <v>0</v>
      </c>
      <c r="V1334" s="235"/>
    </row>
    <row r="1335" spans="1:22" ht="15.75" x14ac:dyDescent="0.25">
      <c r="A1335" s="231"/>
      <c r="B1335" s="232"/>
      <c r="C1335" s="400"/>
      <c r="D1335" s="233"/>
      <c r="E1335" s="405"/>
      <c r="F1335" s="405"/>
      <c r="G1335" s="405"/>
      <c r="H1335" s="408">
        <f>ROUND(+E1335+F1335+G1335,4)</f>
        <v>0</v>
      </c>
      <c r="I1335" s="234"/>
      <c r="J1335" s="411"/>
      <c r="K1335" s="411"/>
      <c r="L1335" s="414">
        <v>0.1</v>
      </c>
      <c r="M1335" s="414">
        <f>ROUND(+L1335*C1335,4)</f>
        <v>0</v>
      </c>
      <c r="N1335" s="414"/>
      <c r="O1335" s="414"/>
      <c r="P1335" s="414"/>
      <c r="Q1335" s="419">
        <f>ROUND(+N1335+O1335+P1335,4)</f>
        <v>0</v>
      </c>
      <c r="R1335" s="419">
        <f>ROUND(IF(+Q1335-H1335&lt;=0,0,Q1335-H1335),4)</f>
        <v>0</v>
      </c>
      <c r="S1335" s="423">
        <v>0.5</v>
      </c>
      <c r="T1335" s="419">
        <f>ROUND(+(R1335*C1335)*S1335,4)</f>
        <v>0</v>
      </c>
      <c r="U1335" s="419">
        <f>ROUND(+J1335+M1335+T1335,4)</f>
        <v>0</v>
      </c>
      <c r="V1335" s="235"/>
    </row>
    <row r="1336" spans="1:22" ht="15.75" x14ac:dyDescent="0.25">
      <c r="A1336" s="231"/>
      <c r="B1336" s="232"/>
      <c r="C1336" s="400"/>
      <c r="D1336" s="233"/>
      <c r="E1336" s="405"/>
      <c r="F1336" s="405"/>
      <c r="G1336" s="405"/>
      <c r="H1336" s="408">
        <f>ROUND(+E1336+F1336+G1336,4)</f>
        <v>0</v>
      </c>
      <c r="I1336" s="234"/>
      <c r="J1336" s="411"/>
      <c r="K1336" s="411"/>
      <c r="L1336" s="414">
        <v>0.1</v>
      </c>
      <c r="M1336" s="414">
        <f>ROUND(+L1336*C1336,4)</f>
        <v>0</v>
      </c>
      <c r="N1336" s="414"/>
      <c r="O1336" s="414"/>
      <c r="P1336" s="414"/>
      <c r="Q1336" s="419">
        <f>ROUND(+N1336+O1336+P1336,4)</f>
        <v>0</v>
      </c>
      <c r="R1336" s="419">
        <f>ROUND(IF(+Q1336-H1336&lt;=0,0,Q1336-H1336),4)</f>
        <v>0</v>
      </c>
      <c r="S1336" s="423">
        <v>0.5</v>
      </c>
      <c r="T1336" s="419">
        <f>ROUND(+(R1336*C1336)*S1336,4)</f>
        <v>0</v>
      </c>
      <c r="U1336" s="419">
        <f>ROUND(+J1336+M1336+T1336,4)</f>
        <v>0</v>
      </c>
      <c r="V1336" s="235"/>
    </row>
    <row r="1337" spans="1:22" ht="15.75" x14ac:dyDescent="0.25">
      <c r="A1337" s="231"/>
      <c r="B1337" s="232"/>
      <c r="C1337" s="400"/>
      <c r="D1337" s="233"/>
      <c r="E1337" s="405"/>
      <c r="F1337" s="405"/>
      <c r="G1337" s="405"/>
      <c r="H1337" s="408">
        <f>ROUND(+E1337+F1337+G1337,4)</f>
        <v>0</v>
      </c>
      <c r="I1337" s="234"/>
      <c r="J1337" s="411"/>
      <c r="K1337" s="411"/>
      <c r="L1337" s="414">
        <v>0.1</v>
      </c>
      <c r="M1337" s="414">
        <f>ROUND(+L1337*C1337,4)</f>
        <v>0</v>
      </c>
      <c r="N1337" s="414"/>
      <c r="O1337" s="414"/>
      <c r="P1337" s="414"/>
      <c r="Q1337" s="419">
        <f>ROUND(+N1337+O1337+P1337,4)</f>
        <v>0</v>
      </c>
      <c r="R1337" s="419">
        <f>ROUND(IF(+Q1337-H1337&lt;=0,0,Q1337-H1337),4)</f>
        <v>0</v>
      </c>
      <c r="S1337" s="423">
        <v>0.5</v>
      </c>
      <c r="T1337" s="419">
        <f>ROUND(+(R1337*C1337)*S1337,4)</f>
        <v>0</v>
      </c>
      <c r="U1337" s="419">
        <f>ROUND(+J1337+M1337+T1337,4)</f>
        <v>0</v>
      </c>
      <c r="V1337" s="235"/>
    </row>
    <row r="1338" spans="1:22" ht="15.75" x14ac:dyDescent="0.25">
      <c r="A1338" s="231"/>
      <c r="B1338" s="232"/>
      <c r="C1338" s="400"/>
      <c r="D1338" s="233"/>
      <c r="E1338" s="405"/>
      <c r="F1338" s="405"/>
      <c r="G1338" s="405"/>
      <c r="H1338" s="408">
        <f>ROUND(+E1338+F1338+G1338,4)</f>
        <v>0</v>
      </c>
      <c r="I1338" s="234"/>
      <c r="J1338" s="411"/>
      <c r="K1338" s="411"/>
      <c r="L1338" s="414">
        <v>0.1</v>
      </c>
      <c r="M1338" s="414">
        <f>ROUND(+L1338*C1338,4)</f>
        <v>0</v>
      </c>
      <c r="N1338" s="414"/>
      <c r="O1338" s="414"/>
      <c r="P1338" s="414"/>
      <c r="Q1338" s="419">
        <f>ROUND(+N1338+O1338+P1338,4)</f>
        <v>0</v>
      </c>
      <c r="R1338" s="419">
        <f>ROUND(IF(+Q1338-H1338&lt;=0,0,Q1338-H1338),4)</f>
        <v>0</v>
      </c>
      <c r="S1338" s="423">
        <v>0.5</v>
      </c>
      <c r="T1338" s="419">
        <f>ROUND(+(R1338*C1338)*S1338,4)</f>
        <v>0</v>
      </c>
      <c r="U1338" s="419">
        <f>ROUND(+J1338+M1338+T1338,4)</f>
        <v>0</v>
      </c>
      <c r="V1338" s="235"/>
    </row>
    <row r="1339" spans="1:22" ht="15.75" x14ac:dyDescent="0.25">
      <c r="A1339" s="231"/>
      <c r="B1339" s="232"/>
      <c r="C1339" s="400"/>
      <c r="D1339" s="233"/>
      <c r="E1339" s="405"/>
      <c r="F1339" s="405"/>
      <c r="G1339" s="405"/>
      <c r="H1339" s="408">
        <f>ROUND(+E1339+F1339+G1339,4)</f>
        <v>0</v>
      </c>
      <c r="I1339" s="234"/>
      <c r="J1339" s="411"/>
      <c r="K1339" s="411"/>
      <c r="L1339" s="414">
        <v>0.1</v>
      </c>
      <c r="M1339" s="414">
        <f>ROUND(+L1339*C1339,4)</f>
        <v>0</v>
      </c>
      <c r="N1339" s="414"/>
      <c r="O1339" s="414"/>
      <c r="P1339" s="414"/>
      <c r="Q1339" s="419">
        <f>ROUND(+N1339+O1339+P1339,4)</f>
        <v>0</v>
      </c>
      <c r="R1339" s="419">
        <f>ROUND(IF(+Q1339-H1339&lt;=0,0,Q1339-H1339),4)</f>
        <v>0</v>
      </c>
      <c r="S1339" s="423">
        <v>0.5</v>
      </c>
      <c r="T1339" s="419">
        <f>ROUND(+(R1339*C1339)*S1339,4)</f>
        <v>0</v>
      </c>
      <c r="U1339" s="419">
        <f>ROUND(+J1339+M1339+T1339,4)</f>
        <v>0</v>
      </c>
      <c r="V1339" s="235"/>
    </row>
    <row r="1340" spans="1:22" ht="15.75" x14ac:dyDescent="0.25">
      <c r="A1340" s="231"/>
      <c r="B1340" s="232"/>
      <c r="C1340" s="400"/>
      <c r="D1340" s="233"/>
      <c r="E1340" s="405"/>
      <c r="F1340" s="405"/>
      <c r="G1340" s="405"/>
      <c r="H1340" s="408">
        <f>ROUND(+E1340+F1340+G1340,4)</f>
        <v>0</v>
      </c>
      <c r="I1340" s="234"/>
      <c r="J1340" s="411"/>
      <c r="K1340" s="411"/>
      <c r="L1340" s="414">
        <v>0.1</v>
      </c>
      <c r="M1340" s="414">
        <f>ROUND(+L1340*C1340,4)</f>
        <v>0</v>
      </c>
      <c r="N1340" s="414"/>
      <c r="O1340" s="414"/>
      <c r="P1340" s="414"/>
      <c r="Q1340" s="419">
        <f>ROUND(+N1340+O1340+P1340,4)</f>
        <v>0</v>
      </c>
      <c r="R1340" s="419">
        <f>ROUND(IF(+Q1340-H1340&lt;=0,0,Q1340-H1340),4)</f>
        <v>0</v>
      </c>
      <c r="S1340" s="423">
        <v>0.5</v>
      </c>
      <c r="T1340" s="419">
        <f>ROUND(+(R1340*C1340)*S1340,4)</f>
        <v>0</v>
      </c>
      <c r="U1340" s="419">
        <f>ROUND(+J1340+M1340+T1340,4)</f>
        <v>0</v>
      </c>
      <c r="V1340" s="235"/>
    </row>
    <row r="1341" spans="1:22" ht="15.75" x14ac:dyDescent="0.25">
      <c r="A1341" s="231"/>
      <c r="B1341" s="232"/>
      <c r="C1341" s="400"/>
      <c r="D1341" s="233"/>
      <c r="E1341" s="405"/>
      <c r="F1341" s="405"/>
      <c r="G1341" s="405"/>
      <c r="H1341" s="408">
        <f>ROUND(+E1341+F1341+G1341,4)</f>
        <v>0</v>
      </c>
      <c r="I1341" s="234"/>
      <c r="J1341" s="411"/>
      <c r="K1341" s="411"/>
      <c r="L1341" s="414">
        <v>0.1</v>
      </c>
      <c r="M1341" s="414">
        <f>ROUND(+L1341*C1341,4)</f>
        <v>0</v>
      </c>
      <c r="N1341" s="414"/>
      <c r="O1341" s="414"/>
      <c r="P1341" s="414"/>
      <c r="Q1341" s="419">
        <f>ROUND(+N1341+O1341+P1341,4)</f>
        <v>0</v>
      </c>
      <c r="R1341" s="419">
        <f>ROUND(IF(+Q1341-H1341&lt;=0,0,Q1341-H1341),4)</f>
        <v>0</v>
      </c>
      <c r="S1341" s="423">
        <v>0.5</v>
      </c>
      <c r="T1341" s="419">
        <f>ROUND(+(R1341*C1341)*S1341,4)</f>
        <v>0</v>
      </c>
      <c r="U1341" s="419">
        <f>ROUND(+J1341+M1341+T1341,4)</f>
        <v>0</v>
      </c>
      <c r="V1341" s="235"/>
    </row>
    <row r="1342" spans="1:22" ht="15.75" x14ac:dyDescent="0.25">
      <c r="A1342" s="231"/>
      <c r="B1342" s="232"/>
      <c r="C1342" s="400"/>
      <c r="D1342" s="233"/>
      <c r="E1342" s="405"/>
      <c r="F1342" s="405"/>
      <c r="G1342" s="405"/>
      <c r="H1342" s="408">
        <f>ROUND(+E1342+F1342+G1342,4)</f>
        <v>0</v>
      </c>
      <c r="I1342" s="234"/>
      <c r="J1342" s="411"/>
      <c r="K1342" s="411"/>
      <c r="L1342" s="414">
        <v>0.1</v>
      </c>
      <c r="M1342" s="414">
        <f>ROUND(+L1342*C1342,4)</f>
        <v>0</v>
      </c>
      <c r="N1342" s="414"/>
      <c r="O1342" s="414"/>
      <c r="P1342" s="414"/>
      <c r="Q1342" s="419">
        <f>ROUND(+N1342+O1342+P1342,4)</f>
        <v>0</v>
      </c>
      <c r="R1342" s="419">
        <f>ROUND(IF(+Q1342-H1342&lt;=0,0,Q1342-H1342),4)</f>
        <v>0</v>
      </c>
      <c r="S1342" s="423">
        <v>0.5</v>
      </c>
      <c r="T1342" s="419">
        <f>ROUND(+(R1342*C1342)*S1342,4)</f>
        <v>0</v>
      </c>
      <c r="U1342" s="419">
        <f>ROUND(+J1342+M1342+T1342,4)</f>
        <v>0</v>
      </c>
      <c r="V1342" s="235"/>
    </row>
    <row r="1343" spans="1:22" ht="15.75" x14ac:dyDescent="0.25">
      <c r="A1343" s="231"/>
      <c r="B1343" s="232"/>
      <c r="C1343" s="400"/>
      <c r="D1343" s="233"/>
      <c r="E1343" s="405"/>
      <c r="F1343" s="405"/>
      <c r="G1343" s="405"/>
      <c r="H1343" s="408">
        <f>ROUND(+E1343+F1343+G1343,4)</f>
        <v>0</v>
      </c>
      <c r="I1343" s="234"/>
      <c r="J1343" s="411"/>
      <c r="K1343" s="411"/>
      <c r="L1343" s="414">
        <v>0.1</v>
      </c>
      <c r="M1343" s="414">
        <f>ROUND(+L1343*C1343,4)</f>
        <v>0</v>
      </c>
      <c r="N1343" s="414"/>
      <c r="O1343" s="414"/>
      <c r="P1343" s="414"/>
      <c r="Q1343" s="419">
        <f>ROUND(+N1343+O1343+P1343,4)</f>
        <v>0</v>
      </c>
      <c r="R1343" s="419">
        <f>ROUND(IF(+Q1343-H1343&lt;=0,0,Q1343-H1343),4)</f>
        <v>0</v>
      </c>
      <c r="S1343" s="423">
        <v>0.5</v>
      </c>
      <c r="T1343" s="419">
        <f>ROUND(+(R1343*C1343)*S1343,4)</f>
        <v>0</v>
      </c>
      <c r="U1343" s="419">
        <f>ROUND(+J1343+M1343+T1343,4)</f>
        <v>0</v>
      </c>
      <c r="V1343" s="235"/>
    </row>
    <row r="1344" spans="1:22" ht="15.75" x14ac:dyDescent="0.25">
      <c r="A1344" s="231"/>
      <c r="B1344" s="232"/>
      <c r="C1344" s="400"/>
      <c r="D1344" s="233"/>
      <c r="E1344" s="405"/>
      <c r="F1344" s="405"/>
      <c r="G1344" s="405"/>
      <c r="H1344" s="408">
        <f>ROUND(+E1344+F1344+G1344,4)</f>
        <v>0</v>
      </c>
      <c r="I1344" s="234"/>
      <c r="J1344" s="411"/>
      <c r="K1344" s="411"/>
      <c r="L1344" s="414">
        <v>0.1</v>
      </c>
      <c r="M1344" s="414">
        <f>ROUND(+L1344*C1344,4)</f>
        <v>0</v>
      </c>
      <c r="N1344" s="414"/>
      <c r="O1344" s="414"/>
      <c r="P1344" s="414"/>
      <c r="Q1344" s="419">
        <f>ROUND(+N1344+O1344+P1344,4)</f>
        <v>0</v>
      </c>
      <c r="R1344" s="419">
        <f>ROUND(IF(+Q1344-H1344&lt;=0,0,Q1344-H1344),4)</f>
        <v>0</v>
      </c>
      <c r="S1344" s="423">
        <v>0.5</v>
      </c>
      <c r="T1344" s="419">
        <f>ROUND(+(R1344*C1344)*S1344,4)</f>
        <v>0</v>
      </c>
      <c r="U1344" s="419">
        <f>ROUND(+J1344+M1344+T1344,4)</f>
        <v>0</v>
      </c>
      <c r="V1344" s="235"/>
    </row>
    <row r="1345" spans="1:22" ht="15.75" x14ac:dyDescent="0.25">
      <c r="A1345" s="231"/>
      <c r="B1345" s="232"/>
      <c r="C1345" s="400"/>
      <c r="D1345" s="233"/>
      <c r="E1345" s="405"/>
      <c r="F1345" s="405"/>
      <c r="G1345" s="405"/>
      <c r="H1345" s="408">
        <f>ROUND(+E1345+F1345+G1345,4)</f>
        <v>0</v>
      </c>
      <c r="I1345" s="234"/>
      <c r="J1345" s="411"/>
      <c r="K1345" s="411"/>
      <c r="L1345" s="414">
        <v>0.1</v>
      </c>
      <c r="M1345" s="414">
        <f>ROUND(+L1345*C1345,4)</f>
        <v>0</v>
      </c>
      <c r="N1345" s="414"/>
      <c r="O1345" s="414"/>
      <c r="P1345" s="414"/>
      <c r="Q1345" s="419">
        <f>ROUND(+N1345+O1345+P1345,4)</f>
        <v>0</v>
      </c>
      <c r="R1345" s="419">
        <f>ROUND(IF(+Q1345-H1345&lt;=0,0,Q1345-H1345),4)</f>
        <v>0</v>
      </c>
      <c r="S1345" s="423">
        <v>0.5</v>
      </c>
      <c r="T1345" s="419">
        <f>ROUND(+(R1345*C1345)*S1345,4)</f>
        <v>0</v>
      </c>
      <c r="U1345" s="419">
        <f>ROUND(+J1345+M1345+T1345,4)</f>
        <v>0</v>
      </c>
      <c r="V1345" s="235"/>
    </row>
    <row r="1346" spans="1:22" ht="15.75" x14ac:dyDescent="0.25">
      <c r="A1346" s="231"/>
      <c r="B1346" s="232"/>
      <c r="C1346" s="400"/>
      <c r="D1346" s="233"/>
      <c r="E1346" s="405"/>
      <c r="F1346" s="405"/>
      <c r="G1346" s="405"/>
      <c r="H1346" s="408">
        <f>ROUND(+E1346+F1346+G1346,4)</f>
        <v>0</v>
      </c>
      <c r="I1346" s="234"/>
      <c r="J1346" s="411"/>
      <c r="K1346" s="411"/>
      <c r="L1346" s="414">
        <v>0.1</v>
      </c>
      <c r="M1346" s="414">
        <f>ROUND(+L1346*C1346,4)</f>
        <v>0</v>
      </c>
      <c r="N1346" s="414"/>
      <c r="O1346" s="414"/>
      <c r="P1346" s="414"/>
      <c r="Q1346" s="419">
        <f>ROUND(+N1346+O1346+P1346,4)</f>
        <v>0</v>
      </c>
      <c r="R1346" s="419">
        <f>ROUND(IF(+Q1346-H1346&lt;=0,0,Q1346-H1346),4)</f>
        <v>0</v>
      </c>
      <c r="S1346" s="423">
        <v>0.5</v>
      </c>
      <c r="T1346" s="419">
        <f>ROUND(+(R1346*C1346)*S1346,4)</f>
        <v>0</v>
      </c>
      <c r="U1346" s="419">
        <f>ROUND(+J1346+M1346+T1346,4)</f>
        <v>0</v>
      </c>
      <c r="V1346" s="235"/>
    </row>
    <row r="1347" spans="1:22" ht="15.75" x14ac:dyDescent="0.25">
      <c r="A1347" s="231"/>
      <c r="B1347" s="232"/>
      <c r="C1347" s="400"/>
      <c r="D1347" s="233"/>
      <c r="E1347" s="405"/>
      <c r="F1347" s="405"/>
      <c r="G1347" s="405"/>
      <c r="H1347" s="408">
        <f>ROUND(+E1347+F1347+G1347,4)</f>
        <v>0</v>
      </c>
      <c r="I1347" s="234"/>
      <c r="J1347" s="411"/>
      <c r="K1347" s="411"/>
      <c r="L1347" s="414">
        <v>0.1</v>
      </c>
      <c r="M1347" s="414">
        <f>ROUND(+L1347*C1347,4)</f>
        <v>0</v>
      </c>
      <c r="N1347" s="414"/>
      <c r="O1347" s="414"/>
      <c r="P1347" s="414"/>
      <c r="Q1347" s="419">
        <f>ROUND(+N1347+O1347+P1347,4)</f>
        <v>0</v>
      </c>
      <c r="R1347" s="419">
        <f>ROUND(IF(+Q1347-H1347&lt;=0,0,Q1347-H1347),4)</f>
        <v>0</v>
      </c>
      <c r="S1347" s="423">
        <v>0.5</v>
      </c>
      <c r="T1347" s="419">
        <f>ROUND(+(R1347*C1347)*S1347,4)</f>
        <v>0</v>
      </c>
      <c r="U1347" s="419">
        <f>ROUND(+J1347+M1347+T1347,4)</f>
        <v>0</v>
      </c>
      <c r="V1347" s="235"/>
    </row>
    <row r="1348" spans="1:22" ht="15.75" x14ac:dyDescent="0.25">
      <c r="A1348" s="231"/>
      <c r="B1348" s="232"/>
      <c r="C1348" s="400"/>
      <c r="D1348" s="233"/>
      <c r="E1348" s="405"/>
      <c r="F1348" s="405"/>
      <c r="G1348" s="405"/>
      <c r="H1348" s="408">
        <f>ROUND(+E1348+F1348+G1348,4)</f>
        <v>0</v>
      </c>
      <c r="I1348" s="234"/>
      <c r="J1348" s="411"/>
      <c r="K1348" s="411"/>
      <c r="L1348" s="414">
        <v>0.1</v>
      </c>
      <c r="M1348" s="414">
        <f>ROUND(+L1348*C1348,4)</f>
        <v>0</v>
      </c>
      <c r="N1348" s="414"/>
      <c r="O1348" s="414"/>
      <c r="P1348" s="414"/>
      <c r="Q1348" s="419">
        <f>ROUND(+N1348+O1348+P1348,4)</f>
        <v>0</v>
      </c>
      <c r="R1348" s="419">
        <f>ROUND(IF(+Q1348-H1348&lt;=0,0,Q1348-H1348),4)</f>
        <v>0</v>
      </c>
      <c r="S1348" s="423">
        <v>0.5</v>
      </c>
      <c r="T1348" s="419">
        <f>ROUND(+(R1348*C1348)*S1348,4)</f>
        <v>0</v>
      </c>
      <c r="U1348" s="419">
        <f>ROUND(+J1348+M1348+T1348,4)</f>
        <v>0</v>
      </c>
      <c r="V1348" s="235"/>
    </row>
    <row r="1349" spans="1:22" ht="15.75" x14ac:dyDescent="0.25">
      <c r="A1349" s="231"/>
      <c r="B1349" s="232"/>
      <c r="C1349" s="400"/>
      <c r="D1349" s="233"/>
      <c r="E1349" s="405"/>
      <c r="F1349" s="405"/>
      <c r="G1349" s="405"/>
      <c r="H1349" s="408">
        <f>ROUND(+E1349+F1349+G1349,4)</f>
        <v>0</v>
      </c>
      <c r="I1349" s="234"/>
      <c r="J1349" s="411"/>
      <c r="K1349" s="411"/>
      <c r="L1349" s="414">
        <v>0.1</v>
      </c>
      <c r="M1349" s="414">
        <f>ROUND(+L1349*C1349,4)</f>
        <v>0</v>
      </c>
      <c r="N1349" s="414"/>
      <c r="O1349" s="414"/>
      <c r="P1349" s="414"/>
      <c r="Q1349" s="419">
        <f>ROUND(+N1349+O1349+P1349,4)</f>
        <v>0</v>
      </c>
      <c r="R1349" s="419">
        <f>ROUND(IF(+Q1349-H1349&lt;=0,0,Q1349-H1349),4)</f>
        <v>0</v>
      </c>
      <c r="S1349" s="423">
        <v>0.5</v>
      </c>
      <c r="T1349" s="419">
        <f>ROUND(+(R1349*C1349)*S1349,4)</f>
        <v>0</v>
      </c>
      <c r="U1349" s="419">
        <f>ROUND(+J1349+M1349+T1349,4)</f>
        <v>0</v>
      </c>
      <c r="V1349" s="235"/>
    </row>
    <row r="1350" spans="1:22" ht="15.75" x14ac:dyDescent="0.25">
      <c r="A1350" s="231"/>
      <c r="B1350" s="232"/>
      <c r="C1350" s="400"/>
      <c r="D1350" s="233"/>
      <c r="E1350" s="405"/>
      <c r="F1350" s="405"/>
      <c r="G1350" s="405"/>
      <c r="H1350" s="408">
        <f>ROUND(+E1350+F1350+G1350,4)</f>
        <v>0</v>
      </c>
      <c r="I1350" s="234"/>
      <c r="J1350" s="411"/>
      <c r="K1350" s="411"/>
      <c r="L1350" s="414">
        <v>0.1</v>
      </c>
      <c r="M1350" s="414">
        <f>ROUND(+L1350*C1350,4)</f>
        <v>0</v>
      </c>
      <c r="N1350" s="414"/>
      <c r="O1350" s="414"/>
      <c r="P1350" s="414"/>
      <c r="Q1350" s="419">
        <f>ROUND(+N1350+O1350+P1350,4)</f>
        <v>0</v>
      </c>
      <c r="R1350" s="419">
        <f>ROUND(IF(+Q1350-H1350&lt;=0,0,Q1350-H1350),4)</f>
        <v>0</v>
      </c>
      <c r="S1350" s="423">
        <v>0.5</v>
      </c>
      <c r="T1350" s="419">
        <f>ROUND(+(R1350*C1350)*S1350,4)</f>
        <v>0</v>
      </c>
      <c r="U1350" s="419">
        <f>ROUND(+J1350+M1350+T1350,4)</f>
        <v>0</v>
      </c>
      <c r="V1350" s="235"/>
    </row>
    <row r="1351" spans="1:22" ht="15.75" x14ac:dyDescent="0.25">
      <c r="A1351" s="231"/>
      <c r="B1351" s="232"/>
      <c r="C1351" s="400"/>
      <c r="D1351" s="233"/>
      <c r="E1351" s="405"/>
      <c r="F1351" s="405"/>
      <c r="G1351" s="405"/>
      <c r="H1351" s="408">
        <f>ROUND(+E1351+F1351+G1351,4)</f>
        <v>0</v>
      </c>
      <c r="I1351" s="234"/>
      <c r="J1351" s="411"/>
      <c r="K1351" s="411"/>
      <c r="L1351" s="414">
        <v>0.1</v>
      </c>
      <c r="M1351" s="414">
        <f>ROUND(+L1351*C1351,4)</f>
        <v>0</v>
      </c>
      <c r="N1351" s="414"/>
      <c r="O1351" s="414"/>
      <c r="P1351" s="414"/>
      <c r="Q1351" s="419">
        <f>ROUND(+N1351+O1351+P1351,4)</f>
        <v>0</v>
      </c>
      <c r="R1351" s="419">
        <f>ROUND(IF(+Q1351-H1351&lt;=0,0,Q1351-H1351),4)</f>
        <v>0</v>
      </c>
      <c r="S1351" s="423">
        <v>0.5</v>
      </c>
      <c r="T1351" s="419">
        <f>ROUND(+(R1351*C1351)*S1351,4)</f>
        <v>0</v>
      </c>
      <c r="U1351" s="419">
        <f>ROUND(+J1351+M1351+T1351,4)</f>
        <v>0</v>
      </c>
      <c r="V1351" s="235"/>
    </row>
    <row r="1352" spans="1:22" ht="15.75" x14ac:dyDescent="0.25">
      <c r="A1352" s="231"/>
      <c r="B1352" s="232"/>
      <c r="C1352" s="400"/>
      <c r="D1352" s="233"/>
      <c r="E1352" s="405"/>
      <c r="F1352" s="405"/>
      <c r="G1352" s="405"/>
      <c r="H1352" s="408">
        <f>ROUND(+E1352+F1352+G1352,4)</f>
        <v>0</v>
      </c>
      <c r="I1352" s="234"/>
      <c r="J1352" s="411"/>
      <c r="K1352" s="411"/>
      <c r="L1352" s="414">
        <v>0.1</v>
      </c>
      <c r="M1352" s="414">
        <f>ROUND(+L1352*C1352,4)</f>
        <v>0</v>
      </c>
      <c r="N1352" s="414"/>
      <c r="O1352" s="414"/>
      <c r="P1352" s="414"/>
      <c r="Q1352" s="419">
        <f>ROUND(+N1352+O1352+P1352,4)</f>
        <v>0</v>
      </c>
      <c r="R1352" s="419">
        <f>ROUND(IF(+Q1352-H1352&lt;=0,0,Q1352-H1352),4)</f>
        <v>0</v>
      </c>
      <c r="S1352" s="423">
        <v>0.5</v>
      </c>
      <c r="T1352" s="419">
        <f>ROUND(+(R1352*C1352)*S1352,4)</f>
        <v>0</v>
      </c>
      <c r="U1352" s="419">
        <f>ROUND(+J1352+M1352+T1352,4)</f>
        <v>0</v>
      </c>
      <c r="V1352" s="235"/>
    </row>
    <row r="1353" spans="1:22" ht="15.75" x14ac:dyDescent="0.25">
      <c r="A1353" s="231"/>
      <c r="B1353" s="232"/>
      <c r="C1353" s="400"/>
      <c r="D1353" s="233"/>
      <c r="E1353" s="405"/>
      <c r="F1353" s="405"/>
      <c r="G1353" s="405"/>
      <c r="H1353" s="408">
        <f>ROUND(+E1353+F1353+G1353,4)</f>
        <v>0</v>
      </c>
      <c r="I1353" s="234"/>
      <c r="J1353" s="411"/>
      <c r="K1353" s="411"/>
      <c r="L1353" s="414">
        <v>0.1</v>
      </c>
      <c r="M1353" s="414">
        <f>ROUND(+L1353*C1353,4)</f>
        <v>0</v>
      </c>
      <c r="N1353" s="414"/>
      <c r="O1353" s="414"/>
      <c r="P1353" s="414"/>
      <c r="Q1353" s="419">
        <f>ROUND(+N1353+O1353+P1353,4)</f>
        <v>0</v>
      </c>
      <c r="R1353" s="419">
        <f>ROUND(IF(+Q1353-H1353&lt;=0,0,Q1353-H1353),4)</f>
        <v>0</v>
      </c>
      <c r="S1353" s="423">
        <v>0.5</v>
      </c>
      <c r="T1353" s="419">
        <f>ROUND(+(R1353*C1353)*S1353,4)</f>
        <v>0</v>
      </c>
      <c r="U1353" s="419">
        <f>ROUND(+J1353+M1353+T1353,4)</f>
        <v>0</v>
      </c>
      <c r="V1353" s="235"/>
    </row>
    <row r="1354" spans="1:22" ht="15.75" x14ac:dyDescent="0.25">
      <c r="A1354" s="231"/>
      <c r="B1354" s="232"/>
      <c r="C1354" s="400"/>
      <c r="D1354" s="233"/>
      <c r="E1354" s="405"/>
      <c r="F1354" s="405"/>
      <c r="G1354" s="405"/>
      <c r="H1354" s="408">
        <f>ROUND(+E1354+F1354+G1354,4)</f>
        <v>0</v>
      </c>
      <c r="I1354" s="234"/>
      <c r="J1354" s="411"/>
      <c r="K1354" s="411"/>
      <c r="L1354" s="414">
        <v>0.1</v>
      </c>
      <c r="M1354" s="414">
        <f>ROUND(+L1354*C1354,4)</f>
        <v>0</v>
      </c>
      <c r="N1354" s="414"/>
      <c r="O1354" s="414"/>
      <c r="P1354" s="414"/>
      <c r="Q1354" s="419">
        <f>ROUND(+N1354+O1354+P1354,4)</f>
        <v>0</v>
      </c>
      <c r="R1354" s="419">
        <f>ROUND(IF(+Q1354-H1354&lt;=0,0,Q1354-H1354),4)</f>
        <v>0</v>
      </c>
      <c r="S1354" s="423">
        <v>0.5</v>
      </c>
      <c r="T1354" s="419">
        <f>ROUND(+(R1354*C1354)*S1354,4)</f>
        <v>0</v>
      </c>
      <c r="U1354" s="419">
        <f>ROUND(+J1354+M1354+T1354,4)</f>
        <v>0</v>
      </c>
      <c r="V1354" s="235"/>
    </row>
    <row r="1355" spans="1:22" ht="15.75" x14ac:dyDescent="0.25">
      <c r="A1355" s="231"/>
      <c r="B1355" s="232"/>
      <c r="C1355" s="400"/>
      <c r="D1355" s="233"/>
      <c r="E1355" s="405"/>
      <c r="F1355" s="405"/>
      <c r="G1355" s="405"/>
      <c r="H1355" s="408">
        <f>ROUND(+E1355+F1355+G1355,4)</f>
        <v>0</v>
      </c>
      <c r="I1355" s="234"/>
      <c r="J1355" s="411"/>
      <c r="K1355" s="411"/>
      <c r="L1355" s="414">
        <v>0.1</v>
      </c>
      <c r="M1355" s="414">
        <f>ROUND(+L1355*C1355,4)</f>
        <v>0</v>
      </c>
      <c r="N1355" s="414"/>
      <c r="O1355" s="414"/>
      <c r="P1355" s="414"/>
      <c r="Q1355" s="419">
        <f>ROUND(+N1355+O1355+P1355,4)</f>
        <v>0</v>
      </c>
      <c r="R1355" s="419">
        <f>ROUND(IF(+Q1355-H1355&lt;=0,0,Q1355-H1355),4)</f>
        <v>0</v>
      </c>
      <c r="S1355" s="423">
        <v>0.5</v>
      </c>
      <c r="T1355" s="419">
        <f>ROUND(+(R1355*C1355)*S1355,4)</f>
        <v>0</v>
      </c>
      <c r="U1355" s="419">
        <f>ROUND(+J1355+M1355+T1355,4)</f>
        <v>0</v>
      </c>
      <c r="V1355" s="235"/>
    </row>
    <row r="1356" spans="1:22" ht="15.75" x14ac:dyDescent="0.25">
      <c r="A1356" s="231"/>
      <c r="B1356" s="232"/>
      <c r="C1356" s="400"/>
      <c r="D1356" s="233"/>
      <c r="E1356" s="405"/>
      <c r="F1356" s="405"/>
      <c r="G1356" s="405"/>
      <c r="H1356" s="408">
        <f>ROUND(+E1356+F1356+G1356,4)</f>
        <v>0</v>
      </c>
      <c r="I1356" s="234"/>
      <c r="J1356" s="411"/>
      <c r="K1356" s="411"/>
      <c r="L1356" s="414">
        <v>0.1</v>
      </c>
      <c r="M1356" s="414">
        <f>ROUND(+L1356*C1356,4)</f>
        <v>0</v>
      </c>
      <c r="N1356" s="414"/>
      <c r="O1356" s="414"/>
      <c r="P1356" s="414"/>
      <c r="Q1356" s="419">
        <f>ROUND(+N1356+O1356+P1356,4)</f>
        <v>0</v>
      </c>
      <c r="R1356" s="419">
        <f>ROUND(IF(+Q1356-H1356&lt;=0,0,Q1356-H1356),4)</f>
        <v>0</v>
      </c>
      <c r="S1356" s="423">
        <v>0.5</v>
      </c>
      <c r="T1356" s="419">
        <f>ROUND(+(R1356*C1356)*S1356,4)</f>
        <v>0</v>
      </c>
      <c r="U1356" s="419">
        <f>ROUND(+J1356+M1356+T1356,4)</f>
        <v>0</v>
      </c>
      <c r="V1356" s="235"/>
    </row>
    <row r="1357" spans="1:22" ht="15.75" x14ac:dyDescent="0.25">
      <c r="A1357" s="231"/>
      <c r="B1357" s="232"/>
      <c r="C1357" s="400"/>
      <c r="D1357" s="233"/>
      <c r="E1357" s="405"/>
      <c r="F1357" s="405"/>
      <c r="G1357" s="405"/>
      <c r="H1357" s="408">
        <f>ROUND(+E1357+F1357+G1357,4)</f>
        <v>0</v>
      </c>
      <c r="I1357" s="234"/>
      <c r="J1357" s="411"/>
      <c r="K1357" s="411"/>
      <c r="L1357" s="414">
        <v>0.1</v>
      </c>
      <c r="M1357" s="414">
        <f>ROUND(+L1357*C1357,4)</f>
        <v>0</v>
      </c>
      <c r="N1357" s="414"/>
      <c r="O1357" s="414"/>
      <c r="P1357" s="414"/>
      <c r="Q1357" s="419">
        <f>ROUND(+N1357+O1357+P1357,4)</f>
        <v>0</v>
      </c>
      <c r="R1357" s="419">
        <f>ROUND(IF(+Q1357-H1357&lt;=0,0,Q1357-H1357),4)</f>
        <v>0</v>
      </c>
      <c r="S1357" s="423">
        <v>0.5</v>
      </c>
      <c r="T1357" s="419">
        <f>ROUND(+(R1357*C1357)*S1357,4)</f>
        <v>0</v>
      </c>
      <c r="U1357" s="419">
        <f>ROUND(+J1357+M1357+T1357,4)</f>
        <v>0</v>
      </c>
      <c r="V1357" s="235"/>
    </row>
    <row r="1358" spans="1:22" ht="15.75" x14ac:dyDescent="0.25">
      <c r="A1358" s="231"/>
      <c r="B1358" s="232"/>
      <c r="C1358" s="400"/>
      <c r="D1358" s="233"/>
      <c r="E1358" s="405"/>
      <c r="F1358" s="405"/>
      <c r="G1358" s="405"/>
      <c r="H1358" s="408">
        <f>ROUND(+E1358+F1358+G1358,4)</f>
        <v>0</v>
      </c>
      <c r="I1358" s="234"/>
      <c r="J1358" s="411"/>
      <c r="K1358" s="411"/>
      <c r="L1358" s="414">
        <v>0.1</v>
      </c>
      <c r="M1358" s="414">
        <f>ROUND(+L1358*C1358,4)</f>
        <v>0</v>
      </c>
      <c r="N1358" s="414"/>
      <c r="O1358" s="414"/>
      <c r="P1358" s="414"/>
      <c r="Q1358" s="419">
        <f>ROUND(+N1358+O1358+P1358,4)</f>
        <v>0</v>
      </c>
      <c r="R1358" s="419">
        <f>ROUND(IF(+Q1358-H1358&lt;=0,0,Q1358-H1358),4)</f>
        <v>0</v>
      </c>
      <c r="S1358" s="423">
        <v>0.5</v>
      </c>
      <c r="T1358" s="419">
        <f>ROUND(+(R1358*C1358)*S1358,4)</f>
        <v>0</v>
      </c>
      <c r="U1358" s="419">
        <f>ROUND(+J1358+M1358+T1358,4)</f>
        <v>0</v>
      </c>
      <c r="V1358" s="235"/>
    </row>
    <row r="1359" spans="1:22" ht="15.75" x14ac:dyDescent="0.25">
      <c r="A1359" s="231"/>
      <c r="B1359" s="232"/>
      <c r="C1359" s="400"/>
      <c r="D1359" s="233"/>
      <c r="E1359" s="405"/>
      <c r="F1359" s="405"/>
      <c r="G1359" s="405"/>
      <c r="H1359" s="408">
        <f>ROUND(+E1359+F1359+G1359,4)</f>
        <v>0</v>
      </c>
      <c r="I1359" s="234"/>
      <c r="J1359" s="411"/>
      <c r="K1359" s="411"/>
      <c r="L1359" s="414">
        <v>0.1</v>
      </c>
      <c r="M1359" s="414">
        <f>ROUND(+L1359*C1359,4)</f>
        <v>0</v>
      </c>
      <c r="N1359" s="414"/>
      <c r="O1359" s="414"/>
      <c r="P1359" s="414"/>
      <c r="Q1359" s="419">
        <f>ROUND(+N1359+O1359+P1359,4)</f>
        <v>0</v>
      </c>
      <c r="R1359" s="419">
        <f>ROUND(IF(+Q1359-H1359&lt;=0,0,Q1359-H1359),4)</f>
        <v>0</v>
      </c>
      <c r="S1359" s="423">
        <v>0.5</v>
      </c>
      <c r="T1359" s="419">
        <f>ROUND(+(R1359*C1359)*S1359,4)</f>
        <v>0</v>
      </c>
      <c r="U1359" s="419">
        <f>ROUND(+J1359+M1359+T1359,4)</f>
        <v>0</v>
      </c>
      <c r="V1359" s="235"/>
    </row>
    <row r="1360" spans="1:22" ht="15.75" x14ac:dyDescent="0.25">
      <c r="A1360" s="231"/>
      <c r="B1360" s="232"/>
      <c r="C1360" s="400"/>
      <c r="D1360" s="233"/>
      <c r="E1360" s="405"/>
      <c r="F1360" s="405"/>
      <c r="G1360" s="405"/>
      <c r="H1360" s="408">
        <f>ROUND(+E1360+F1360+G1360,4)</f>
        <v>0</v>
      </c>
      <c r="I1360" s="234"/>
      <c r="J1360" s="411"/>
      <c r="K1360" s="411"/>
      <c r="L1360" s="414">
        <v>0.1</v>
      </c>
      <c r="M1360" s="414">
        <f>ROUND(+L1360*C1360,4)</f>
        <v>0</v>
      </c>
      <c r="N1360" s="414"/>
      <c r="O1360" s="414"/>
      <c r="P1360" s="414"/>
      <c r="Q1360" s="419">
        <f>ROUND(+N1360+O1360+P1360,4)</f>
        <v>0</v>
      </c>
      <c r="R1360" s="419">
        <f>ROUND(IF(+Q1360-H1360&lt;=0,0,Q1360-H1360),4)</f>
        <v>0</v>
      </c>
      <c r="S1360" s="423">
        <v>0.5</v>
      </c>
      <c r="T1360" s="419">
        <f>ROUND(+(R1360*C1360)*S1360,4)</f>
        <v>0</v>
      </c>
      <c r="U1360" s="419">
        <f>ROUND(+J1360+M1360+T1360,4)</f>
        <v>0</v>
      </c>
      <c r="V1360" s="235"/>
    </row>
    <row r="1361" spans="1:22" ht="15.75" x14ac:dyDescent="0.25">
      <c r="A1361" s="231"/>
      <c r="B1361" s="232"/>
      <c r="C1361" s="400"/>
      <c r="D1361" s="233"/>
      <c r="E1361" s="405"/>
      <c r="F1361" s="405"/>
      <c r="G1361" s="405"/>
      <c r="H1361" s="408">
        <f>ROUND(+E1361+F1361+G1361,4)</f>
        <v>0</v>
      </c>
      <c r="I1361" s="234"/>
      <c r="J1361" s="411"/>
      <c r="K1361" s="411"/>
      <c r="L1361" s="414">
        <v>0.1</v>
      </c>
      <c r="M1361" s="414">
        <f>ROUND(+L1361*C1361,4)</f>
        <v>0</v>
      </c>
      <c r="N1361" s="414"/>
      <c r="O1361" s="414"/>
      <c r="P1361" s="414"/>
      <c r="Q1361" s="419">
        <f>ROUND(+N1361+O1361+P1361,4)</f>
        <v>0</v>
      </c>
      <c r="R1361" s="419">
        <f>ROUND(IF(+Q1361-H1361&lt;=0,0,Q1361-H1361),4)</f>
        <v>0</v>
      </c>
      <c r="S1361" s="423">
        <v>0.5</v>
      </c>
      <c r="T1361" s="419">
        <f>ROUND(+(R1361*C1361)*S1361,4)</f>
        <v>0</v>
      </c>
      <c r="U1361" s="419">
        <f>ROUND(+J1361+M1361+T1361,4)</f>
        <v>0</v>
      </c>
      <c r="V1361" s="235"/>
    </row>
    <row r="1362" spans="1:22" ht="15.75" x14ac:dyDescent="0.25">
      <c r="A1362" s="231"/>
      <c r="B1362" s="232"/>
      <c r="C1362" s="400"/>
      <c r="D1362" s="233"/>
      <c r="E1362" s="405"/>
      <c r="F1362" s="405"/>
      <c r="G1362" s="405"/>
      <c r="H1362" s="408">
        <f>ROUND(+E1362+F1362+G1362,4)</f>
        <v>0</v>
      </c>
      <c r="I1362" s="234"/>
      <c r="J1362" s="411"/>
      <c r="K1362" s="411"/>
      <c r="L1362" s="414">
        <v>0.1</v>
      </c>
      <c r="M1362" s="414">
        <f>ROUND(+L1362*C1362,4)</f>
        <v>0</v>
      </c>
      <c r="N1362" s="414"/>
      <c r="O1362" s="414"/>
      <c r="P1362" s="414"/>
      <c r="Q1362" s="419">
        <f>ROUND(+N1362+O1362+P1362,4)</f>
        <v>0</v>
      </c>
      <c r="R1362" s="419">
        <f>ROUND(IF(+Q1362-H1362&lt;=0,0,Q1362-H1362),4)</f>
        <v>0</v>
      </c>
      <c r="S1362" s="423">
        <v>0.5</v>
      </c>
      <c r="T1362" s="419">
        <f>ROUND(+(R1362*C1362)*S1362,4)</f>
        <v>0</v>
      </c>
      <c r="U1362" s="419">
        <f>ROUND(+J1362+M1362+T1362,4)</f>
        <v>0</v>
      </c>
      <c r="V1362" s="235"/>
    </row>
    <row r="1363" spans="1:22" ht="15.75" x14ac:dyDescent="0.25">
      <c r="A1363" s="231"/>
      <c r="B1363" s="232"/>
      <c r="C1363" s="400"/>
      <c r="D1363" s="233"/>
      <c r="E1363" s="405"/>
      <c r="F1363" s="405"/>
      <c r="G1363" s="405"/>
      <c r="H1363" s="408">
        <f>ROUND(+E1363+F1363+G1363,4)</f>
        <v>0</v>
      </c>
      <c r="I1363" s="234"/>
      <c r="J1363" s="411"/>
      <c r="K1363" s="411"/>
      <c r="L1363" s="414">
        <v>0.1</v>
      </c>
      <c r="M1363" s="414">
        <f>ROUND(+L1363*C1363,4)</f>
        <v>0</v>
      </c>
      <c r="N1363" s="414"/>
      <c r="O1363" s="414"/>
      <c r="P1363" s="414"/>
      <c r="Q1363" s="419">
        <f>ROUND(+N1363+O1363+P1363,4)</f>
        <v>0</v>
      </c>
      <c r="R1363" s="419">
        <f>ROUND(IF(+Q1363-H1363&lt;=0,0,Q1363-H1363),4)</f>
        <v>0</v>
      </c>
      <c r="S1363" s="423">
        <v>0.5</v>
      </c>
      <c r="T1363" s="419">
        <f>ROUND(+(R1363*C1363)*S1363,4)</f>
        <v>0</v>
      </c>
      <c r="U1363" s="419">
        <f>ROUND(+J1363+M1363+T1363,4)</f>
        <v>0</v>
      </c>
      <c r="V1363" s="235"/>
    </row>
    <row r="1364" spans="1:22" ht="15.75" x14ac:dyDescent="0.25">
      <c r="A1364" s="231"/>
      <c r="B1364" s="232"/>
      <c r="C1364" s="400"/>
      <c r="D1364" s="233"/>
      <c r="E1364" s="405"/>
      <c r="F1364" s="405"/>
      <c r="G1364" s="405"/>
      <c r="H1364" s="408">
        <f>ROUND(+E1364+F1364+G1364,4)</f>
        <v>0</v>
      </c>
      <c r="I1364" s="234"/>
      <c r="J1364" s="411"/>
      <c r="K1364" s="411"/>
      <c r="L1364" s="414">
        <v>0.1</v>
      </c>
      <c r="M1364" s="414">
        <f>ROUND(+L1364*C1364,4)</f>
        <v>0</v>
      </c>
      <c r="N1364" s="414"/>
      <c r="O1364" s="414"/>
      <c r="P1364" s="414"/>
      <c r="Q1364" s="419">
        <f>ROUND(+N1364+O1364+P1364,4)</f>
        <v>0</v>
      </c>
      <c r="R1364" s="419">
        <f>ROUND(IF(+Q1364-H1364&lt;=0,0,Q1364-H1364),4)</f>
        <v>0</v>
      </c>
      <c r="S1364" s="423">
        <v>0.5</v>
      </c>
      <c r="T1364" s="419">
        <f>ROUND(+(R1364*C1364)*S1364,4)</f>
        <v>0</v>
      </c>
      <c r="U1364" s="419">
        <f>ROUND(+J1364+M1364+T1364,4)</f>
        <v>0</v>
      </c>
      <c r="V1364" s="235"/>
    </row>
    <row r="1365" spans="1:22" ht="15.75" x14ac:dyDescent="0.25">
      <c r="A1365" s="231"/>
      <c r="B1365" s="232"/>
      <c r="C1365" s="400"/>
      <c r="D1365" s="233"/>
      <c r="E1365" s="405"/>
      <c r="F1365" s="405"/>
      <c r="G1365" s="405"/>
      <c r="H1365" s="408">
        <f>ROUND(+E1365+F1365+G1365,4)</f>
        <v>0</v>
      </c>
      <c r="I1365" s="234"/>
      <c r="J1365" s="411"/>
      <c r="K1365" s="411"/>
      <c r="L1365" s="414">
        <v>0.1</v>
      </c>
      <c r="M1365" s="414">
        <f>ROUND(+L1365*C1365,4)</f>
        <v>0</v>
      </c>
      <c r="N1365" s="414"/>
      <c r="O1365" s="414"/>
      <c r="P1365" s="414"/>
      <c r="Q1365" s="419">
        <f>ROUND(+N1365+O1365+P1365,4)</f>
        <v>0</v>
      </c>
      <c r="R1365" s="419">
        <f>ROUND(IF(+Q1365-H1365&lt;=0,0,Q1365-H1365),4)</f>
        <v>0</v>
      </c>
      <c r="S1365" s="423">
        <v>0.5</v>
      </c>
      <c r="T1365" s="419">
        <f>ROUND(+(R1365*C1365)*S1365,4)</f>
        <v>0</v>
      </c>
      <c r="U1365" s="419">
        <f>ROUND(+J1365+M1365+T1365,4)</f>
        <v>0</v>
      </c>
      <c r="V1365" s="235"/>
    </row>
    <row r="1366" spans="1:22" ht="15.75" x14ac:dyDescent="0.25">
      <c r="A1366" s="231"/>
      <c r="B1366" s="232"/>
      <c r="C1366" s="400"/>
      <c r="D1366" s="233"/>
      <c r="E1366" s="405"/>
      <c r="F1366" s="405"/>
      <c r="G1366" s="405"/>
      <c r="H1366" s="408">
        <f>ROUND(+E1366+F1366+G1366,4)</f>
        <v>0</v>
      </c>
      <c r="I1366" s="234"/>
      <c r="J1366" s="411"/>
      <c r="K1366" s="411"/>
      <c r="L1366" s="414">
        <v>0.1</v>
      </c>
      <c r="M1366" s="414">
        <f>ROUND(+L1366*C1366,4)</f>
        <v>0</v>
      </c>
      <c r="N1366" s="414"/>
      <c r="O1366" s="414"/>
      <c r="P1366" s="414"/>
      <c r="Q1366" s="419">
        <f>ROUND(+N1366+O1366+P1366,4)</f>
        <v>0</v>
      </c>
      <c r="R1366" s="419">
        <f>ROUND(IF(+Q1366-H1366&lt;=0,0,Q1366-H1366),4)</f>
        <v>0</v>
      </c>
      <c r="S1366" s="423">
        <v>0.5</v>
      </c>
      <c r="T1366" s="419">
        <f>ROUND(+(R1366*C1366)*S1366,4)</f>
        <v>0</v>
      </c>
      <c r="U1366" s="419">
        <f>ROUND(+J1366+M1366+T1366,4)</f>
        <v>0</v>
      </c>
      <c r="V1366" s="235"/>
    </row>
    <row r="1367" spans="1:22" ht="15.75" x14ac:dyDescent="0.25">
      <c r="A1367" s="231"/>
      <c r="B1367" s="232"/>
      <c r="C1367" s="400"/>
      <c r="D1367" s="233"/>
      <c r="E1367" s="405"/>
      <c r="F1367" s="405"/>
      <c r="G1367" s="405"/>
      <c r="H1367" s="408">
        <f>ROUND(+E1367+F1367+G1367,4)</f>
        <v>0</v>
      </c>
      <c r="I1367" s="234"/>
      <c r="J1367" s="411"/>
      <c r="K1367" s="411"/>
      <c r="L1367" s="414">
        <v>0.1</v>
      </c>
      <c r="M1367" s="414">
        <f>ROUND(+L1367*C1367,4)</f>
        <v>0</v>
      </c>
      <c r="N1367" s="414"/>
      <c r="O1367" s="414"/>
      <c r="P1367" s="414"/>
      <c r="Q1367" s="419">
        <f>ROUND(+N1367+O1367+P1367,4)</f>
        <v>0</v>
      </c>
      <c r="R1367" s="419">
        <f>ROUND(IF(+Q1367-H1367&lt;=0,0,Q1367-H1367),4)</f>
        <v>0</v>
      </c>
      <c r="S1367" s="423">
        <v>0.5</v>
      </c>
      <c r="T1367" s="419">
        <f>ROUND(+(R1367*C1367)*S1367,4)</f>
        <v>0</v>
      </c>
      <c r="U1367" s="419">
        <f>ROUND(+J1367+M1367+T1367,4)</f>
        <v>0</v>
      </c>
      <c r="V1367" s="235"/>
    </row>
    <row r="1368" spans="1:22" ht="15.75" x14ac:dyDescent="0.25">
      <c r="A1368" s="231"/>
      <c r="B1368" s="232"/>
      <c r="C1368" s="400"/>
      <c r="D1368" s="233"/>
      <c r="E1368" s="405"/>
      <c r="F1368" s="405"/>
      <c r="G1368" s="405"/>
      <c r="H1368" s="408">
        <f>ROUND(+E1368+F1368+G1368,4)</f>
        <v>0</v>
      </c>
      <c r="I1368" s="234"/>
      <c r="J1368" s="411"/>
      <c r="K1368" s="411"/>
      <c r="L1368" s="414">
        <v>0.1</v>
      </c>
      <c r="M1368" s="414">
        <f>ROUND(+L1368*C1368,4)</f>
        <v>0</v>
      </c>
      <c r="N1368" s="414"/>
      <c r="O1368" s="414"/>
      <c r="P1368" s="414"/>
      <c r="Q1368" s="419">
        <f>ROUND(+N1368+O1368+P1368,4)</f>
        <v>0</v>
      </c>
      <c r="R1368" s="419">
        <f>ROUND(IF(+Q1368-H1368&lt;=0,0,Q1368-H1368),4)</f>
        <v>0</v>
      </c>
      <c r="S1368" s="423">
        <v>0.5</v>
      </c>
      <c r="T1368" s="419">
        <f>ROUND(+(R1368*C1368)*S1368,4)</f>
        <v>0</v>
      </c>
      <c r="U1368" s="419">
        <f>ROUND(+J1368+M1368+T1368,4)</f>
        <v>0</v>
      </c>
      <c r="V1368" s="235"/>
    </row>
    <row r="1369" spans="1:22" ht="15.75" x14ac:dyDescent="0.25">
      <c r="A1369" s="231"/>
      <c r="B1369" s="232"/>
      <c r="C1369" s="400"/>
      <c r="D1369" s="233"/>
      <c r="E1369" s="405"/>
      <c r="F1369" s="405"/>
      <c r="G1369" s="405"/>
      <c r="H1369" s="408">
        <f>ROUND(+E1369+F1369+G1369,4)</f>
        <v>0</v>
      </c>
      <c r="I1369" s="234"/>
      <c r="J1369" s="411"/>
      <c r="K1369" s="411"/>
      <c r="L1369" s="414">
        <v>0.1</v>
      </c>
      <c r="M1369" s="414">
        <f>ROUND(+L1369*C1369,4)</f>
        <v>0</v>
      </c>
      <c r="N1369" s="414"/>
      <c r="O1369" s="414"/>
      <c r="P1369" s="414"/>
      <c r="Q1369" s="419">
        <f>ROUND(+N1369+O1369+P1369,4)</f>
        <v>0</v>
      </c>
      <c r="R1369" s="419">
        <f>ROUND(IF(+Q1369-H1369&lt;=0,0,Q1369-H1369),4)</f>
        <v>0</v>
      </c>
      <c r="S1369" s="423">
        <v>0.5</v>
      </c>
      <c r="T1369" s="419">
        <f>ROUND(+(R1369*C1369)*S1369,4)</f>
        <v>0</v>
      </c>
      <c r="U1369" s="419">
        <f>ROUND(+J1369+M1369+T1369,4)</f>
        <v>0</v>
      </c>
      <c r="V1369" s="235"/>
    </row>
    <row r="1370" spans="1:22" ht="15.75" x14ac:dyDescent="0.25">
      <c r="A1370" s="231"/>
      <c r="B1370" s="232"/>
      <c r="C1370" s="400"/>
      <c r="D1370" s="233"/>
      <c r="E1370" s="405"/>
      <c r="F1370" s="405"/>
      <c r="G1370" s="405"/>
      <c r="H1370" s="408">
        <f>ROUND(+E1370+F1370+G1370,4)</f>
        <v>0</v>
      </c>
      <c r="I1370" s="234"/>
      <c r="J1370" s="411"/>
      <c r="K1370" s="411"/>
      <c r="L1370" s="414">
        <v>0.1</v>
      </c>
      <c r="M1370" s="414">
        <f>ROUND(+L1370*C1370,4)</f>
        <v>0</v>
      </c>
      <c r="N1370" s="414"/>
      <c r="O1370" s="414"/>
      <c r="P1370" s="414"/>
      <c r="Q1370" s="419">
        <f>ROUND(+N1370+O1370+P1370,4)</f>
        <v>0</v>
      </c>
      <c r="R1370" s="419">
        <f>ROUND(IF(+Q1370-H1370&lt;=0,0,Q1370-H1370),4)</f>
        <v>0</v>
      </c>
      <c r="S1370" s="423">
        <v>0.5</v>
      </c>
      <c r="T1370" s="419">
        <f>ROUND(+(R1370*C1370)*S1370,4)</f>
        <v>0</v>
      </c>
      <c r="U1370" s="419">
        <f>ROUND(+J1370+M1370+T1370,4)</f>
        <v>0</v>
      </c>
      <c r="V1370" s="235"/>
    </row>
    <row r="1371" spans="1:22" ht="15.75" x14ac:dyDescent="0.25">
      <c r="A1371" s="231"/>
      <c r="B1371" s="232"/>
      <c r="C1371" s="400"/>
      <c r="D1371" s="233"/>
      <c r="E1371" s="405"/>
      <c r="F1371" s="405"/>
      <c r="G1371" s="405"/>
      <c r="H1371" s="408">
        <f>ROUND(+E1371+F1371+G1371,4)</f>
        <v>0</v>
      </c>
      <c r="I1371" s="234"/>
      <c r="J1371" s="411"/>
      <c r="K1371" s="411"/>
      <c r="L1371" s="414">
        <v>0.1</v>
      </c>
      <c r="M1371" s="414">
        <f>ROUND(+L1371*C1371,4)</f>
        <v>0</v>
      </c>
      <c r="N1371" s="414"/>
      <c r="O1371" s="414"/>
      <c r="P1371" s="414"/>
      <c r="Q1371" s="419">
        <f>ROUND(+N1371+O1371+P1371,4)</f>
        <v>0</v>
      </c>
      <c r="R1371" s="419">
        <f>ROUND(IF(+Q1371-H1371&lt;=0,0,Q1371-H1371),4)</f>
        <v>0</v>
      </c>
      <c r="S1371" s="423">
        <v>0.5</v>
      </c>
      <c r="T1371" s="419">
        <f>ROUND(+(R1371*C1371)*S1371,4)</f>
        <v>0</v>
      </c>
      <c r="U1371" s="419">
        <f>ROUND(+J1371+M1371+T1371,4)</f>
        <v>0</v>
      </c>
      <c r="V1371" s="235"/>
    </row>
    <row r="1372" spans="1:22" ht="15.75" x14ac:dyDescent="0.25">
      <c r="A1372" s="231"/>
      <c r="B1372" s="232"/>
      <c r="C1372" s="400"/>
      <c r="D1372" s="233"/>
      <c r="E1372" s="405"/>
      <c r="F1372" s="405"/>
      <c r="G1372" s="405"/>
      <c r="H1372" s="408">
        <f>ROUND(+E1372+F1372+G1372,4)</f>
        <v>0</v>
      </c>
      <c r="I1372" s="234"/>
      <c r="J1372" s="411"/>
      <c r="K1372" s="411"/>
      <c r="L1372" s="414">
        <v>0.1</v>
      </c>
      <c r="M1372" s="414">
        <f>ROUND(+L1372*C1372,4)</f>
        <v>0</v>
      </c>
      <c r="N1372" s="414"/>
      <c r="O1372" s="414"/>
      <c r="P1372" s="414"/>
      <c r="Q1372" s="419">
        <f>ROUND(+N1372+O1372+P1372,4)</f>
        <v>0</v>
      </c>
      <c r="R1372" s="419">
        <f>ROUND(IF(+Q1372-H1372&lt;=0,0,Q1372-H1372),4)</f>
        <v>0</v>
      </c>
      <c r="S1372" s="423">
        <v>0.5</v>
      </c>
      <c r="T1372" s="419">
        <f>ROUND(+(R1372*C1372)*S1372,4)</f>
        <v>0</v>
      </c>
      <c r="U1372" s="419">
        <f>ROUND(+J1372+M1372+T1372,4)</f>
        <v>0</v>
      </c>
      <c r="V1372" s="235"/>
    </row>
    <row r="1373" spans="1:22" ht="15.75" x14ac:dyDescent="0.25">
      <c r="A1373" s="231"/>
      <c r="B1373" s="232"/>
      <c r="C1373" s="400"/>
      <c r="D1373" s="233"/>
      <c r="E1373" s="405"/>
      <c r="F1373" s="405"/>
      <c r="G1373" s="405"/>
      <c r="H1373" s="408">
        <f>ROUND(+E1373+F1373+G1373,4)</f>
        <v>0</v>
      </c>
      <c r="I1373" s="234"/>
      <c r="J1373" s="411"/>
      <c r="K1373" s="411"/>
      <c r="L1373" s="414">
        <v>0.1</v>
      </c>
      <c r="M1373" s="414">
        <f>ROUND(+L1373*C1373,4)</f>
        <v>0</v>
      </c>
      <c r="N1373" s="414"/>
      <c r="O1373" s="414"/>
      <c r="P1373" s="414"/>
      <c r="Q1373" s="419">
        <f>ROUND(+N1373+O1373+P1373,4)</f>
        <v>0</v>
      </c>
      <c r="R1373" s="419">
        <f>ROUND(IF(+Q1373-H1373&lt;=0,0,Q1373-H1373),4)</f>
        <v>0</v>
      </c>
      <c r="S1373" s="423">
        <v>0.5</v>
      </c>
      <c r="T1373" s="419">
        <f>ROUND(+(R1373*C1373)*S1373,4)</f>
        <v>0</v>
      </c>
      <c r="U1373" s="419">
        <f>ROUND(+J1373+M1373+T1373,4)</f>
        <v>0</v>
      </c>
      <c r="V1373" s="235"/>
    </row>
    <row r="1374" spans="1:22" ht="15.75" x14ac:dyDescent="0.25">
      <c r="A1374" s="231"/>
      <c r="B1374" s="232"/>
      <c r="C1374" s="400"/>
      <c r="D1374" s="233"/>
      <c r="E1374" s="405"/>
      <c r="F1374" s="405"/>
      <c r="G1374" s="405"/>
      <c r="H1374" s="408">
        <f>ROUND(+E1374+F1374+G1374,4)</f>
        <v>0</v>
      </c>
      <c r="I1374" s="234"/>
      <c r="J1374" s="411"/>
      <c r="K1374" s="411"/>
      <c r="L1374" s="414">
        <v>0.1</v>
      </c>
      <c r="M1374" s="414">
        <f>ROUND(+L1374*C1374,4)</f>
        <v>0</v>
      </c>
      <c r="N1374" s="414"/>
      <c r="O1374" s="414"/>
      <c r="P1374" s="414"/>
      <c r="Q1374" s="419">
        <f>ROUND(+N1374+O1374+P1374,4)</f>
        <v>0</v>
      </c>
      <c r="R1374" s="419">
        <f>ROUND(IF(+Q1374-H1374&lt;=0,0,Q1374-H1374),4)</f>
        <v>0</v>
      </c>
      <c r="S1374" s="423">
        <v>0.5</v>
      </c>
      <c r="T1374" s="419">
        <f>ROUND(+(R1374*C1374)*S1374,4)</f>
        <v>0</v>
      </c>
      <c r="U1374" s="419">
        <f>ROUND(+J1374+M1374+T1374,4)</f>
        <v>0</v>
      </c>
      <c r="V1374" s="235"/>
    </row>
    <row r="1375" spans="1:22" ht="15.75" x14ac:dyDescent="0.25">
      <c r="A1375" s="231"/>
      <c r="B1375" s="232"/>
      <c r="C1375" s="400"/>
      <c r="D1375" s="233"/>
      <c r="E1375" s="405"/>
      <c r="F1375" s="405"/>
      <c r="G1375" s="405"/>
      <c r="H1375" s="408">
        <f>ROUND(+E1375+F1375+G1375,4)</f>
        <v>0</v>
      </c>
      <c r="I1375" s="234"/>
      <c r="J1375" s="411"/>
      <c r="K1375" s="411"/>
      <c r="L1375" s="414">
        <v>0.1</v>
      </c>
      <c r="M1375" s="414">
        <f>ROUND(+L1375*C1375,4)</f>
        <v>0</v>
      </c>
      <c r="N1375" s="414"/>
      <c r="O1375" s="414"/>
      <c r="P1375" s="414"/>
      <c r="Q1375" s="419">
        <f>ROUND(+N1375+O1375+P1375,4)</f>
        <v>0</v>
      </c>
      <c r="R1375" s="419">
        <f>ROUND(IF(+Q1375-H1375&lt;=0,0,Q1375-H1375),4)</f>
        <v>0</v>
      </c>
      <c r="S1375" s="423">
        <v>0.5</v>
      </c>
      <c r="T1375" s="419">
        <f>ROUND(+(R1375*C1375)*S1375,4)</f>
        <v>0</v>
      </c>
      <c r="U1375" s="419">
        <f>ROUND(+J1375+M1375+T1375,4)</f>
        <v>0</v>
      </c>
      <c r="V1375" s="235"/>
    </row>
    <row r="1376" spans="1:22" ht="15.75" x14ac:dyDescent="0.25">
      <c r="A1376" s="231"/>
      <c r="B1376" s="232"/>
      <c r="C1376" s="400"/>
      <c r="D1376" s="233"/>
      <c r="E1376" s="405"/>
      <c r="F1376" s="405"/>
      <c r="G1376" s="405"/>
      <c r="H1376" s="408">
        <f>ROUND(+E1376+F1376+G1376,4)</f>
        <v>0</v>
      </c>
      <c r="I1376" s="234"/>
      <c r="J1376" s="411"/>
      <c r="K1376" s="411"/>
      <c r="L1376" s="414">
        <v>0.1</v>
      </c>
      <c r="M1376" s="414">
        <f>ROUND(+L1376*C1376,4)</f>
        <v>0</v>
      </c>
      <c r="N1376" s="414"/>
      <c r="O1376" s="414"/>
      <c r="P1376" s="414"/>
      <c r="Q1376" s="419">
        <f>ROUND(+N1376+O1376+P1376,4)</f>
        <v>0</v>
      </c>
      <c r="R1376" s="419">
        <f>ROUND(IF(+Q1376-H1376&lt;=0,0,Q1376-H1376),4)</f>
        <v>0</v>
      </c>
      <c r="S1376" s="423">
        <v>0.5</v>
      </c>
      <c r="T1376" s="419">
        <f>ROUND(+(R1376*C1376)*S1376,4)</f>
        <v>0</v>
      </c>
      <c r="U1376" s="419">
        <f>ROUND(+J1376+M1376+T1376,4)</f>
        <v>0</v>
      </c>
      <c r="V1376" s="235"/>
    </row>
    <row r="1377" spans="1:22" ht="15.75" x14ac:dyDescent="0.25">
      <c r="A1377" s="231"/>
      <c r="B1377" s="232"/>
      <c r="C1377" s="400"/>
      <c r="D1377" s="233"/>
      <c r="E1377" s="405"/>
      <c r="F1377" s="405"/>
      <c r="G1377" s="405"/>
      <c r="H1377" s="408">
        <f>ROUND(+E1377+F1377+G1377,4)</f>
        <v>0</v>
      </c>
      <c r="I1377" s="234"/>
      <c r="J1377" s="411"/>
      <c r="K1377" s="411"/>
      <c r="L1377" s="414">
        <v>0.1</v>
      </c>
      <c r="M1377" s="414">
        <f>ROUND(+L1377*C1377,4)</f>
        <v>0</v>
      </c>
      <c r="N1377" s="414"/>
      <c r="O1377" s="414"/>
      <c r="P1377" s="414"/>
      <c r="Q1377" s="419">
        <f>ROUND(+N1377+O1377+P1377,4)</f>
        <v>0</v>
      </c>
      <c r="R1377" s="419">
        <f>ROUND(IF(+Q1377-H1377&lt;=0,0,Q1377-H1377),4)</f>
        <v>0</v>
      </c>
      <c r="S1377" s="423">
        <v>0.5</v>
      </c>
      <c r="T1377" s="419">
        <f>ROUND(+(R1377*C1377)*S1377,4)</f>
        <v>0</v>
      </c>
      <c r="U1377" s="419">
        <f>ROUND(+J1377+M1377+T1377,4)</f>
        <v>0</v>
      </c>
      <c r="V1377" s="235"/>
    </row>
    <row r="1378" spans="1:22" ht="15.75" x14ac:dyDescent="0.25">
      <c r="A1378" s="231"/>
      <c r="B1378" s="232"/>
      <c r="C1378" s="400"/>
      <c r="D1378" s="233"/>
      <c r="E1378" s="405"/>
      <c r="F1378" s="405"/>
      <c r="G1378" s="405"/>
      <c r="H1378" s="408">
        <f>ROUND(+E1378+F1378+G1378,4)</f>
        <v>0</v>
      </c>
      <c r="I1378" s="234"/>
      <c r="J1378" s="411"/>
      <c r="K1378" s="411"/>
      <c r="L1378" s="414">
        <v>0.1</v>
      </c>
      <c r="M1378" s="414">
        <f>ROUND(+L1378*C1378,4)</f>
        <v>0</v>
      </c>
      <c r="N1378" s="414"/>
      <c r="O1378" s="414"/>
      <c r="P1378" s="414"/>
      <c r="Q1378" s="419">
        <f>ROUND(+N1378+O1378+P1378,4)</f>
        <v>0</v>
      </c>
      <c r="R1378" s="419">
        <f>ROUND(IF(+Q1378-H1378&lt;=0,0,Q1378-H1378),4)</f>
        <v>0</v>
      </c>
      <c r="S1378" s="423">
        <v>0.5</v>
      </c>
      <c r="T1378" s="419">
        <f>ROUND(+(R1378*C1378)*S1378,4)</f>
        <v>0</v>
      </c>
      <c r="U1378" s="419">
        <f>ROUND(+J1378+M1378+T1378,4)</f>
        <v>0</v>
      </c>
      <c r="V1378" s="235"/>
    </row>
    <row r="1379" spans="1:22" ht="15.75" x14ac:dyDescent="0.25">
      <c r="A1379" s="231"/>
      <c r="B1379" s="232"/>
      <c r="C1379" s="400"/>
      <c r="D1379" s="233"/>
      <c r="E1379" s="405"/>
      <c r="F1379" s="405"/>
      <c r="G1379" s="405"/>
      <c r="H1379" s="408">
        <f>ROUND(+E1379+F1379+G1379,4)</f>
        <v>0</v>
      </c>
      <c r="I1379" s="234"/>
      <c r="J1379" s="411"/>
      <c r="K1379" s="411"/>
      <c r="L1379" s="414">
        <v>0.1</v>
      </c>
      <c r="M1379" s="414">
        <f>ROUND(+L1379*C1379,4)</f>
        <v>0</v>
      </c>
      <c r="N1379" s="414"/>
      <c r="O1379" s="414"/>
      <c r="P1379" s="414"/>
      <c r="Q1379" s="419">
        <f>ROUND(+N1379+O1379+P1379,4)</f>
        <v>0</v>
      </c>
      <c r="R1379" s="419">
        <f>ROUND(IF(+Q1379-H1379&lt;=0,0,Q1379-H1379),4)</f>
        <v>0</v>
      </c>
      <c r="S1379" s="423">
        <v>0.5</v>
      </c>
      <c r="T1379" s="419">
        <f>ROUND(+(R1379*C1379)*S1379,4)</f>
        <v>0</v>
      </c>
      <c r="U1379" s="419">
        <f>ROUND(+J1379+M1379+T1379,4)</f>
        <v>0</v>
      </c>
      <c r="V1379" s="235"/>
    </row>
    <row r="1380" spans="1:22" ht="15.75" x14ac:dyDescent="0.25">
      <c r="A1380" s="231"/>
      <c r="B1380" s="232"/>
      <c r="C1380" s="400"/>
      <c r="D1380" s="233"/>
      <c r="E1380" s="405"/>
      <c r="F1380" s="405"/>
      <c r="G1380" s="405"/>
      <c r="H1380" s="408">
        <f>ROUND(+E1380+F1380+G1380,4)</f>
        <v>0</v>
      </c>
      <c r="I1380" s="234"/>
      <c r="J1380" s="411"/>
      <c r="K1380" s="411"/>
      <c r="L1380" s="414">
        <v>0.1</v>
      </c>
      <c r="M1380" s="414">
        <f>ROUND(+L1380*C1380,4)</f>
        <v>0</v>
      </c>
      <c r="N1380" s="414"/>
      <c r="O1380" s="414"/>
      <c r="P1380" s="414"/>
      <c r="Q1380" s="419">
        <f>ROUND(+N1380+O1380+P1380,4)</f>
        <v>0</v>
      </c>
      <c r="R1380" s="419">
        <f>ROUND(IF(+Q1380-H1380&lt;=0,0,Q1380-H1380),4)</f>
        <v>0</v>
      </c>
      <c r="S1380" s="423">
        <v>0.5</v>
      </c>
      <c r="T1380" s="419">
        <f>ROUND(+(R1380*C1380)*S1380,4)</f>
        <v>0</v>
      </c>
      <c r="U1380" s="419">
        <f>ROUND(+J1380+M1380+T1380,4)</f>
        <v>0</v>
      </c>
      <c r="V1380" s="235"/>
    </row>
    <row r="1381" spans="1:22" ht="15.75" x14ac:dyDescent="0.25">
      <c r="A1381" s="231"/>
      <c r="B1381" s="232"/>
      <c r="C1381" s="400"/>
      <c r="D1381" s="233"/>
      <c r="E1381" s="405"/>
      <c r="F1381" s="405"/>
      <c r="G1381" s="405"/>
      <c r="H1381" s="408">
        <f>ROUND(+E1381+F1381+G1381,4)</f>
        <v>0</v>
      </c>
      <c r="I1381" s="234"/>
      <c r="J1381" s="411"/>
      <c r="K1381" s="411"/>
      <c r="L1381" s="414">
        <v>0.1</v>
      </c>
      <c r="M1381" s="414">
        <f>ROUND(+L1381*C1381,4)</f>
        <v>0</v>
      </c>
      <c r="N1381" s="414"/>
      <c r="O1381" s="414"/>
      <c r="P1381" s="414"/>
      <c r="Q1381" s="419">
        <f>ROUND(+N1381+O1381+P1381,4)</f>
        <v>0</v>
      </c>
      <c r="R1381" s="419">
        <f>ROUND(IF(+Q1381-H1381&lt;=0,0,Q1381-H1381),4)</f>
        <v>0</v>
      </c>
      <c r="S1381" s="423">
        <v>0.5</v>
      </c>
      <c r="T1381" s="419">
        <f>ROUND(+(R1381*C1381)*S1381,4)</f>
        <v>0</v>
      </c>
      <c r="U1381" s="419">
        <f>ROUND(+J1381+M1381+T1381,4)</f>
        <v>0</v>
      </c>
      <c r="V1381" s="235"/>
    </row>
    <row r="1382" spans="1:22" ht="15.75" x14ac:dyDescent="0.25">
      <c r="A1382" s="231"/>
      <c r="B1382" s="232"/>
      <c r="C1382" s="400"/>
      <c r="D1382" s="233"/>
      <c r="E1382" s="405"/>
      <c r="F1382" s="405"/>
      <c r="G1382" s="405"/>
      <c r="H1382" s="408">
        <f>ROUND(+E1382+F1382+G1382,4)</f>
        <v>0</v>
      </c>
      <c r="I1382" s="234"/>
      <c r="J1382" s="411"/>
      <c r="K1382" s="411"/>
      <c r="L1382" s="414">
        <v>0.1</v>
      </c>
      <c r="M1382" s="414">
        <f>ROUND(+L1382*C1382,4)</f>
        <v>0</v>
      </c>
      <c r="N1382" s="414"/>
      <c r="O1382" s="414"/>
      <c r="P1382" s="414"/>
      <c r="Q1382" s="419">
        <f>ROUND(+N1382+O1382+P1382,4)</f>
        <v>0</v>
      </c>
      <c r="R1382" s="419">
        <f>ROUND(IF(+Q1382-H1382&lt;=0,0,Q1382-H1382),4)</f>
        <v>0</v>
      </c>
      <c r="S1382" s="423">
        <v>0.5</v>
      </c>
      <c r="T1382" s="419">
        <f>ROUND(+(R1382*C1382)*S1382,4)</f>
        <v>0</v>
      </c>
      <c r="U1382" s="419">
        <f>ROUND(+J1382+M1382+T1382,4)</f>
        <v>0</v>
      </c>
      <c r="V1382" s="235"/>
    </row>
    <row r="1383" spans="1:22" ht="15.75" x14ac:dyDescent="0.25">
      <c r="A1383" s="231"/>
      <c r="B1383" s="232"/>
      <c r="C1383" s="400"/>
      <c r="D1383" s="233"/>
      <c r="E1383" s="405"/>
      <c r="F1383" s="405"/>
      <c r="G1383" s="405"/>
      <c r="H1383" s="408">
        <f>ROUND(+E1383+F1383+G1383,4)</f>
        <v>0</v>
      </c>
      <c r="I1383" s="234"/>
      <c r="J1383" s="411"/>
      <c r="K1383" s="411"/>
      <c r="L1383" s="414">
        <v>0.1</v>
      </c>
      <c r="M1383" s="414">
        <f>ROUND(+L1383*C1383,4)</f>
        <v>0</v>
      </c>
      <c r="N1383" s="414"/>
      <c r="O1383" s="414"/>
      <c r="P1383" s="414"/>
      <c r="Q1383" s="419">
        <f>ROUND(+N1383+O1383+P1383,4)</f>
        <v>0</v>
      </c>
      <c r="R1383" s="419">
        <f>ROUND(IF(+Q1383-H1383&lt;=0,0,Q1383-H1383),4)</f>
        <v>0</v>
      </c>
      <c r="S1383" s="423">
        <v>0.5</v>
      </c>
      <c r="T1383" s="419">
        <f>ROUND(+(R1383*C1383)*S1383,4)</f>
        <v>0</v>
      </c>
      <c r="U1383" s="419">
        <f>ROUND(+J1383+M1383+T1383,4)</f>
        <v>0</v>
      </c>
      <c r="V1383" s="235"/>
    </row>
    <row r="1384" spans="1:22" ht="15.75" x14ac:dyDescent="0.25">
      <c r="A1384" s="231"/>
      <c r="B1384" s="232"/>
      <c r="C1384" s="400"/>
      <c r="D1384" s="233"/>
      <c r="E1384" s="405"/>
      <c r="F1384" s="405"/>
      <c r="G1384" s="405"/>
      <c r="H1384" s="408">
        <f>ROUND(+E1384+F1384+G1384,4)</f>
        <v>0</v>
      </c>
      <c r="I1384" s="234"/>
      <c r="J1384" s="411"/>
      <c r="K1384" s="411"/>
      <c r="L1384" s="414">
        <v>0.1</v>
      </c>
      <c r="M1384" s="414">
        <f>ROUND(+L1384*C1384,4)</f>
        <v>0</v>
      </c>
      <c r="N1384" s="414"/>
      <c r="O1384" s="414"/>
      <c r="P1384" s="414"/>
      <c r="Q1384" s="419">
        <f>ROUND(+N1384+O1384+P1384,4)</f>
        <v>0</v>
      </c>
      <c r="R1384" s="419">
        <f>ROUND(IF(+Q1384-H1384&lt;=0,0,Q1384-H1384),4)</f>
        <v>0</v>
      </c>
      <c r="S1384" s="423">
        <v>0.5</v>
      </c>
      <c r="T1384" s="419">
        <f>ROUND(+(R1384*C1384)*S1384,4)</f>
        <v>0</v>
      </c>
      <c r="U1384" s="419">
        <f>ROUND(+J1384+M1384+T1384,4)</f>
        <v>0</v>
      </c>
      <c r="V1384" s="235"/>
    </row>
    <row r="1385" spans="1:22" ht="15.75" x14ac:dyDescent="0.25">
      <c r="A1385" s="231"/>
      <c r="B1385" s="232"/>
      <c r="C1385" s="400"/>
      <c r="D1385" s="233"/>
      <c r="E1385" s="405"/>
      <c r="F1385" s="405"/>
      <c r="G1385" s="405"/>
      <c r="H1385" s="408">
        <f>ROUND(+E1385+F1385+G1385,4)</f>
        <v>0</v>
      </c>
      <c r="I1385" s="234"/>
      <c r="J1385" s="411"/>
      <c r="K1385" s="411"/>
      <c r="L1385" s="414">
        <v>0.1</v>
      </c>
      <c r="M1385" s="414">
        <f>ROUND(+L1385*C1385,4)</f>
        <v>0</v>
      </c>
      <c r="N1385" s="414"/>
      <c r="O1385" s="414"/>
      <c r="P1385" s="414"/>
      <c r="Q1385" s="419">
        <f>ROUND(+N1385+O1385+P1385,4)</f>
        <v>0</v>
      </c>
      <c r="R1385" s="419">
        <f>ROUND(IF(+Q1385-H1385&lt;=0,0,Q1385-H1385),4)</f>
        <v>0</v>
      </c>
      <c r="S1385" s="423">
        <v>0.5</v>
      </c>
      <c r="T1385" s="419">
        <f>ROUND(+(R1385*C1385)*S1385,4)</f>
        <v>0</v>
      </c>
      <c r="U1385" s="419">
        <f>ROUND(+J1385+M1385+T1385,4)</f>
        <v>0</v>
      </c>
      <c r="V1385" s="235"/>
    </row>
    <row r="1386" spans="1:22" ht="15.75" x14ac:dyDescent="0.25">
      <c r="A1386" s="231"/>
      <c r="B1386" s="232"/>
      <c r="C1386" s="400"/>
      <c r="D1386" s="233"/>
      <c r="E1386" s="405"/>
      <c r="F1386" s="405"/>
      <c r="G1386" s="405"/>
      <c r="H1386" s="408">
        <f>ROUND(+E1386+F1386+G1386,4)</f>
        <v>0</v>
      </c>
      <c r="I1386" s="234"/>
      <c r="J1386" s="411"/>
      <c r="K1386" s="411"/>
      <c r="L1386" s="414">
        <v>0.1</v>
      </c>
      <c r="M1386" s="414">
        <f>ROUND(+L1386*C1386,4)</f>
        <v>0</v>
      </c>
      <c r="N1386" s="414"/>
      <c r="O1386" s="414"/>
      <c r="P1386" s="414"/>
      <c r="Q1386" s="419">
        <f>ROUND(+N1386+O1386+P1386,4)</f>
        <v>0</v>
      </c>
      <c r="R1386" s="419">
        <f>ROUND(IF(+Q1386-H1386&lt;=0,0,Q1386-H1386),4)</f>
        <v>0</v>
      </c>
      <c r="S1386" s="423">
        <v>0.5</v>
      </c>
      <c r="T1386" s="419">
        <f>ROUND(+(R1386*C1386)*S1386,4)</f>
        <v>0</v>
      </c>
      <c r="U1386" s="419">
        <f>ROUND(+J1386+M1386+T1386,4)</f>
        <v>0</v>
      </c>
      <c r="V1386" s="235"/>
    </row>
    <row r="1387" spans="1:22" ht="15.75" x14ac:dyDescent="0.25">
      <c r="A1387" s="231"/>
      <c r="B1387" s="232"/>
      <c r="C1387" s="400"/>
      <c r="D1387" s="233"/>
      <c r="E1387" s="405"/>
      <c r="F1387" s="405"/>
      <c r="G1387" s="405"/>
      <c r="H1387" s="408">
        <f>ROUND(+E1387+F1387+G1387,4)</f>
        <v>0</v>
      </c>
      <c r="I1387" s="234"/>
      <c r="J1387" s="411"/>
      <c r="K1387" s="411"/>
      <c r="L1387" s="414">
        <v>0.1</v>
      </c>
      <c r="M1387" s="414">
        <f>ROUND(+L1387*C1387,4)</f>
        <v>0</v>
      </c>
      <c r="N1387" s="414"/>
      <c r="O1387" s="414"/>
      <c r="P1387" s="414"/>
      <c r="Q1387" s="419">
        <f>ROUND(+N1387+O1387+P1387,4)</f>
        <v>0</v>
      </c>
      <c r="R1387" s="419">
        <f>ROUND(IF(+Q1387-H1387&lt;=0,0,Q1387-H1387),4)</f>
        <v>0</v>
      </c>
      <c r="S1387" s="423">
        <v>0.5</v>
      </c>
      <c r="T1387" s="419">
        <f>ROUND(+(R1387*C1387)*S1387,4)</f>
        <v>0</v>
      </c>
      <c r="U1387" s="419">
        <f>ROUND(+J1387+M1387+T1387,4)</f>
        <v>0</v>
      </c>
      <c r="V1387" s="235"/>
    </row>
    <row r="1388" spans="1:22" ht="15.75" x14ac:dyDescent="0.25">
      <c r="A1388" s="231"/>
      <c r="B1388" s="232"/>
      <c r="C1388" s="400"/>
      <c r="D1388" s="233"/>
      <c r="E1388" s="405"/>
      <c r="F1388" s="405"/>
      <c r="G1388" s="405"/>
      <c r="H1388" s="408">
        <f>ROUND(+E1388+F1388+G1388,4)</f>
        <v>0</v>
      </c>
      <c r="I1388" s="234"/>
      <c r="J1388" s="411"/>
      <c r="K1388" s="411"/>
      <c r="L1388" s="414">
        <v>0.1</v>
      </c>
      <c r="M1388" s="414">
        <f>ROUND(+L1388*C1388,4)</f>
        <v>0</v>
      </c>
      <c r="N1388" s="414"/>
      <c r="O1388" s="414"/>
      <c r="P1388" s="414"/>
      <c r="Q1388" s="419">
        <f>ROUND(+N1388+O1388+P1388,4)</f>
        <v>0</v>
      </c>
      <c r="R1388" s="419">
        <f>ROUND(IF(+Q1388-H1388&lt;=0,0,Q1388-H1388),4)</f>
        <v>0</v>
      </c>
      <c r="S1388" s="423">
        <v>0.5</v>
      </c>
      <c r="T1388" s="419">
        <f>ROUND(+(R1388*C1388)*S1388,4)</f>
        <v>0</v>
      </c>
      <c r="U1388" s="419">
        <f>ROUND(+J1388+M1388+T1388,4)</f>
        <v>0</v>
      </c>
      <c r="V1388" s="235"/>
    </row>
    <row r="1389" spans="1:22" ht="15.75" x14ac:dyDescent="0.25">
      <c r="A1389" s="231"/>
      <c r="B1389" s="232"/>
      <c r="C1389" s="400"/>
      <c r="D1389" s="233"/>
      <c r="E1389" s="405"/>
      <c r="F1389" s="405"/>
      <c r="G1389" s="405"/>
      <c r="H1389" s="408">
        <f>ROUND(+E1389+F1389+G1389,4)</f>
        <v>0</v>
      </c>
      <c r="I1389" s="234"/>
      <c r="J1389" s="411"/>
      <c r="K1389" s="411"/>
      <c r="L1389" s="414">
        <v>0.1</v>
      </c>
      <c r="M1389" s="414">
        <f>ROUND(+L1389*C1389,4)</f>
        <v>0</v>
      </c>
      <c r="N1389" s="414"/>
      <c r="O1389" s="414"/>
      <c r="P1389" s="414"/>
      <c r="Q1389" s="419">
        <f>ROUND(+N1389+O1389+P1389,4)</f>
        <v>0</v>
      </c>
      <c r="R1389" s="419">
        <f>ROUND(IF(+Q1389-H1389&lt;=0,0,Q1389-H1389),4)</f>
        <v>0</v>
      </c>
      <c r="S1389" s="423">
        <v>0.5</v>
      </c>
      <c r="T1389" s="419">
        <f>ROUND(+(R1389*C1389)*S1389,4)</f>
        <v>0</v>
      </c>
      <c r="U1389" s="419">
        <f>ROUND(+J1389+M1389+T1389,4)</f>
        <v>0</v>
      </c>
      <c r="V1389" s="235"/>
    </row>
    <row r="1390" spans="1:22" ht="15.75" x14ac:dyDescent="0.25">
      <c r="A1390" s="231"/>
      <c r="B1390" s="232"/>
      <c r="C1390" s="400"/>
      <c r="D1390" s="233"/>
      <c r="E1390" s="405"/>
      <c r="F1390" s="405"/>
      <c r="G1390" s="405"/>
      <c r="H1390" s="408">
        <f>ROUND(+E1390+F1390+G1390,4)</f>
        <v>0</v>
      </c>
      <c r="I1390" s="234"/>
      <c r="J1390" s="411"/>
      <c r="K1390" s="411"/>
      <c r="L1390" s="414">
        <v>0.1</v>
      </c>
      <c r="M1390" s="414">
        <f>ROUND(+L1390*C1390,4)</f>
        <v>0</v>
      </c>
      <c r="N1390" s="414"/>
      <c r="O1390" s="414"/>
      <c r="P1390" s="414"/>
      <c r="Q1390" s="419">
        <f>ROUND(+N1390+O1390+P1390,4)</f>
        <v>0</v>
      </c>
      <c r="R1390" s="419">
        <f>ROUND(IF(+Q1390-H1390&lt;=0,0,Q1390-H1390),4)</f>
        <v>0</v>
      </c>
      <c r="S1390" s="423">
        <v>0.5</v>
      </c>
      <c r="T1390" s="419">
        <f>ROUND(+(R1390*C1390)*S1390,4)</f>
        <v>0</v>
      </c>
      <c r="U1390" s="419">
        <f>ROUND(+J1390+M1390+T1390,4)</f>
        <v>0</v>
      </c>
      <c r="V1390" s="235"/>
    </row>
    <row r="1391" spans="1:22" ht="15.75" x14ac:dyDescent="0.25">
      <c r="A1391" s="231"/>
      <c r="B1391" s="232"/>
      <c r="C1391" s="400"/>
      <c r="D1391" s="233"/>
      <c r="E1391" s="405"/>
      <c r="F1391" s="405"/>
      <c r="G1391" s="405"/>
      <c r="H1391" s="408">
        <f>ROUND(+E1391+F1391+G1391,4)</f>
        <v>0</v>
      </c>
      <c r="I1391" s="234"/>
      <c r="J1391" s="411"/>
      <c r="K1391" s="411"/>
      <c r="L1391" s="414">
        <v>0.1</v>
      </c>
      <c r="M1391" s="414">
        <f>ROUND(+L1391*C1391,4)</f>
        <v>0</v>
      </c>
      <c r="N1391" s="414"/>
      <c r="O1391" s="414"/>
      <c r="P1391" s="414"/>
      <c r="Q1391" s="419">
        <f>ROUND(+N1391+O1391+P1391,4)</f>
        <v>0</v>
      </c>
      <c r="R1391" s="419">
        <f>ROUND(IF(+Q1391-H1391&lt;=0,0,Q1391-H1391),4)</f>
        <v>0</v>
      </c>
      <c r="S1391" s="423">
        <v>0.5</v>
      </c>
      <c r="T1391" s="419">
        <f>ROUND(+(R1391*C1391)*S1391,4)</f>
        <v>0</v>
      </c>
      <c r="U1391" s="419">
        <f>ROUND(+J1391+M1391+T1391,4)</f>
        <v>0</v>
      </c>
      <c r="V1391" s="235"/>
    </row>
    <row r="1392" spans="1:22" ht="15.75" x14ac:dyDescent="0.25">
      <c r="A1392" s="231"/>
      <c r="B1392" s="232"/>
      <c r="C1392" s="400"/>
      <c r="D1392" s="233"/>
      <c r="E1392" s="405"/>
      <c r="F1392" s="405"/>
      <c r="G1392" s="405"/>
      <c r="H1392" s="408">
        <f>ROUND(+E1392+F1392+G1392,4)</f>
        <v>0</v>
      </c>
      <c r="I1392" s="234"/>
      <c r="J1392" s="411"/>
      <c r="K1392" s="411"/>
      <c r="L1392" s="414">
        <v>0.1</v>
      </c>
      <c r="M1392" s="414">
        <f>ROUND(+L1392*C1392,4)</f>
        <v>0</v>
      </c>
      <c r="N1392" s="414"/>
      <c r="O1392" s="414"/>
      <c r="P1392" s="414"/>
      <c r="Q1392" s="419">
        <f>ROUND(+N1392+O1392+P1392,4)</f>
        <v>0</v>
      </c>
      <c r="R1392" s="419">
        <f>ROUND(IF(+Q1392-H1392&lt;=0,0,Q1392-H1392),4)</f>
        <v>0</v>
      </c>
      <c r="S1392" s="423">
        <v>0.5</v>
      </c>
      <c r="T1392" s="419">
        <f>ROUND(+(R1392*C1392)*S1392,4)</f>
        <v>0</v>
      </c>
      <c r="U1392" s="419">
        <f>ROUND(+J1392+M1392+T1392,4)</f>
        <v>0</v>
      </c>
      <c r="V1392" s="235"/>
    </row>
    <row r="1393" spans="1:22" ht="15.75" x14ac:dyDescent="0.25">
      <c r="A1393" s="231"/>
      <c r="B1393" s="232"/>
      <c r="C1393" s="400"/>
      <c r="D1393" s="233"/>
      <c r="E1393" s="405"/>
      <c r="F1393" s="405"/>
      <c r="G1393" s="405"/>
      <c r="H1393" s="408">
        <f>ROUND(+E1393+F1393+G1393,4)</f>
        <v>0</v>
      </c>
      <c r="I1393" s="234"/>
      <c r="J1393" s="411"/>
      <c r="K1393" s="411"/>
      <c r="L1393" s="414">
        <v>0.1</v>
      </c>
      <c r="M1393" s="414">
        <f>ROUND(+L1393*C1393,4)</f>
        <v>0</v>
      </c>
      <c r="N1393" s="414"/>
      <c r="O1393" s="414"/>
      <c r="P1393" s="414"/>
      <c r="Q1393" s="419">
        <f>ROUND(+N1393+O1393+P1393,4)</f>
        <v>0</v>
      </c>
      <c r="R1393" s="419">
        <f>ROUND(IF(+Q1393-H1393&lt;=0,0,Q1393-H1393),4)</f>
        <v>0</v>
      </c>
      <c r="S1393" s="423">
        <v>0.5</v>
      </c>
      <c r="T1393" s="419">
        <f>ROUND(+(R1393*C1393)*S1393,4)</f>
        <v>0</v>
      </c>
      <c r="U1393" s="419">
        <f>ROUND(+J1393+M1393+T1393,4)</f>
        <v>0</v>
      </c>
      <c r="V1393" s="235"/>
    </row>
    <row r="1394" spans="1:22" ht="15.75" x14ac:dyDescent="0.25">
      <c r="A1394" s="231"/>
      <c r="B1394" s="232"/>
      <c r="C1394" s="400"/>
      <c r="D1394" s="233"/>
      <c r="E1394" s="405"/>
      <c r="F1394" s="405"/>
      <c r="G1394" s="405"/>
      <c r="H1394" s="408">
        <f>ROUND(+E1394+F1394+G1394,4)</f>
        <v>0</v>
      </c>
      <c r="I1394" s="234"/>
      <c r="J1394" s="411"/>
      <c r="K1394" s="411"/>
      <c r="L1394" s="414">
        <v>0.1</v>
      </c>
      <c r="M1394" s="414">
        <f>ROUND(+L1394*C1394,4)</f>
        <v>0</v>
      </c>
      <c r="N1394" s="414"/>
      <c r="O1394" s="414"/>
      <c r="P1394" s="414"/>
      <c r="Q1394" s="419">
        <f>ROUND(+N1394+O1394+P1394,4)</f>
        <v>0</v>
      </c>
      <c r="R1394" s="419">
        <f>ROUND(IF(+Q1394-H1394&lt;=0,0,Q1394-H1394),4)</f>
        <v>0</v>
      </c>
      <c r="S1394" s="423">
        <v>0.5</v>
      </c>
      <c r="T1394" s="419">
        <f>ROUND(+(R1394*C1394)*S1394,4)</f>
        <v>0</v>
      </c>
      <c r="U1394" s="419">
        <f>ROUND(+J1394+M1394+T1394,4)</f>
        <v>0</v>
      </c>
      <c r="V1394" s="235"/>
    </row>
    <row r="1395" spans="1:22" ht="15.75" x14ac:dyDescent="0.25">
      <c r="A1395" s="231"/>
      <c r="B1395" s="232"/>
      <c r="C1395" s="400"/>
      <c r="D1395" s="233"/>
      <c r="E1395" s="405"/>
      <c r="F1395" s="405"/>
      <c r="G1395" s="405"/>
      <c r="H1395" s="408">
        <f>ROUND(+E1395+F1395+G1395,4)</f>
        <v>0</v>
      </c>
      <c r="I1395" s="234"/>
      <c r="J1395" s="411"/>
      <c r="K1395" s="411"/>
      <c r="L1395" s="414">
        <v>0.1</v>
      </c>
      <c r="M1395" s="414">
        <f>ROUND(+L1395*C1395,4)</f>
        <v>0</v>
      </c>
      <c r="N1395" s="414"/>
      <c r="O1395" s="414"/>
      <c r="P1395" s="414"/>
      <c r="Q1395" s="419">
        <f>ROUND(+N1395+O1395+P1395,4)</f>
        <v>0</v>
      </c>
      <c r="R1395" s="419">
        <f>ROUND(IF(+Q1395-H1395&lt;=0,0,Q1395-H1395),4)</f>
        <v>0</v>
      </c>
      <c r="S1395" s="423">
        <v>0.5</v>
      </c>
      <c r="T1395" s="419">
        <f>ROUND(+(R1395*C1395)*S1395,4)</f>
        <v>0</v>
      </c>
      <c r="U1395" s="419">
        <f>ROUND(+J1395+M1395+T1395,4)</f>
        <v>0</v>
      </c>
      <c r="V1395" s="235"/>
    </row>
    <row r="1396" spans="1:22" ht="15.75" x14ac:dyDescent="0.25">
      <c r="A1396" s="231"/>
      <c r="B1396" s="232"/>
      <c r="C1396" s="400"/>
      <c r="D1396" s="233"/>
      <c r="E1396" s="405"/>
      <c r="F1396" s="405"/>
      <c r="G1396" s="405"/>
      <c r="H1396" s="408">
        <f>ROUND(+E1396+F1396+G1396,4)</f>
        <v>0</v>
      </c>
      <c r="I1396" s="234"/>
      <c r="J1396" s="411"/>
      <c r="K1396" s="411"/>
      <c r="L1396" s="414">
        <v>0.1</v>
      </c>
      <c r="M1396" s="414">
        <f>ROUND(+L1396*C1396,4)</f>
        <v>0</v>
      </c>
      <c r="N1396" s="414"/>
      <c r="O1396" s="414"/>
      <c r="P1396" s="414"/>
      <c r="Q1396" s="419">
        <f>ROUND(+N1396+O1396+P1396,4)</f>
        <v>0</v>
      </c>
      <c r="R1396" s="419">
        <f>ROUND(IF(+Q1396-H1396&lt;=0,0,Q1396-H1396),4)</f>
        <v>0</v>
      </c>
      <c r="S1396" s="423">
        <v>0.5</v>
      </c>
      <c r="T1396" s="419">
        <f>ROUND(+(R1396*C1396)*S1396,4)</f>
        <v>0</v>
      </c>
      <c r="U1396" s="419">
        <f>ROUND(+J1396+M1396+T1396,4)</f>
        <v>0</v>
      </c>
      <c r="V1396" s="235"/>
    </row>
    <row r="1397" spans="1:22" ht="15.75" x14ac:dyDescent="0.25">
      <c r="A1397" s="231"/>
      <c r="B1397" s="232"/>
      <c r="C1397" s="400"/>
      <c r="D1397" s="233"/>
      <c r="E1397" s="405"/>
      <c r="F1397" s="405"/>
      <c r="G1397" s="405"/>
      <c r="H1397" s="408">
        <f>ROUND(+E1397+F1397+G1397,4)</f>
        <v>0</v>
      </c>
      <c r="I1397" s="234"/>
      <c r="J1397" s="411"/>
      <c r="K1397" s="411"/>
      <c r="L1397" s="414">
        <v>0.1</v>
      </c>
      <c r="M1397" s="414">
        <f>ROUND(+L1397*C1397,4)</f>
        <v>0</v>
      </c>
      <c r="N1397" s="414"/>
      <c r="O1397" s="414"/>
      <c r="P1397" s="414"/>
      <c r="Q1397" s="419">
        <f>ROUND(+N1397+O1397+P1397,4)</f>
        <v>0</v>
      </c>
      <c r="R1397" s="419">
        <f>ROUND(IF(+Q1397-H1397&lt;=0,0,Q1397-H1397),4)</f>
        <v>0</v>
      </c>
      <c r="S1397" s="423">
        <v>0.5</v>
      </c>
      <c r="T1397" s="419">
        <f>ROUND(+(R1397*C1397)*S1397,4)</f>
        <v>0</v>
      </c>
      <c r="U1397" s="419">
        <f>ROUND(+J1397+M1397+T1397,4)</f>
        <v>0</v>
      </c>
      <c r="V1397" s="235"/>
    </row>
    <row r="1398" spans="1:22" ht="15.75" x14ac:dyDescent="0.25">
      <c r="A1398" s="231"/>
      <c r="B1398" s="232"/>
      <c r="C1398" s="400"/>
      <c r="D1398" s="233"/>
      <c r="E1398" s="405"/>
      <c r="F1398" s="405"/>
      <c r="G1398" s="405"/>
      <c r="H1398" s="408">
        <f>ROUND(+E1398+F1398+G1398,4)</f>
        <v>0</v>
      </c>
      <c r="I1398" s="234"/>
      <c r="J1398" s="411"/>
      <c r="K1398" s="411"/>
      <c r="L1398" s="414">
        <v>0.1</v>
      </c>
      <c r="M1398" s="414">
        <f>ROUND(+L1398*C1398,4)</f>
        <v>0</v>
      </c>
      <c r="N1398" s="414"/>
      <c r="O1398" s="414"/>
      <c r="P1398" s="414"/>
      <c r="Q1398" s="419">
        <f>ROUND(+N1398+O1398+P1398,4)</f>
        <v>0</v>
      </c>
      <c r="R1398" s="419">
        <f>ROUND(IF(+Q1398-H1398&lt;=0,0,Q1398-H1398),4)</f>
        <v>0</v>
      </c>
      <c r="S1398" s="423">
        <v>0.5</v>
      </c>
      <c r="T1398" s="419">
        <f>ROUND(+(R1398*C1398)*S1398,4)</f>
        <v>0</v>
      </c>
      <c r="U1398" s="419">
        <f>ROUND(+J1398+M1398+T1398,4)</f>
        <v>0</v>
      </c>
      <c r="V1398" s="235"/>
    </row>
    <row r="1399" spans="1:22" ht="15.75" x14ac:dyDescent="0.25">
      <c r="A1399" s="231"/>
      <c r="B1399" s="232"/>
      <c r="C1399" s="400"/>
      <c r="D1399" s="233"/>
      <c r="E1399" s="405"/>
      <c r="F1399" s="405"/>
      <c r="G1399" s="405"/>
      <c r="H1399" s="408">
        <f>ROUND(+E1399+F1399+G1399,4)</f>
        <v>0</v>
      </c>
      <c r="I1399" s="234"/>
      <c r="J1399" s="411"/>
      <c r="K1399" s="411"/>
      <c r="L1399" s="414">
        <v>0.1</v>
      </c>
      <c r="M1399" s="414">
        <f>ROUND(+L1399*C1399,4)</f>
        <v>0</v>
      </c>
      <c r="N1399" s="414"/>
      <c r="O1399" s="414"/>
      <c r="P1399" s="414"/>
      <c r="Q1399" s="419">
        <f>ROUND(+N1399+O1399+P1399,4)</f>
        <v>0</v>
      </c>
      <c r="R1399" s="419">
        <f>ROUND(IF(+Q1399-H1399&lt;=0,0,Q1399-H1399),4)</f>
        <v>0</v>
      </c>
      <c r="S1399" s="423">
        <v>0.5</v>
      </c>
      <c r="T1399" s="419">
        <f>ROUND(+(R1399*C1399)*S1399,4)</f>
        <v>0</v>
      </c>
      <c r="U1399" s="419">
        <f>ROUND(+J1399+M1399+T1399,4)</f>
        <v>0</v>
      </c>
      <c r="V1399" s="235"/>
    </row>
    <row r="1400" spans="1:22" ht="15.75" x14ac:dyDescent="0.25">
      <c r="A1400" s="231"/>
      <c r="B1400" s="232"/>
      <c r="C1400" s="400"/>
      <c r="D1400" s="233"/>
      <c r="E1400" s="405"/>
      <c r="F1400" s="405"/>
      <c r="G1400" s="405"/>
      <c r="H1400" s="408">
        <f>ROUND(+E1400+F1400+G1400,4)</f>
        <v>0</v>
      </c>
      <c r="I1400" s="234"/>
      <c r="J1400" s="411"/>
      <c r="K1400" s="411"/>
      <c r="L1400" s="414">
        <v>0.1</v>
      </c>
      <c r="M1400" s="414">
        <f>ROUND(+L1400*C1400,4)</f>
        <v>0</v>
      </c>
      <c r="N1400" s="414"/>
      <c r="O1400" s="414"/>
      <c r="P1400" s="414"/>
      <c r="Q1400" s="419">
        <f>ROUND(+N1400+O1400+P1400,4)</f>
        <v>0</v>
      </c>
      <c r="R1400" s="419">
        <f>ROUND(IF(+Q1400-H1400&lt;=0,0,Q1400-H1400),4)</f>
        <v>0</v>
      </c>
      <c r="S1400" s="423">
        <v>0.5</v>
      </c>
      <c r="T1400" s="419">
        <f>ROUND(+(R1400*C1400)*S1400,4)</f>
        <v>0</v>
      </c>
      <c r="U1400" s="419">
        <f>ROUND(+J1400+M1400+T1400,4)</f>
        <v>0</v>
      </c>
      <c r="V1400" s="235"/>
    </row>
    <row r="1401" spans="1:22" ht="15.75" x14ac:dyDescent="0.25">
      <c r="A1401" s="231"/>
      <c r="B1401" s="232"/>
      <c r="C1401" s="400"/>
      <c r="D1401" s="233"/>
      <c r="E1401" s="405"/>
      <c r="F1401" s="405"/>
      <c r="G1401" s="405"/>
      <c r="H1401" s="408">
        <f>ROUND(+E1401+F1401+G1401,4)</f>
        <v>0</v>
      </c>
      <c r="I1401" s="234"/>
      <c r="J1401" s="411"/>
      <c r="K1401" s="411"/>
      <c r="L1401" s="414">
        <v>0.1</v>
      </c>
      <c r="M1401" s="414">
        <f>ROUND(+L1401*C1401,4)</f>
        <v>0</v>
      </c>
      <c r="N1401" s="414"/>
      <c r="O1401" s="414"/>
      <c r="P1401" s="414"/>
      <c r="Q1401" s="419">
        <f>ROUND(+N1401+O1401+P1401,4)</f>
        <v>0</v>
      </c>
      <c r="R1401" s="419">
        <f>ROUND(IF(+Q1401-H1401&lt;=0,0,Q1401-H1401),4)</f>
        <v>0</v>
      </c>
      <c r="S1401" s="423">
        <v>0.5</v>
      </c>
      <c r="T1401" s="419">
        <f>ROUND(+(R1401*C1401)*S1401,4)</f>
        <v>0</v>
      </c>
      <c r="U1401" s="419">
        <f>ROUND(+J1401+M1401+T1401,4)</f>
        <v>0</v>
      </c>
      <c r="V1401" s="235"/>
    </row>
    <row r="1402" spans="1:22" ht="15.75" x14ac:dyDescent="0.25">
      <c r="A1402" s="231"/>
      <c r="B1402" s="232"/>
      <c r="C1402" s="400"/>
      <c r="D1402" s="233"/>
      <c r="E1402" s="405"/>
      <c r="F1402" s="405"/>
      <c r="G1402" s="405"/>
      <c r="H1402" s="408">
        <f>ROUND(+E1402+F1402+G1402,4)</f>
        <v>0</v>
      </c>
      <c r="I1402" s="234"/>
      <c r="J1402" s="411"/>
      <c r="K1402" s="411"/>
      <c r="L1402" s="414">
        <v>0.1</v>
      </c>
      <c r="M1402" s="414">
        <f>ROUND(+L1402*C1402,4)</f>
        <v>0</v>
      </c>
      <c r="N1402" s="414"/>
      <c r="O1402" s="414"/>
      <c r="P1402" s="414"/>
      <c r="Q1402" s="419">
        <f>ROUND(+N1402+O1402+P1402,4)</f>
        <v>0</v>
      </c>
      <c r="R1402" s="419">
        <f>ROUND(IF(+Q1402-H1402&lt;=0,0,Q1402-H1402),4)</f>
        <v>0</v>
      </c>
      <c r="S1402" s="423">
        <v>0.5</v>
      </c>
      <c r="T1402" s="419">
        <f>ROUND(+(R1402*C1402)*S1402,4)</f>
        <v>0</v>
      </c>
      <c r="U1402" s="419">
        <f>ROUND(+J1402+M1402+T1402,4)</f>
        <v>0</v>
      </c>
      <c r="V1402" s="235"/>
    </row>
    <row r="1403" spans="1:22" ht="15.75" x14ac:dyDescent="0.25">
      <c r="A1403" s="231"/>
      <c r="B1403" s="232"/>
      <c r="C1403" s="400"/>
      <c r="D1403" s="233"/>
      <c r="E1403" s="405"/>
      <c r="F1403" s="405"/>
      <c r="G1403" s="405"/>
      <c r="H1403" s="408">
        <f>ROUND(+E1403+F1403+G1403,4)</f>
        <v>0</v>
      </c>
      <c r="I1403" s="234"/>
      <c r="J1403" s="411"/>
      <c r="K1403" s="411"/>
      <c r="L1403" s="414">
        <v>0.1</v>
      </c>
      <c r="M1403" s="414">
        <f>ROUND(+L1403*C1403,4)</f>
        <v>0</v>
      </c>
      <c r="N1403" s="414"/>
      <c r="O1403" s="414"/>
      <c r="P1403" s="414"/>
      <c r="Q1403" s="419">
        <f>ROUND(+N1403+O1403+P1403,4)</f>
        <v>0</v>
      </c>
      <c r="R1403" s="419">
        <f>ROUND(IF(+Q1403-H1403&lt;=0,0,Q1403-H1403),4)</f>
        <v>0</v>
      </c>
      <c r="S1403" s="423">
        <v>0.5</v>
      </c>
      <c r="T1403" s="419">
        <f>ROUND(+(R1403*C1403)*S1403,4)</f>
        <v>0</v>
      </c>
      <c r="U1403" s="419">
        <f>ROUND(+J1403+M1403+T1403,4)</f>
        <v>0</v>
      </c>
      <c r="V1403" s="235"/>
    </row>
    <row r="1404" spans="1:22" ht="15.75" x14ac:dyDescent="0.25">
      <c r="A1404" s="231"/>
      <c r="B1404" s="232"/>
      <c r="C1404" s="400"/>
      <c r="D1404" s="233"/>
      <c r="E1404" s="405"/>
      <c r="F1404" s="405"/>
      <c r="G1404" s="405"/>
      <c r="H1404" s="408">
        <f>ROUND(+E1404+F1404+G1404,4)</f>
        <v>0</v>
      </c>
      <c r="I1404" s="234"/>
      <c r="J1404" s="411"/>
      <c r="K1404" s="411"/>
      <c r="L1404" s="414">
        <v>0.1</v>
      </c>
      <c r="M1404" s="414">
        <f>ROUND(+L1404*C1404,4)</f>
        <v>0</v>
      </c>
      <c r="N1404" s="414"/>
      <c r="O1404" s="414"/>
      <c r="P1404" s="414"/>
      <c r="Q1404" s="419">
        <f>ROUND(+N1404+O1404+P1404,4)</f>
        <v>0</v>
      </c>
      <c r="R1404" s="419">
        <f>ROUND(IF(+Q1404-H1404&lt;=0,0,Q1404-H1404),4)</f>
        <v>0</v>
      </c>
      <c r="S1404" s="423">
        <v>0.5</v>
      </c>
      <c r="T1404" s="419">
        <f>ROUND(+(R1404*C1404)*S1404,4)</f>
        <v>0</v>
      </c>
      <c r="U1404" s="419">
        <f>ROUND(+J1404+M1404+T1404,4)</f>
        <v>0</v>
      </c>
      <c r="V1404" s="235"/>
    </row>
    <row r="1405" spans="1:22" ht="15.75" x14ac:dyDescent="0.25">
      <c r="A1405" s="231"/>
      <c r="B1405" s="232"/>
      <c r="C1405" s="400"/>
      <c r="D1405" s="233"/>
      <c r="E1405" s="405"/>
      <c r="F1405" s="405"/>
      <c r="G1405" s="405"/>
      <c r="H1405" s="408">
        <f>ROUND(+E1405+F1405+G1405,4)</f>
        <v>0</v>
      </c>
      <c r="I1405" s="234"/>
      <c r="J1405" s="411"/>
      <c r="K1405" s="411"/>
      <c r="L1405" s="414">
        <v>0.1</v>
      </c>
      <c r="M1405" s="414">
        <f>ROUND(+L1405*C1405,4)</f>
        <v>0</v>
      </c>
      <c r="N1405" s="414"/>
      <c r="O1405" s="414"/>
      <c r="P1405" s="414"/>
      <c r="Q1405" s="419">
        <f>ROUND(+N1405+O1405+P1405,4)</f>
        <v>0</v>
      </c>
      <c r="R1405" s="419">
        <f>ROUND(IF(+Q1405-H1405&lt;=0,0,Q1405-H1405),4)</f>
        <v>0</v>
      </c>
      <c r="S1405" s="423">
        <v>0.5</v>
      </c>
      <c r="T1405" s="419">
        <f>ROUND(+(R1405*C1405)*S1405,4)</f>
        <v>0</v>
      </c>
      <c r="U1405" s="419">
        <f>ROUND(+J1405+M1405+T1405,4)</f>
        <v>0</v>
      </c>
      <c r="V1405" s="235"/>
    </row>
    <row r="1406" spans="1:22" ht="15.75" x14ac:dyDescent="0.25">
      <c r="A1406" s="231"/>
      <c r="B1406" s="232"/>
      <c r="C1406" s="400"/>
      <c r="D1406" s="233"/>
      <c r="E1406" s="405"/>
      <c r="F1406" s="405"/>
      <c r="G1406" s="405"/>
      <c r="H1406" s="408">
        <f>ROUND(+E1406+F1406+G1406,4)</f>
        <v>0</v>
      </c>
      <c r="I1406" s="234"/>
      <c r="J1406" s="411"/>
      <c r="K1406" s="411"/>
      <c r="L1406" s="414">
        <v>0.1</v>
      </c>
      <c r="M1406" s="414">
        <f>ROUND(+L1406*C1406,4)</f>
        <v>0</v>
      </c>
      <c r="N1406" s="414"/>
      <c r="O1406" s="414"/>
      <c r="P1406" s="414"/>
      <c r="Q1406" s="419">
        <f>ROUND(+N1406+O1406+P1406,4)</f>
        <v>0</v>
      </c>
      <c r="R1406" s="419">
        <f>ROUND(IF(+Q1406-H1406&lt;=0,0,Q1406-H1406),4)</f>
        <v>0</v>
      </c>
      <c r="S1406" s="423">
        <v>0.5</v>
      </c>
      <c r="T1406" s="419">
        <f>ROUND(+(R1406*C1406)*S1406,4)</f>
        <v>0</v>
      </c>
      <c r="U1406" s="419">
        <f>ROUND(+J1406+M1406+T1406,4)</f>
        <v>0</v>
      </c>
      <c r="V1406" s="235"/>
    </row>
    <row r="1407" spans="1:22" ht="15.75" x14ac:dyDescent="0.25">
      <c r="A1407" s="231"/>
      <c r="B1407" s="232"/>
      <c r="C1407" s="400"/>
      <c r="D1407" s="233"/>
      <c r="E1407" s="405"/>
      <c r="F1407" s="405"/>
      <c r="G1407" s="405"/>
      <c r="H1407" s="408">
        <f>ROUND(+E1407+F1407+G1407,4)</f>
        <v>0</v>
      </c>
      <c r="I1407" s="234"/>
      <c r="J1407" s="411"/>
      <c r="K1407" s="411"/>
      <c r="L1407" s="414">
        <v>0.1</v>
      </c>
      <c r="M1407" s="414">
        <f>ROUND(+L1407*C1407,4)</f>
        <v>0</v>
      </c>
      <c r="N1407" s="414"/>
      <c r="O1407" s="414"/>
      <c r="P1407" s="414"/>
      <c r="Q1407" s="419">
        <f>ROUND(+N1407+O1407+P1407,4)</f>
        <v>0</v>
      </c>
      <c r="R1407" s="419">
        <f>ROUND(IF(+Q1407-H1407&lt;=0,0,Q1407-H1407),4)</f>
        <v>0</v>
      </c>
      <c r="S1407" s="423">
        <v>0.5</v>
      </c>
      <c r="T1407" s="419">
        <f>ROUND(+(R1407*C1407)*S1407,4)</f>
        <v>0</v>
      </c>
      <c r="U1407" s="419">
        <f>ROUND(+J1407+M1407+T1407,4)</f>
        <v>0</v>
      </c>
      <c r="V1407" s="235"/>
    </row>
    <row r="1408" spans="1:22" ht="15.75" x14ac:dyDescent="0.25">
      <c r="A1408" s="231"/>
      <c r="B1408" s="232"/>
      <c r="C1408" s="400"/>
      <c r="D1408" s="233"/>
      <c r="E1408" s="405"/>
      <c r="F1408" s="405"/>
      <c r="G1408" s="405"/>
      <c r="H1408" s="408">
        <f>ROUND(+E1408+F1408+G1408,4)</f>
        <v>0</v>
      </c>
      <c r="I1408" s="234"/>
      <c r="J1408" s="411"/>
      <c r="K1408" s="411"/>
      <c r="L1408" s="414">
        <v>0.1</v>
      </c>
      <c r="M1408" s="414">
        <f>ROUND(+L1408*C1408,4)</f>
        <v>0</v>
      </c>
      <c r="N1408" s="414"/>
      <c r="O1408" s="414"/>
      <c r="P1408" s="414"/>
      <c r="Q1408" s="419">
        <f>ROUND(+N1408+O1408+P1408,4)</f>
        <v>0</v>
      </c>
      <c r="R1408" s="419">
        <f>ROUND(IF(+Q1408-H1408&lt;=0,0,Q1408-H1408),4)</f>
        <v>0</v>
      </c>
      <c r="S1408" s="423">
        <v>0.5</v>
      </c>
      <c r="T1408" s="419">
        <f>ROUND(+(R1408*C1408)*S1408,4)</f>
        <v>0</v>
      </c>
      <c r="U1408" s="419">
        <f>ROUND(+J1408+M1408+T1408,4)</f>
        <v>0</v>
      </c>
      <c r="V1408" s="235"/>
    </row>
    <row r="1409" spans="1:22" ht="15.75" x14ac:dyDescent="0.25">
      <c r="A1409" s="231"/>
      <c r="B1409" s="232"/>
      <c r="C1409" s="400"/>
      <c r="D1409" s="233"/>
      <c r="E1409" s="405"/>
      <c r="F1409" s="405"/>
      <c r="G1409" s="405"/>
      <c r="H1409" s="408">
        <f>ROUND(+E1409+F1409+G1409,4)</f>
        <v>0</v>
      </c>
      <c r="I1409" s="234"/>
      <c r="J1409" s="411"/>
      <c r="K1409" s="411"/>
      <c r="L1409" s="414">
        <v>0.1</v>
      </c>
      <c r="M1409" s="414">
        <f>ROUND(+L1409*C1409,4)</f>
        <v>0</v>
      </c>
      <c r="N1409" s="414"/>
      <c r="O1409" s="414"/>
      <c r="P1409" s="414"/>
      <c r="Q1409" s="419">
        <f>ROUND(+N1409+O1409+P1409,4)</f>
        <v>0</v>
      </c>
      <c r="R1409" s="419">
        <f>ROUND(IF(+Q1409-H1409&lt;=0,0,Q1409-H1409),4)</f>
        <v>0</v>
      </c>
      <c r="S1409" s="423">
        <v>0.5</v>
      </c>
      <c r="T1409" s="419">
        <f>ROUND(+(R1409*C1409)*S1409,4)</f>
        <v>0</v>
      </c>
      <c r="U1409" s="419">
        <f>ROUND(+J1409+M1409+T1409,4)</f>
        <v>0</v>
      </c>
      <c r="V1409" s="235"/>
    </row>
    <row r="1410" spans="1:22" ht="15.75" x14ac:dyDescent="0.25">
      <c r="A1410" s="231"/>
      <c r="B1410" s="232"/>
      <c r="C1410" s="400"/>
      <c r="D1410" s="233"/>
      <c r="E1410" s="405"/>
      <c r="F1410" s="405"/>
      <c r="G1410" s="405"/>
      <c r="H1410" s="408">
        <f>ROUND(+E1410+F1410+G1410,4)</f>
        <v>0</v>
      </c>
      <c r="I1410" s="234"/>
      <c r="J1410" s="411"/>
      <c r="K1410" s="411"/>
      <c r="L1410" s="414">
        <v>0.1</v>
      </c>
      <c r="M1410" s="414">
        <f>ROUND(+L1410*C1410,4)</f>
        <v>0</v>
      </c>
      <c r="N1410" s="414"/>
      <c r="O1410" s="414"/>
      <c r="P1410" s="414"/>
      <c r="Q1410" s="419">
        <f>ROUND(+N1410+O1410+P1410,4)</f>
        <v>0</v>
      </c>
      <c r="R1410" s="419">
        <f>ROUND(IF(+Q1410-H1410&lt;=0,0,Q1410-H1410),4)</f>
        <v>0</v>
      </c>
      <c r="S1410" s="423">
        <v>0.5</v>
      </c>
      <c r="T1410" s="419">
        <f>ROUND(+(R1410*C1410)*S1410,4)</f>
        <v>0</v>
      </c>
      <c r="U1410" s="419">
        <f>ROUND(+J1410+M1410+T1410,4)</f>
        <v>0</v>
      </c>
      <c r="V1410" s="235"/>
    </row>
    <row r="1411" spans="1:22" ht="15.75" x14ac:dyDescent="0.25">
      <c r="A1411" s="231"/>
      <c r="B1411" s="232"/>
      <c r="C1411" s="400"/>
      <c r="D1411" s="233"/>
      <c r="E1411" s="405"/>
      <c r="F1411" s="405"/>
      <c r="G1411" s="405"/>
      <c r="H1411" s="408">
        <f>ROUND(+E1411+F1411+G1411,4)</f>
        <v>0</v>
      </c>
      <c r="I1411" s="234"/>
      <c r="J1411" s="411"/>
      <c r="K1411" s="411"/>
      <c r="L1411" s="414">
        <v>0.1</v>
      </c>
      <c r="M1411" s="414">
        <f>ROUND(+L1411*C1411,4)</f>
        <v>0</v>
      </c>
      <c r="N1411" s="414"/>
      <c r="O1411" s="414"/>
      <c r="P1411" s="414"/>
      <c r="Q1411" s="419">
        <f>ROUND(+N1411+O1411+P1411,4)</f>
        <v>0</v>
      </c>
      <c r="R1411" s="419">
        <f>ROUND(IF(+Q1411-H1411&lt;=0,0,Q1411-H1411),4)</f>
        <v>0</v>
      </c>
      <c r="S1411" s="423">
        <v>0.5</v>
      </c>
      <c r="T1411" s="419">
        <f>ROUND(+(R1411*C1411)*S1411,4)</f>
        <v>0</v>
      </c>
      <c r="U1411" s="419">
        <f>ROUND(+J1411+M1411+T1411,4)</f>
        <v>0</v>
      </c>
      <c r="V1411" s="235"/>
    </row>
    <row r="1412" spans="1:22" ht="15.75" x14ac:dyDescent="0.25">
      <c r="A1412" s="231"/>
      <c r="B1412" s="232"/>
      <c r="C1412" s="400"/>
      <c r="D1412" s="233"/>
      <c r="E1412" s="405"/>
      <c r="F1412" s="405"/>
      <c r="G1412" s="405"/>
      <c r="H1412" s="408">
        <f>ROUND(+E1412+F1412+G1412,4)</f>
        <v>0</v>
      </c>
      <c r="I1412" s="234"/>
      <c r="J1412" s="411"/>
      <c r="K1412" s="411"/>
      <c r="L1412" s="414">
        <v>0.1</v>
      </c>
      <c r="M1412" s="414">
        <f>ROUND(+L1412*C1412,4)</f>
        <v>0</v>
      </c>
      <c r="N1412" s="414"/>
      <c r="O1412" s="414"/>
      <c r="P1412" s="414"/>
      <c r="Q1412" s="419">
        <f>ROUND(+N1412+O1412+P1412,4)</f>
        <v>0</v>
      </c>
      <c r="R1412" s="419">
        <f>ROUND(IF(+Q1412-H1412&lt;=0,0,Q1412-H1412),4)</f>
        <v>0</v>
      </c>
      <c r="S1412" s="423">
        <v>0.5</v>
      </c>
      <c r="T1412" s="419">
        <f>ROUND(+(R1412*C1412)*S1412,4)</f>
        <v>0</v>
      </c>
      <c r="U1412" s="419">
        <f>ROUND(+J1412+M1412+T1412,4)</f>
        <v>0</v>
      </c>
      <c r="V1412" s="235"/>
    </row>
    <row r="1413" spans="1:22" ht="15.75" x14ac:dyDescent="0.25">
      <c r="A1413" s="231"/>
      <c r="B1413" s="232"/>
      <c r="C1413" s="400"/>
      <c r="D1413" s="233"/>
      <c r="E1413" s="405"/>
      <c r="F1413" s="405"/>
      <c r="G1413" s="405"/>
      <c r="H1413" s="408">
        <f>ROUND(+E1413+F1413+G1413,4)</f>
        <v>0</v>
      </c>
      <c r="I1413" s="234"/>
      <c r="J1413" s="411"/>
      <c r="K1413" s="411"/>
      <c r="L1413" s="414">
        <v>0.1</v>
      </c>
      <c r="M1413" s="414">
        <f>ROUND(+L1413*C1413,4)</f>
        <v>0</v>
      </c>
      <c r="N1413" s="414"/>
      <c r="O1413" s="414"/>
      <c r="P1413" s="414"/>
      <c r="Q1413" s="419">
        <f>ROUND(+N1413+O1413+P1413,4)</f>
        <v>0</v>
      </c>
      <c r="R1413" s="419">
        <f>ROUND(IF(+Q1413-H1413&lt;=0,0,Q1413-H1413),4)</f>
        <v>0</v>
      </c>
      <c r="S1413" s="423">
        <v>0.5</v>
      </c>
      <c r="T1413" s="419">
        <f>ROUND(+(R1413*C1413)*S1413,4)</f>
        <v>0</v>
      </c>
      <c r="U1413" s="419">
        <f>ROUND(+J1413+M1413+T1413,4)</f>
        <v>0</v>
      </c>
      <c r="V1413" s="235"/>
    </row>
    <row r="1414" spans="1:22" ht="15.75" x14ac:dyDescent="0.25">
      <c r="A1414" s="231"/>
      <c r="B1414" s="232"/>
      <c r="C1414" s="400"/>
      <c r="D1414" s="233"/>
      <c r="E1414" s="405"/>
      <c r="F1414" s="405"/>
      <c r="G1414" s="405"/>
      <c r="H1414" s="408">
        <f>ROUND(+E1414+F1414+G1414,4)</f>
        <v>0</v>
      </c>
      <c r="I1414" s="234"/>
      <c r="J1414" s="411"/>
      <c r="K1414" s="411"/>
      <c r="L1414" s="414">
        <v>0.1</v>
      </c>
      <c r="M1414" s="414">
        <f>ROUND(+L1414*C1414,4)</f>
        <v>0</v>
      </c>
      <c r="N1414" s="414"/>
      <c r="O1414" s="414"/>
      <c r="P1414" s="414"/>
      <c r="Q1414" s="419">
        <f>ROUND(+N1414+O1414+P1414,4)</f>
        <v>0</v>
      </c>
      <c r="R1414" s="419">
        <f>ROUND(IF(+Q1414-H1414&lt;=0,0,Q1414-H1414),4)</f>
        <v>0</v>
      </c>
      <c r="S1414" s="423">
        <v>0.5</v>
      </c>
      <c r="T1414" s="419">
        <f>ROUND(+(R1414*C1414)*S1414,4)</f>
        <v>0</v>
      </c>
      <c r="U1414" s="419">
        <f>ROUND(+J1414+M1414+T1414,4)</f>
        <v>0</v>
      </c>
      <c r="V1414" s="235"/>
    </row>
    <row r="1415" spans="1:22" ht="15.75" x14ac:dyDescent="0.25">
      <c r="A1415" s="231"/>
      <c r="B1415" s="232"/>
      <c r="C1415" s="400"/>
      <c r="D1415" s="233"/>
      <c r="E1415" s="405"/>
      <c r="F1415" s="405"/>
      <c r="G1415" s="405"/>
      <c r="H1415" s="408">
        <f>ROUND(+E1415+F1415+G1415,4)</f>
        <v>0</v>
      </c>
      <c r="I1415" s="234"/>
      <c r="J1415" s="411"/>
      <c r="K1415" s="411"/>
      <c r="L1415" s="414">
        <v>0.1</v>
      </c>
      <c r="M1415" s="414">
        <f>ROUND(+L1415*C1415,4)</f>
        <v>0</v>
      </c>
      <c r="N1415" s="414"/>
      <c r="O1415" s="414"/>
      <c r="P1415" s="414"/>
      <c r="Q1415" s="419">
        <f>ROUND(+N1415+O1415+P1415,4)</f>
        <v>0</v>
      </c>
      <c r="R1415" s="419">
        <f>ROUND(IF(+Q1415-H1415&lt;=0,0,Q1415-H1415),4)</f>
        <v>0</v>
      </c>
      <c r="S1415" s="423">
        <v>0.5</v>
      </c>
      <c r="T1415" s="419">
        <f>ROUND(+(R1415*C1415)*S1415,4)</f>
        <v>0</v>
      </c>
      <c r="U1415" s="419">
        <f>ROUND(+J1415+M1415+T1415,4)</f>
        <v>0</v>
      </c>
      <c r="V1415" s="235"/>
    </row>
    <row r="1416" spans="1:22" ht="15.75" x14ac:dyDescent="0.25">
      <c r="A1416" s="231"/>
      <c r="B1416" s="232"/>
      <c r="C1416" s="400"/>
      <c r="D1416" s="233"/>
      <c r="E1416" s="405"/>
      <c r="F1416" s="405"/>
      <c r="G1416" s="405"/>
      <c r="H1416" s="408">
        <f>ROUND(+E1416+F1416+G1416,4)</f>
        <v>0</v>
      </c>
      <c r="I1416" s="234"/>
      <c r="J1416" s="411"/>
      <c r="K1416" s="411"/>
      <c r="L1416" s="414">
        <v>0.1</v>
      </c>
      <c r="M1416" s="414">
        <f>ROUND(+L1416*C1416,4)</f>
        <v>0</v>
      </c>
      <c r="N1416" s="414"/>
      <c r="O1416" s="414"/>
      <c r="P1416" s="414"/>
      <c r="Q1416" s="419">
        <f>ROUND(+N1416+O1416+P1416,4)</f>
        <v>0</v>
      </c>
      <c r="R1416" s="419">
        <f>ROUND(IF(+Q1416-H1416&lt;=0,0,Q1416-H1416),4)</f>
        <v>0</v>
      </c>
      <c r="S1416" s="423">
        <v>0.5</v>
      </c>
      <c r="T1416" s="419">
        <f>ROUND(+(R1416*C1416)*S1416,4)</f>
        <v>0</v>
      </c>
      <c r="U1416" s="419">
        <f>ROUND(+J1416+M1416+T1416,4)</f>
        <v>0</v>
      </c>
      <c r="V1416" s="235"/>
    </row>
    <row r="1417" spans="1:22" ht="15.75" x14ac:dyDescent="0.25">
      <c r="A1417" s="231"/>
      <c r="B1417" s="232"/>
      <c r="C1417" s="400"/>
      <c r="D1417" s="233"/>
      <c r="E1417" s="405"/>
      <c r="F1417" s="405"/>
      <c r="G1417" s="405"/>
      <c r="H1417" s="408">
        <f>ROUND(+E1417+F1417+G1417,4)</f>
        <v>0</v>
      </c>
      <c r="I1417" s="234"/>
      <c r="J1417" s="411"/>
      <c r="K1417" s="411"/>
      <c r="L1417" s="414">
        <v>0.1</v>
      </c>
      <c r="M1417" s="414">
        <f>ROUND(+L1417*C1417,4)</f>
        <v>0</v>
      </c>
      <c r="N1417" s="414"/>
      <c r="O1417" s="414"/>
      <c r="P1417" s="414"/>
      <c r="Q1417" s="419">
        <f>ROUND(+N1417+O1417+P1417,4)</f>
        <v>0</v>
      </c>
      <c r="R1417" s="419">
        <f>ROUND(IF(+Q1417-H1417&lt;=0,0,Q1417-H1417),4)</f>
        <v>0</v>
      </c>
      <c r="S1417" s="423">
        <v>0.5</v>
      </c>
      <c r="T1417" s="419">
        <f>ROUND(+(R1417*C1417)*S1417,4)</f>
        <v>0</v>
      </c>
      <c r="U1417" s="419">
        <f>ROUND(+J1417+M1417+T1417,4)</f>
        <v>0</v>
      </c>
      <c r="V1417" s="235"/>
    </row>
    <row r="1418" spans="1:22" ht="15.75" x14ac:dyDescent="0.25">
      <c r="A1418" s="231"/>
      <c r="B1418" s="232"/>
      <c r="C1418" s="400"/>
      <c r="D1418" s="233"/>
      <c r="E1418" s="405"/>
      <c r="F1418" s="405"/>
      <c r="G1418" s="405"/>
      <c r="H1418" s="408">
        <f>ROUND(+E1418+F1418+G1418,4)</f>
        <v>0</v>
      </c>
      <c r="I1418" s="234"/>
      <c r="J1418" s="411"/>
      <c r="K1418" s="411"/>
      <c r="L1418" s="414">
        <v>0.1</v>
      </c>
      <c r="M1418" s="414">
        <f>ROUND(+L1418*C1418,4)</f>
        <v>0</v>
      </c>
      <c r="N1418" s="414"/>
      <c r="O1418" s="414"/>
      <c r="P1418" s="414"/>
      <c r="Q1418" s="419">
        <f>ROUND(+N1418+O1418+P1418,4)</f>
        <v>0</v>
      </c>
      <c r="R1418" s="419">
        <f>ROUND(IF(+Q1418-H1418&lt;=0,0,Q1418-H1418),4)</f>
        <v>0</v>
      </c>
      <c r="S1418" s="423">
        <v>0.5</v>
      </c>
      <c r="T1418" s="419">
        <f>ROUND(+(R1418*C1418)*S1418,4)</f>
        <v>0</v>
      </c>
      <c r="U1418" s="419">
        <f>ROUND(+J1418+M1418+T1418,4)</f>
        <v>0</v>
      </c>
      <c r="V1418" s="235"/>
    </row>
    <row r="1419" spans="1:22" ht="15.75" x14ac:dyDescent="0.25">
      <c r="A1419" s="231"/>
      <c r="B1419" s="232"/>
      <c r="C1419" s="400"/>
      <c r="D1419" s="233"/>
      <c r="E1419" s="405"/>
      <c r="F1419" s="405"/>
      <c r="G1419" s="405"/>
      <c r="H1419" s="408">
        <f>ROUND(+E1419+F1419+G1419,4)</f>
        <v>0</v>
      </c>
      <c r="I1419" s="234"/>
      <c r="J1419" s="411"/>
      <c r="K1419" s="411"/>
      <c r="L1419" s="414">
        <v>0.1</v>
      </c>
      <c r="M1419" s="414">
        <f>ROUND(+L1419*C1419,4)</f>
        <v>0</v>
      </c>
      <c r="N1419" s="414"/>
      <c r="O1419" s="414"/>
      <c r="P1419" s="414"/>
      <c r="Q1419" s="419">
        <f>ROUND(+N1419+O1419+P1419,4)</f>
        <v>0</v>
      </c>
      <c r="R1419" s="419">
        <f>ROUND(IF(+Q1419-H1419&lt;=0,0,Q1419-H1419),4)</f>
        <v>0</v>
      </c>
      <c r="S1419" s="423">
        <v>0.5</v>
      </c>
      <c r="T1419" s="419">
        <f>ROUND(+(R1419*C1419)*S1419,4)</f>
        <v>0</v>
      </c>
      <c r="U1419" s="419">
        <f>ROUND(+J1419+M1419+T1419,4)</f>
        <v>0</v>
      </c>
      <c r="V1419" s="235"/>
    </row>
    <row r="1420" spans="1:22" ht="15.75" x14ac:dyDescent="0.25">
      <c r="A1420" s="231"/>
      <c r="B1420" s="232"/>
      <c r="C1420" s="400"/>
      <c r="D1420" s="233"/>
      <c r="E1420" s="405"/>
      <c r="F1420" s="405"/>
      <c r="G1420" s="405"/>
      <c r="H1420" s="408">
        <f>ROUND(+E1420+F1420+G1420,4)</f>
        <v>0</v>
      </c>
      <c r="I1420" s="234"/>
      <c r="J1420" s="411"/>
      <c r="K1420" s="411"/>
      <c r="L1420" s="414">
        <v>0.1</v>
      </c>
      <c r="M1420" s="414">
        <f>ROUND(+L1420*C1420,4)</f>
        <v>0</v>
      </c>
      <c r="N1420" s="414"/>
      <c r="O1420" s="414"/>
      <c r="P1420" s="414"/>
      <c r="Q1420" s="419">
        <f>ROUND(+N1420+O1420+P1420,4)</f>
        <v>0</v>
      </c>
      <c r="R1420" s="419">
        <f>ROUND(IF(+Q1420-H1420&lt;=0,0,Q1420-H1420),4)</f>
        <v>0</v>
      </c>
      <c r="S1420" s="423">
        <v>0.5</v>
      </c>
      <c r="T1420" s="419">
        <f>ROUND(+(R1420*C1420)*S1420,4)</f>
        <v>0</v>
      </c>
      <c r="U1420" s="419">
        <f>ROUND(+J1420+M1420+T1420,4)</f>
        <v>0</v>
      </c>
      <c r="V1420" s="235"/>
    </row>
    <row r="1421" spans="1:22" ht="15.75" x14ac:dyDescent="0.25">
      <c r="A1421" s="231"/>
      <c r="B1421" s="232"/>
      <c r="C1421" s="400"/>
      <c r="D1421" s="233"/>
      <c r="E1421" s="405"/>
      <c r="F1421" s="405"/>
      <c r="G1421" s="405"/>
      <c r="H1421" s="408">
        <f>ROUND(+E1421+F1421+G1421,4)</f>
        <v>0</v>
      </c>
      <c r="I1421" s="234"/>
      <c r="J1421" s="411"/>
      <c r="K1421" s="411"/>
      <c r="L1421" s="414">
        <v>0.1</v>
      </c>
      <c r="M1421" s="414">
        <f>ROUND(+L1421*C1421,4)</f>
        <v>0</v>
      </c>
      <c r="N1421" s="414"/>
      <c r="O1421" s="414"/>
      <c r="P1421" s="414"/>
      <c r="Q1421" s="419">
        <f>ROUND(+N1421+O1421+P1421,4)</f>
        <v>0</v>
      </c>
      <c r="R1421" s="419">
        <f>ROUND(IF(+Q1421-H1421&lt;=0,0,Q1421-H1421),4)</f>
        <v>0</v>
      </c>
      <c r="S1421" s="423">
        <v>0.5</v>
      </c>
      <c r="T1421" s="419">
        <f>ROUND(+(R1421*C1421)*S1421,4)</f>
        <v>0</v>
      </c>
      <c r="U1421" s="419">
        <f>ROUND(+J1421+M1421+T1421,4)</f>
        <v>0</v>
      </c>
      <c r="V1421" s="235"/>
    </row>
    <row r="1422" spans="1:22" ht="15.75" x14ac:dyDescent="0.25">
      <c r="A1422" s="231"/>
      <c r="B1422" s="232"/>
      <c r="C1422" s="400"/>
      <c r="D1422" s="233"/>
      <c r="E1422" s="405"/>
      <c r="F1422" s="405"/>
      <c r="G1422" s="405"/>
      <c r="H1422" s="408">
        <f>ROUND(+E1422+F1422+G1422,4)</f>
        <v>0</v>
      </c>
      <c r="I1422" s="234"/>
      <c r="J1422" s="411"/>
      <c r="K1422" s="411"/>
      <c r="L1422" s="414">
        <v>0.1</v>
      </c>
      <c r="M1422" s="414">
        <f>ROUND(+L1422*C1422,4)</f>
        <v>0</v>
      </c>
      <c r="N1422" s="414"/>
      <c r="O1422" s="414"/>
      <c r="P1422" s="414"/>
      <c r="Q1422" s="419">
        <f>ROUND(+N1422+O1422+P1422,4)</f>
        <v>0</v>
      </c>
      <c r="R1422" s="419">
        <f>ROUND(IF(+Q1422-H1422&lt;=0,0,Q1422-H1422),4)</f>
        <v>0</v>
      </c>
      <c r="S1422" s="423">
        <v>0.5</v>
      </c>
      <c r="T1422" s="419">
        <f>ROUND(+(R1422*C1422)*S1422,4)</f>
        <v>0</v>
      </c>
      <c r="U1422" s="419">
        <f>ROUND(+J1422+M1422+T1422,4)</f>
        <v>0</v>
      </c>
      <c r="V1422" s="235"/>
    </row>
    <row r="1423" spans="1:22" ht="15.75" x14ac:dyDescent="0.25">
      <c r="A1423" s="231"/>
      <c r="B1423" s="232"/>
      <c r="C1423" s="400"/>
      <c r="D1423" s="233"/>
      <c r="E1423" s="405"/>
      <c r="F1423" s="405"/>
      <c r="G1423" s="405"/>
      <c r="H1423" s="408">
        <f>ROUND(+E1423+F1423+G1423,4)</f>
        <v>0</v>
      </c>
      <c r="I1423" s="234"/>
      <c r="J1423" s="411"/>
      <c r="K1423" s="411"/>
      <c r="L1423" s="414">
        <v>0.1</v>
      </c>
      <c r="M1423" s="414">
        <f>ROUND(+L1423*C1423,4)</f>
        <v>0</v>
      </c>
      <c r="N1423" s="414"/>
      <c r="O1423" s="414"/>
      <c r="P1423" s="414"/>
      <c r="Q1423" s="419">
        <f>ROUND(+N1423+O1423+P1423,4)</f>
        <v>0</v>
      </c>
      <c r="R1423" s="419">
        <f>ROUND(IF(+Q1423-H1423&lt;=0,0,Q1423-H1423),4)</f>
        <v>0</v>
      </c>
      <c r="S1423" s="423">
        <v>0.5</v>
      </c>
      <c r="T1423" s="419">
        <f>ROUND(+(R1423*C1423)*S1423,4)</f>
        <v>0</v>
      </c>
      <c r="U1423" s="419">
        <f>ROUND(+J1423+M1423+T1423,4)</f>
        <v>0</v>
      </c>
      <c r="V1423" s="235"/>
    </row>
    <row r="1424" spans="1:22" ht="15.75" x14ac:dyDescent="0.25">
      <c r="A1424" s="231"/>
      <c r="B1424" s="232"/>
      <c r="C1424" s="400"/>
      <c r="D1424" s="233"/>
      <c r="E1424" s="405"/>
      <c r="F1424" s="405"/>
      <c r="G1424" s="405"/>
      <c r="H1424" s="408">
        <f>ROUND(+E1424+F1424+G1424,4)</f>
        <v>0</v>
      </c>
      <c r="I1424" s="234"/>
      <c r="J1424" s="411"/>
      <c r="K1424" s="411"/>
      <c r="L1424" s="414">
        <v>0.1</v>
      </c>
      <c r="M1424" s="414">
        <f>ROUND(+L1424*C1424,4)</f>
        <v>0</v>
      </c>
      <c r="N1424" s="414"/>
      <c r="O1424" s="414"/>
      <c r="P1424" s="414"/>
      <c r="Q1424" s="419">
        <f>ROUND(+N1424+O1424+P1424,4)</f>
        <v>0</v>
      </c>
      <c r="R1424" s="419">
        <f>ROUND(IF(+Q1424-H1424&lt;=0,0,Q1424-H1424),4)</f>
        <v>0</v>
      </c>
      <c r="S1424" s="423">
        <v>0.5</v>
      </c>
      <c r="T1424" s="419">
        <f>ROUND(+(R1424*C1424)*S1424,4)</f>
        <v>0</v>
      </c>
      <c r="U1424" s="419">
        <f>ROUND(+J1424+M1424+T1424,4)</f>
        <v>0</v>
      </c>
      <c r="V1424" s="235"/>
    </row>
    <row r="1425" spans="1:22" ht="15.75" x14ac:dyDescent="0.25">
      <c r="A1425" s="231"/>
      <c r="B1425" s="232"/>
      <c r="C1425" s="400"/>
      <c r="D1425" s="233"/>
      <c r="E1425" s="405"/>
      <c r="F1425" s="405"/>
      <c r="G1425" s="405"/>
      <c r="H1425" s="408">
        <f>ROUND(+E1425+F1425+G1425,4)</f>
        <v>0</v>
      </c>
      <c r="I1425" s="234"/>
      <c r="J1425" s="411"/>
      <c r="K1425" s="411"/>
      <c r="L1425" s="414">
        <v>0.1</v>
      </c>
      <c r="M1425" s="414">
        <f>ROUND(+L1425*C1425,4)</f>
        <v>0</v>
      </c>
      <c r="N1425" s="414"/>
      <c r="O1425" s="414"/>
      <c r="P1425" s="414"/>
      <c r="Q1425" s="419">
        <f>ROUND(+N1425+O1425+P1425,4)</f>
        <v>0</v>
      </c>
      <c r="R1425" s="419">
        <f>ROUND(IF(+Q1425-H1425&lt;=0,0,Q1425-H1425),4)</f>
        <v>0</v>
      </c>
      <c r="S1425" s="423">
        <v>0.5</v>
      </c>
      <c r="T1425" s="419">
        <f>ROUND(+(R1425*C1425)*S1425,4)</f>
        <v>0</v>
      </c>
      <c r="U1425" s="419">
        <f>ROUND(+J1425+M1425+T1425,4)</f>
        <v>0</v>
      </c>
      <c r="V1425" s="235"/>
    </row>
    <row r="1426" spans="1:22" ht="15.75" x14ac:dyDescent="0.25">
      <c r="A1426" s="231"/>
      <c r="B1426" s="232"/>
      <c r="C1426" s="400"/>
      <c r="D1426" s="233"/>
      <c r="E1426" s="405"/>
      <c r="F1426" s="405"/>
      <c r="G1426" s="405"/>
      <c r="H1426" s="408">
        <f>ROUND(+E1426+F1426+G1426,4)</f>
        <v>0</v>
      </c>
      <c r="I1426" s="234"/>
      <c r="J1426" s="411"/>
      <c r="K1426" s="411"/>
      <c r="L1426" s="414">
        <v>0.1</v>
      </c>
      <c r="M1426" s="414">
        <f>ROUND(+L1426*C1426,4)</f>
        <v>0</v>
      </c>
      <c r="N1426" s="414"/>
      <c r="O1426" s="414"/>
      <c r="P1426" s="414"/>
      <c r="Q1426" s="419">
        <f>ROUND(+N1426+O1426+P1426,4)</f>
        <v>0</v>
      </c>
      <c r="R1426" s="419">
        <f>ROUND(IF(+Q1426-H1426&lt;=0,0,Q1426-H1426),4)</f>
        <v>0</v>
      </c>
      <c r="S1426" s="423">
        <v>0.5</v>
      </c>
      <c r="T1426" s="419">
        <f>ROUND(+(R1426*C1426)*S1426,4)</f>
        <v>0</v>
      </c>
      <c r="U1426" s="419">
        <f>ROUND(+J1426+M1426+T1426,4)</f>
        <v>0</v>
      </c>
      <c r="V1426" s="235"/>
    </row>
    <row r="1427" spans="1:22" ht="15.75" x14ac:dyDescent="0.25">
      <c r="A1427" s="231"/>
      <c r="B1427" s="232"/>
      <c r="C1427" s="400"/>
      <c r="D1427" s="233"/>
      <c r="E1427" s="405"/>
      <c r="F1427" s="405"/>
      <c r="G1427" s="405"/>
      <c r="H1427" s="408">
        <f>ROUND(+E1427+F1427+G1427,4)</f>
        <v>0</v>
      </c>
      <c r="I1427" s="234"/>
      <c r="J1427" s="411"/>
      <c r="K1427" s="411"/>
      <c r="L1427" s="414">
        <v>0.1</v>
      </c>
      <c r="M1427" s="414">
        <f>ROUND(+L1427*C1427,4)</f>
        <v>0</v>
      </c>
      <c r="N1427" s="414"/>
      <c r="O1427" s="414"/>
      <c r="P1427" s="414"/>
      <c r="Q1427" s="419">
        <f>ROUND(+N1427+O1427+P1427,4)</f>
        <v>0</v>
      </c>
      <c r="R1427" s="419">
        <f>ROUND(IF(+Q1427-H1427&lt;=0,0,Q1427-H1427),4)</f>
        <v>0</v>
      </c>
      <c r="S1427" s="423">
        <v>0.5</v>
      </c>
      <c r="T1427" s="419">
        <f>ROUND(+(R1427*C1427)*S1427,4)</f>
        <v>0</v>
      </c>
      <c r="U1427" s="419">
        <f>ROUND(+J1427+M1427+T1427,4)</f>
        <v>0</v>
      </c>
      <c r="V1427" s="235"/>
    </row>
    <row r="1428" spans="1:22" ht="15.75" x14ac:dyDescent="0.25">
      <c r="A1428" s="231"/>
      <c r="B1428" s="232"/>
      <c r="C1428" s="400"/>
      <c r="D1428" s="233"/>
      <c r="E1428" s="405"/>
      <c r="F1428" s="405"/>
      <c r="G1428" s="405"/>
      <c r="H1428" s="408">
        <f>ROUND(+E1428+F1428+G1428,4)</f>
        <v>0</v>
      </c>
      <c r="I1428" s="234"/>
      <c r="J1428" s="411"/>
      <c r="K1428" s="411"/>
      <c r="L1428" s="414">
        <v>0.1</v>
      </c>
      <c r="M1428" s="414">
        <f>ROUND(+L1428*C1428,4)</f>
        <v>0</v>
      </c>
      <c r="N1428" s="414"/>
      <c r="O1428" s="414"/>
      <c r="P1428" s="414"/>
      <c r="Q1428" s="419">
        <f>ROUND(+N1428+O1428+P1428,4)</f>
        <v>0</v>
      </c>
      <c r="R1428" s="419">
        <f>ROUND(IF(+Q1428-H1428&lt;=0,0,Q1428-H1428),4)</f>
        <v>0</v>
      </c>
      <c r="S1428" s="423">
        <v>0.5</v>
      </c>
      <c r="T1428" s="419">
        <f>ROUND(+(R1428*C1428)*S1428,4)</f>
        <v>0</v>
      </c>
      <c r="U1428" s="419">
        <f>ROUND(+J1428+M1428+T1428,4)</f>
        <v>0</v>
      </c>
      <c r="V1428" s="235"/>
    </row>
    <row r="1429" spans="1:22" ht="15.75" x14ac:dyDescent="0.25">
      <c r="A1429" s="231"/>
      <c r="B1429" s="232"/>
      <c r="C1429" s="400"/>
      <c r="D1429" s="233"/>
      <c r="E1429" s="405"/>
      <c r="F1429" s="405"/>
      <c r="G1429" s="405"/>
      <c r="H1429" s="408">
        <f>ROUND(+E1429+F1429+G1429,4)</f>
        <v>0</v>
      </c>
      <c r="I1429" s="234"/>
      <c r="J1429" s="411"/>
      <c r="K1429" s="411"/>
      <c r="L1429" s="414">
        <v>0.1</v>
      </c>
      <c r="M1429" s="414">
        <f>ROUND(+L1429*C1429,4)</f>
        <v>0</v>
      </c>
      <c r="N1429" s="414"/>
      <c r="O1429" s="414"/>
      <c r="P1429" s="414"/>
      <c r="Q1429" s="419">
        <f>ROUND(+N1429+O1429+P1429,4)</f>
        <v>0</v>
      </c>
      <c r="R1429" s="419">
        <f>ROUND(IF(+Q1429-H1429&lt;=0,0,Q1429-H1429),4)</f>
        <v>0</v>
      </c>
      <c r="S1429" s="423">
        <v>0.5</v>
      </c>
      <c r="T1429" s="419">
        <f>ROUND(+(R1429*C1429)*S1429,4)</f>
        <v>0</v>
      </c>
      <c r="U1429" s="419">
        <f>ROUND(+J1429+M1429+T1429,4)</f>
        <v>0</v>
      </c>
      <c r="V1429" s="235"/>
    </row>
    <row r="1430" spans="1:22" ht="15.75" x14ac:dyDescent="0.25">
      <c r="A1430" s="231"/>
      <c r="B1430" s="232"/>
      <c r="C1430" s="400"/>
      <c r="D1430" s="233"/>
      <c r="E1430" s="405"/>
      <c r="F1430" s="405"/>
      <c r="G1430" s="405"/>
      <c r="H1430" s="408">
        <f>ROUND(+E1430+F1430+G1430,4)</f>
        <v>0</v>
      </c>
      <c r="I1430" s="234"/>
      <c r="J1430" s="411"/>
      <c r="K1430" s="411"/>
      <c r="L1430" s="414">
        <v>0.1</v>
      </c>
      <c r="M1430" s="414">
        <f>ROUND(+L1430*C1430,4)</f>
        <v>0</v>
      </c>
      <c r="N1430" s="414"/>
      <c r="O1430" s="414"/>
      <c r="P1430" s="414"/>
      <c r="Q1430" s="419">
        <f>ROUND(+N1430+O1430+P1430,4)</f>
        <v>0</v>
      </c>
      <c r="R1430" s="419">
        <f>ROUND(IF(+Q1430-H1430&lt;=0,0,Q1430-H1430),4)</f>
        <v>0</v>
      </c>
      <c r="S1430" s="423">
        <v>0.5</v>
      </c>
      <c r="T1430" s="419">
        <f>ROUND(+(R1430*C1430)*S1430,4)</f>
        <v>0</v>
      </c>
      <c r="U1430" s="419">
        <f>ROUND(+J1430+M1430+T1430,4)</f>
        <v>0</v>
      </c>
      <c r="V1430" s="235"/>
    </row>
    <row r="1431" spans="1:22" ht="15.75" x14ac:dyDescent="0.25">
      <c r="A1431" s="231"/>
      <c r="B1431" s="232"/>
      <c r="C1431" s="400"/>
      <c r="D1431" s="233"/>
      <c r="E1431" s="405"/>
      <c r="F1431" s="405"/>
      <c r="G1431" s="405"/>
      <c r="H1431" s="408">
        <f>ROUND(+E1431+F1431+G1431,4)</f>
        <v>0</v>
      </c>
      <c r="I1431" s="234"/>
      <c r="J1431" s="411"/>
      <c r="K1431" s="411"/>
      <c r="L1431" s="414">
        <v>0.1</v>
      </c>
      <c r="M1431" s="414">
        <f>ROUND(+L1431*C1431,4)</f>
        <v>0</v>
      </c>
      <c r="N1431" s="414"/>
      <c r="O1431" s="414"/>
      <c r="P1431" s="414"/>
      <c r="Q1431" s="419">
        <f>ROUND(+N1431+O1431+P1431,4)</f>
        <v>0</v>
      </c>
      <c r="R1431" s="419">
        <f>ROUND(IF(+Q1431-H1431&lt;=0,0,Q1431-H1431),4)</f>
        <v>0</v>
      </c>
      <c r="S1431" s="423">
        <v>0.5</v>
      </c>
      <c r="T1431" s="419">
        <f>ROUND(+(R1431*C1431)*S1431,4)</f>
        <v>0</v>
      </c>
      <c r="U1431" s="419">
        <f>ROUND(+J1431+M1431+T1431,4)</f>
        <v>0</v>
      </c>
      <c r="V1431" s="235"/>
    </row>
    <row r="1432" spans="1:22" ht="15.75" x14ac:dyDescent="0.25">
      <c r="A1432" s="231"/>
      <c r="B1432" s="232"/>
      <c r="C1432" s="400"/>
      <c r="D1432" s="233"/>
      <c r="E1432" s="405"/>
      <c r="F1432" s="405"/>
      <c r="G1432" s="405"/>
      <c r="H1432" s="408">
        <f>ROUND(+E1432+F1432+G1432,4)</f>
        <v>0</v>
      </c>
      <c r="I1432" s="234"/>
      <c r="J1432" s="411"/>
      <c r="K1432" s="411"/>
      <c r="L1432" s="414">
        <v>0.1</v>
      </c>
      <c r="M1432" s="414">
        <f>ROUND(+L1432*C1432,4)</f>
        <v>0</v>
      </c>
      <c r="N1432" s="414"/>
      <c r="O1432" s="414"/>
      <c r="P1432" s="414"/>
      <c r="Q1432" s="419">
        <f>ROUND(+N1432+O1432+P1432,4)</f>
        <v>0</v>
      </c>
      <c r="R1432" s="419">
        <f>ROUND(IF(+Q1432-H1432&lt;=0,0,Q1432-H1432),4)</f>
        <v>0</v>
      </c>
      <c r="S1432" s="423">
        <v>0.5</v>
      </c>
      <c r="T1432" s="419">
        <f>ROUND(+(R1432*C1432)*S1432,4)</f>
        <v>0</v>
      </c>
      <c r="U1432" s="419">
        <f>ROUND(+J1432+M1432+T1432,4)</f>
        <v>0</v>
      </c>
      <c r="V1432" s="235"/>
    </row>
    <row r="1433" spans="1:22" ht="15.75" x14ac:dyDescent="0.25">
      <c r="A1433" s="231"/>
      <c r="B1433" s="232"/>
      <c r="C1433" s="400"/>
      <c r="D1433" s="233"/>
      <c r="E1433" s="405"/>
      <c r="F1433" s="405"/>
      <c r="G1433" s="405"/>
      <c r="H1433" s="408">
        <f>ROUND(+E1433+F1433+G1433,4)</f>
        <v>0</v>
      </c>
      <c r="I1433" s="234"/>
      <c r="J1433" s="411"/>
      <c r="K1433" s="411"/>
      <c r="L1433" s="414">
        <v>0.1</v>
      </c>
      <c r="M1433" s="414">
        <f>ROUND(+L1433*C1433,4)</f>
        <v>0</v>
      </c>
      <c r="N1433" s="414"/>
      <c r="O1433" s="414"/>
      <c r="P1433" s="414"/>
      <c r="Q1433" s="419">
        <f>ROUND(+N1433+O1433+P1433,4)</f>
        <v>0</v>
      </c>
      <c r="R1433" s="419">
        <f>ROUND(IF(+Q1433-H1433&lt;=0,0,Q1433-H1433),4)</f>
        <v>0</v>
      </c>
      <c r="S1433" s="423">
        <v>0.5</v>
      </c>
      <c r="T1433" s="419">
        <f>ROUND(+(R1433*C1433)*S1433,4)</f>
        <v>0</v>
      </c>
      <c r="U1433" s="419">
        <f>ROUND(+J1433+M1433+T1433,4)</f>
        <v>0</v>
      </c>
      <c r="V1433" s="235"/>
    </row>
    <row r="1434" spans="1:22" ht="15.75" x14ac:dyDescent="0.25">
      <c r="A1434" s="231"/>
      <c r="B1434" s="232"/>
      <c r="C1434" s="400"/>
      <c r="D1434" s="233"/>
      <c r="E1434" s="405"/>
      <c r="F1434" s="405"/>
      <c r="G1434" s="405"/>
      <c r="H1434" s="408">
        <f>ROUND(+E1434+F1434+G1434,4)</f>
        <v>0</v>
      </c>
      <c r="I1434" s="234"/>
      <c r="J1434" s="411"/>
      <c r="K1434" s="411"/>
      <c r="L1434" s="414">
        <v>0.1</v>
      </c>
      <c r="M1434" s="414">
        <f>ROUND(+L1434*C1434,4)</f>
        <v>0</v>
      </c>
      <c r="N1434" s="414"/>
      <c r="O1434" s="414"/>
      <c r="P1434" s="414"/>
      <c r="Q1434" s="419">
        <f>ROUND(+N1434+O1434+P1434,4)</f>
        <v>0</v>
      </c>
      <c r="R1434" s="419">
        <f>ROUND(IF(+Q1434-H1434&lt;=0,0,Q1434-H1434),4)</f>
        <v>0</v>
      </c>
      <c r="S1434" s="423">
        <v>0.5</v>
      </c>
      <c r="T1434" s="419">
        <f>ROUND(+(R1434*C1434)*S1434,4)</f>
        <v>0</v>
      </c>
      <c r="U1434" s="419">
        <f>ROUND(+J1434+M1434+T1434,4)</f>
        <v>0</v>
      </c>
      <c r="V1434" s="235"/>
    </row>
    <row r="1435" spans="1:22" ht="15.75" x14ac:dyDescent="0.25">
      <c r="A1435" s="231"/>
      <c r="B1435" s="232"/>
      <c r="C1435" s="400"/>
      <c r="D1435" s="233"/>
      <c r="E1435" s="405"/>
      <c r="F1435" s="405"/>
      <c r="G1435" s="405"/>
      <c r="H1435" s="408">
        <f>ROUND(+E1435+F1435+G1435,4)</f>
        <v>0</v>
      </c>
      <c r="I1435" s="234"/>
      <c r="J1435" s="411"/>
      <c r="K1435" s="411"/>
      <c r="L1435" s="414">
        <v>0.1</v>
      </c>
      <c r="M1435" s="414">
        <f>ROUND(+L1435*C1435,4)</f>
        <v>0</v>
      </c>
      <c r="N1435" s="414"/>
      <c r="O1435" s="414"/>
      <c r="P1435" s="414"/>
      <c r="Q1435" s="419">
        <f>ROUND(+N1435+O1435+P1435,4)</f>
        <v>0</v>
      </c>
      <c r="R1435" s="419">
        <f>ROUND(IF(+Q1435-H1435&lt;=0,0,Q1435-H1435),4)</f>
        <v>0</v>
      </c>
      <c r="S1435" s="423">
        <v>0.5</v>
      </c>
      <c r="T1435" s="419">
        <f>ROUND(+(R1435*C1435)*S1435,4)</f>
        <v>0</v>
      </c>
      <c r="U1435" s="419">
        <f>ROUND(+J1435+M1435+T1435,4)</f>
        <v>0</v>
      </c>
      <c r="V1435" s="235"/>
    </row>
    <row r="1436" spans="1:22" ht="15.75" x14ac:dyDescent="0.25">
      <c r="A1436" s="231"/>
      <c r="B1436" s="232"/>
      <c r="C1436" s="400"/>
      <c r="D1436" s="233"/>
      <c r="E1436" s="405"/>
      <c r="F1436" s="405"/>
      <c r="G1436" s="405"/>
      <c r="H1436" s="408">
        <f>ROUND(+E1436+F1436+G1436,4)</f>
        <v>0</v>
      </c>
      <c r="I1436" s="234"/>
      <c r="J1436" s="411"/>
      <c r="K1436" s="411"/>
      <c r="L1436" s="414">
        <v>0.1</v>
      </c>
      <c r="M1436" s="414">
        <f>ROUND(+L1436*C1436,4)</f>
        <v>0</v>
      </c>
      <c r="N1436" s="414"/>
      <c r="O1436" s="414"/>
      <c r="P1436" s="414"/>
      <c r="Q1436" s="419">
        <f>ROUND(+N1436+O1436+P1436,4)</f>
        <v>0</v>
      </c>
      <c r="R1436" s="419">
        <f>ROUND(IF(+Q1436-H1436&lt;=0,0,Q1436-H1436),4)</f>
        <v>0</v>
      </c>
      <c r="S1436" s="423">
        <v>0.5</v>
      </c>
      <c r="T1436" s="419">
        <f>ROUND(+(R1436*C1436)*S1436,4)</f>
        <v>0</v>
      </c>
      <c r="U1436" s="419">
        <f>ROUND(+J1436+M1436+T1436,4)</f>
        <v>0</v>
      </c>
      <c r="V1436" s="235"/>
    </row>
    <row r="1437" spans="1:22" ht="15.75" x14ac:dyDescent="0.25">
      <c r="A1437" s="231"/>
      <c r="B1437" s="232"/>
      <c r="C1437" s="400"/>
      <c r="D1437" s="233"/>
      <c r="E1437" s="405"/>
      <c r="F1437" s="405"/>
      <c r="G1437" s="405"/>
      <c r="H1437" s="408">
        <f>ROUND(+E1437+F1437+G1437,4)</f>
        <v>0</v>
      </c>
      <c r="I1437" s="234"/>
      <c r="J1437" s="411"/>
      <c r="K1437" s="411"/>
      <c r="L1437" s="414">
        <v>0.1</v>
      </c>
      <c r="M1437" s="414">
        <f>ROUND(+L1437*C1437,4)</f>
        <v>0</v>
      </c>
      <c r="N1437" s="414"/>
      <c r="O1437" s="414"/>
      <c r="P1437" s="414"/>
      <c r="Q1437" s="419">
        <f>ROUND(+N1437+O1437+P1437,4)</f>
        <v>0</v>
      </c>
      <c r="R1437" s="419">
        <f>ROUND(IF(+Q1437-H1437&lt;=0,0,Q1437-H1437),4)</f>
        <v>0</v>
      </c>
      <c r="S1437" s="423">
        <v>0.5</v>
      </c>
      <c r="T1437" s="419">
        <f>ROUND(+(R1437*C1437)*S1437,4)</f>
        <v>0</v>
      </c>
      <c r="U1437" s="419">
        <f>ROUND(+J1437+M1437+T1437,4)</f>
        <v>0</v>
      </c>
      <c r="V1437" s="235"/>
    </row>
    <row r="1438" spans="1:22" ht="15.75" x14ac:dyDescent="0.25">
      <c r="A1438" s="231"/>
      <c r="B1438" s="232"/>
      <c r="C1438" s="400"/>
      <c r="D1438" s="233"/>
      <c r="E1438" s="405"/>
      <c r="F1438" s="405"/>
      <c r="G1438" s="405"/>
      <c r="H1438" s="408">
        <f>ROUND(+E1438+F1438+G1438,4)</f>
        <v>0</v>
      </c>
      <c r="I1438" s="234"/>
      <c r="J1438" s="411"/>
      <c r="K1438" s="411"/>
      <c r="L1438" s="414">
        <v>0.1</v>
      </c>
      <c r="M1438" s="414">
        <f>ROUND(+L1438*C1438,4)</f>
        <v>0</v>
      </c>
      <c r="N1438" s="414"/>
      <c r="O1438" s="414"/>
      <c r="P1438" s="414"/>
      <c r="Q1438" s="419">
        <f>ROUND(+N1438+O1438+P1438,4)</f>
        <v>0</v>
      </c>
      <c r="R1438" s="419">
        <f>ROUND(IF(+Q1438-H1438&lt;=0,0,Q1438-H1438),4)</f>
        <v>0</v>
      </c>
      <c r="S1438" s="423">
        <v>0.5</v>
      </c>
      <c r="T1438" s="419">
        <f>ROUND(+(R1438*C1438)*S1438,4)</f>
        <v>0</v>
      </c>
      <c r="U1438" s="419">
        <f>ROUND(+J1438+M1438+T1438,4)</f>
        <v>0</v>
      </c>
      <c r="V1438" s="235"/>
    </row>
    <row r="1439" spans="1:22" ht="15.75" x14ac:dyDescent="0.25">
      <c r="A1439" s="231"/>
      <c r="B1439" s="232"/>
      <c r="C1439" s="400"/>
      <c r="D1439" s="233"/>
      <c r="E1439" s="405"/>
      <c r="F1439" s="405"/>
      <c r="G1439" s="405"/>
      <c r="H1439" s="408">
        <f>ROUND(+E1439+F1439+G1439,4)</f>
        <v>0</v>
      </c>
      <c r="I1439" s="234"/>
      <c r="J1439" s="411"/>
      <c r="K1439" s="411"/>
      <c r="L1439" s="414">
        <v>0.1</v>
      </c>
      <c r="M1439" s="414">
        <f>ROUND(+L1439*C1439,4)</f>
        <v>0</v>
      </c>
      <c r="N1439" s="414"/>
      <c r="O1439" s="414"/>
      <c r="P1439" s="414"/>
      <c r="Q1439" s="419">
        <f>ROUND(+N1439+O1439+P1439,4)</f>
        <v>0</v>
      </c>
      <c r="R1439" s="419">
        <f>ROUND(IF(+Q1439-H1439&lt;=0,0,Q1439-H1439),4)</f>
        <v>0</v>
      </c>
      <c r="S1439" s="423">
        <v>0.5</v>
      </c>
      <c r="T1439" s="419">
        <f>ROUND(+(R1439*C1439)*S1439,4)</f>
        <v>0</v>
      </c>
      <c r="U1439" s="419">
        <f>ROUND(+J1439+M1439+T1439,4)</f>
        <v>0</v>
      </c>
      <c r="V1439" s="235"/>
    </row>
    <row r="1440" spans="1:22" ht="15.75" x14ac:dyDescent="0.25">
      <c r="A1440" s="231"/>
      <c r="B1440" s="232"/>
      <c r="C1440" s="400"/>
      <c r="D1440" s="233"/>
      <c r="E1440" s="405"/>
      <c r="F1440" s="405"/>
      <c r="G1440" s="405"/>
      <c r="H1440" s="408">
        <f>ROUND(+E1440+F1440+G1440,4)</f>
        <v>0</v>
      </c>
      <c r="I1440" s="234"/>
      <c r="J1440" s="411"/>
      <c r="K1440" s="411"/>
      <c r="L1440" s="414">
        <v>0.1</v>
      </c>
      <c r="M1440" s="414">
        <f>ROUND(+L1440*C1440,4)</f>
        <v>0</v>
      </c>
      <c r="N1440" s="414"/>
      <c r="O1440" s="414"/>
      <c r="P1440" s="414"/>
      <c r="Q1440" s="419">
        <f>ROUND(+N1440+O1440+P1440,4)</f>
        <v>0</v>
      </c>
      <c r="R1440" s="419">
        <f>ROUND(IF(+Q1440-H1440&lt;=0,0,Q1440-H1440),4)</f>
        <v>0</v>
      </c>
      <c r="S1440" s="423">
        <v>0.5</v>
      </c>
      <c r="T1440" s="419">
        <f>ROUND(+(R1440*C1440)*S1440,4)</f>
        <v>0</v>
      </c>
      <c r="U1440" s="419">
        <f>ROUND(+J1440+M1440+T1440,4)</f>
        <v>0</v>
      </c>
      <c r="V1440" s="235"/>
    </row>
    <row r="1441" spans="1:22" ht="15.75" x14ac:dyDescent="0.25">
      <c r="A1441" s="231"/>
      <c r="B1441" s="232"/>
      <c r="C1441" s="400"/>
      <c r="D1441" s="233"/>
      <c r="E1441" s="405"/>
      <c r="F1441" s="405"/>
      <c r="G1441" s="405"/>
      <c r="H1441" s="408">
        <f>ROUND(+E1441+F1441+G1441,4)</f>
        <v>0</v>
      </c>
      <c r="I1441" s="234"/>
      <c r="J1441" s="411"/>
      <c r="K1441" s="411"/>
      <c r="L1441" s="414">
        <v>0.1</v>
      </c>
      <c r="M1441" s="414">
        <f>ROUND(+L1441*C1441,4)</f>
        <v>0</v>
      </c>
      <c r="N1441" s="414"/>
      <c r="O1441" s="414"/>
      <c r="P1441" s="414"/>
      <c r="Q1441" s="419">
        <f>ROUND(+N1441+O1441+P1441,4)</f>
        <v>0</v>
      </c>
      <c r="R1441" s="419">
        <f>ROUND(IF(+Q1441-H1441&lt;=0,0,Q1441-H1441),4)</f>
        <v>0</v>
      </c>
      <c r="S1441" s="423">
        <v>0.5</v>
      </c>
      <c r="T1441" s="419">
        <f>ROUND(+(R1441*C1441)*S1441,4)</f>
        <v>0</v>
      </c>
      <c r="U1441" s="419">
        <f>ROUND(+J1441+M1441+T1441,4)</f>
        <v>0</v>
      </c>
      <c r="V1441" s="235"/>
    </row>
    <row r="1442" spans="1:22" ht="15.75" x14ac:dyDescent="0.25">
      <c r="A1442" s="231"/>
      <c r="B1442" s="232"/>
      <c r="C1442" s="400"/>
      <c r="D1442" s="233"/>
      <c r="E1442" s="405"/>
      <c r="F1442" s="405"/>
      <c r="G1442" s="405"/>
      <c r="H1442" s="408">
        <f>ROUND(+E1442+F1442+G1442,4)</f>
        <v>0</v>
      </c>
      <c r="I1442" s="234"/>
      <c r="J1442" s="411"/>
      <c r="K1442" s="411"/>
      <c r="L1442" s="414">
        <v>0.1</v>
      </c>
      <c r="M1442" s="414">
        <f>ROUND(+L1442*C1442,4)</f>
        <v>0</v>
      </c>
      <c r="N1442" s="414"/>
      <c r="O1442" s="414"/>
      <c r="P1442" s="414"/>
      <c r="Q1442" s="419">
        <f>ROUND(+N1442+O1442+P1442,4)</f>
        <v>0</v>
      </c>
      <c r="R1442" s="419">
        <f>ROUND(IF(+Q1442-H1442&lt;=0,0,Q1442-H1442),4)</f>
        <v>0</v>
      </c>
      <c r="S1442" s="423">
        <v>0.5</v>
      </c>
      <c r="T1442" s="419">
        <f>ROUND(+(R1442*C1442)*S1442,4)</f>
        <v>0</v>
      </c>
      <c r="U1442" s="419">
        <f>ROUND(+J1442+M1442+T1442,4)</f>
        <v>0</v>
      </c>
      <c r="V1442" s="235"/>
    </row>
    <row r="1443" spans="1:22" ht="15.75" x14ac:dyDescent="0.25">
      <c r="A1443" s="231"/>
      <c r="B1443" s="232"/>
      <c r="C1443" s="400"/>
      <c r="D1443" s="233"/>
      <c r="E1443" s="405"/>
      <c r="F1443" s="405"/>
      <c r="G1443" s="405"/>
      <c r="H1443" s="408">
        <f>ROUND(+E1443+F1443+G1443,4)</f>
        <v>0</v>
      </c>
      <c r="I1443" s="234"/>
      <c r="J1443" s="411"/>
      <c r="K1443" s="411"/>
      <c r="L1443" s="414">
        <v>0.1</v>
      </c>
      <c r="M1443" s="414">
        <f>ROUND(+L1443*C1443,4)</f>
        <v>0</v>
      </c>
      <c r="N1443" s="414"/>
      <c r="O1443" s="414"/>
      <c r="P1443" s="414"/>
      <c r="Q1443" s="419">
        <f>ROUND(+N1443+O1443+P1443,4)</f>
        <v>0</v>
      </c>
      <c r="R1443" s="419">
        <f>ROUND(IF(+Q1443-H1443&lt;=0,0,Q1443-H1443),4)</f>
        <v>0</v>
      </c>
      <c r="S1443" s="423">
        <v>0.5</v>
      </c>
      <c r="T1443" s="419">
        <f>ROUND(+(R1443*C1443)*S1443,4)</f>
        <v>0</v>
      </c>
      <c r="U1443" s="419">
        <f>ROUND(+J1443+M1443+T1443,4)</f>
        <v>0</v>
      </c>
      <c r="V1443" s="235"/>
    </row>
    <row r="1444" spans="1:22" ht="15.75" x14ac:dyDescent="0.25">
      <c r="A1444" s="231"/>
      <c r="B1444" s="232"/>
      <c r="C1444" s="400"/>
      <c r="D1444" s="233"/>
      <c r="E1444" s="405"/>
      <c r="F1444" s="405"/>
      <c r="G1444" s="405"/>
      <c r="H1444" s="408">
        <f>ROUND(+E1444+F1444+G1444,4)</f>
        <v>0</v>
      </c>
      <c r="I1444" s="234"/>
      <c r="J1444" s="411"/>
      <c r="K1444" s="411"/>
      <c r="L1444" s="414">
        <v>0.1</v>
      </c>
      <c r="M1444" s="414">
        <f>ROUND(+L1444*C1444,4)</f>
        <v>0</v>
      </c>
      <c r="N1444" s="414"/>
      <c r="O1444" s="414"/>
      <c r="P1444" s="414"/>
      <c r="Q1444" s="419">
        <f>ROUND(+N1444+O1444+P1444,4)</f>
        <v>0</v>
      </c>
      <c r="R1444" s="419">
        <f>ROUND(IF(+Q1444-H1444&lt;=0,0,Q1444-H1444),4)</f>
        <v>0</v>
      </c>
      <c r="S1444" s="423">
        <v>0.5</v>
      </c>
      <c r="T1444" s="419">
        <f>ROUND(+(R1444*C1444)*S1444,4)</f>
        <v>0</v>
      </c>
      <c r="U1444" s="419">
        <f>ROUND(+J1444+M1444+T1444,4)</f>
        <v>0</v>
      </c>
      <c r="V1444" s="235"/>
    </row>
    <row r="1445" spans="1:22" ht="15.75" x14ac:dyDescent="0.25">
      <c r="A1445" s="231"/>
      <c r="B1445" s="232"/>
      <c r="C1445" s="400"/>
      <c r="D1445" s="233"/>
      <c r="E1445" s="405"/>
      <c r="F1445" s="405"/>
      <c r="G1445" s="405"/>
      <c r="H1445" s="408">
        <f>ROUND(+E1445+F1445+G1445,4)</f>
        <v>0</v>
      </c>
      <c r="I1445" s="234"/>
      <c r="J1445" s="411"/>
      <c r="K1445" s="411"/>
      <c r="L1445" s="414">
        <v>0.1</v>
      </c>
      <c r="M1445" s="414">
        <f>ROUND(+L1445*C1445,4)</f>
        <v>0</v>
      </c>
      <c r="N1445" s="414"/>
      <c r="O1445" s="414"/>
      <c r="P1445" s="414"/>
      <c r="Q1445" s="419">
        <f>ROUND(+N1445+O1445+P1445,4)</f>
        <v>0</v>
      </c>
      <c r="R1445" s="419">
        <f>ROUND(IF(+Q1445-H1445&lt;=0,0,Q1445-H1445),4)</f>
        <v>0</v>
      </c>
      <c r="S1445" s="423">
        <v>0.5</v>
      </c>
      <c r="T1445" s="419">
        <f>ROUND(+(R1445*C1445)*S1445,4)</f>
        <v>0</v>
      </c>
      <c r="U1445" s="419">
        <f>ROUND(+J1445+M1445+T1445,4)</f>
        <v>0</v>
      </c>
      <c r="V1445" s="235"/>
    </row>
    <row r="1446" spans="1:22" ht="15.75" x14ac:dyDescent="0.25">
      <c r="A1446" s="231"/>
      <c r="B1446" s="232"/>
      <c r="C1446" s="400"/>
      <c r="D1446" s="233"/>
      <c r="E1446" s="405"/>
      <c r="F1446" s="405"/>
      <c r="G1446" s="405"/>
      <c r="H1446" s="408">
        <f>ROUND(+E1446+F1446+G1446,4)</f>
        <v>0</v>
      </c>
      <c r="I1446" s="234"/>
      <c r="J1446" s="411"/>
      <c r="K1446" s="411"/>
      <c r="L1446" s="414">
        <v>0.1</v>
      </c>
      <c r="M1446" s="414">
        <f>ROUND(+L1446*C1446,4)</f>
        <v>0</v>
      </c>
      <c r="N1446" s="414"/>
      <c r="O1446" s="414"/>
      <c r="P1446" s="414"/>
      <c r="Q1446" s="419">
        <f>ROUND(+N1446+O1446+P1446,4)</f>
        <v>0</v>
      </c>
      <c r="R1446" s="419">
        <f>ROUND(IF(+Q1446-H1446&lt;=0,0,Q1446-H1446),4)</f>
        <v>0</v>
      </c>
      <c r="S1446" s="423">
        <v>0.5</v>
      </c>
      <c r="T1446" s="419">
        <f>ROUND(+(R1446*C1446)*S1446,4)</f>
        <v>0</v>
      </c>
      <c r="U1446" s="419">
        <f>ROUND(+J1446+M1446+T1446,4)</f>
        <v>0</v>
      </c>
      <c r="V1446" s="235"/>
    </row>
    <row r="1447" spans="1:22" ht="15.75" x14ac:dyDescent="0.25">
      <c r="A1447" s="231"/>
      <c r="B1447" s="232"/>
      <c r="C1447" s="400"/>
      <c r="D1447" s="233"/>
      <c r="E1447" s="405"/>
      <c r="F1447" s="405"/>
      <c r="G1447" s="405"/>
      <c r="H1447" s="408">
        <f>ROUND(+E1447+F1447+G1447,4)</f>
        <v>0</v>
      </c>
      <c r="I1447" s="234"/>
      <c r="J1447" s="411"/>
      <c r="K1447" s="411"/>
      <c r="L1447" s="414">
        <v>0.1</v>
      </c>
      <c r="M1447" s="414">
        <f>ROUND(+L1447*C1447,4)</f>
        <v>0</v>
      </c>
      <c r="N1447" s="414"/>
      <c r="O1447" s="414"/>
      <c r="P1447" s="414"/>
      <c r="Q1447" s="419">
        <f>ROUND(+N1447+O1447+P1447,4)</f>
        <v>0</v>
      </c>
      <c r="R1447" s="419">
        <f>ROUND(IF(+Q1447-H1447&lt;=0,0,Q1447-H1447),4)</f>
        <v>0</v>
      </c>
      <c r="S1447" s="423">
        <v>0.5</v>
      </c>
      <c r="T1447" s="419">
        <f>ROUND(+(R1447*C1447)*S1447,4)</f>
        <v>0</v>
      </c>
      <c r="U1447" s="419">
        <f>ROUND(+J1447+M1447+T1447,4)</f>
        <v>0</v>
      </c>
      <c r="V1447" s="235"/>
    </row>
    <row r="1448" spans="1:22" ht="15.75" x14ac:dyDescent="0.25">
      <c r="A1448" s="231"/>
      <c r="B1448" s="232"/>
      <c r="C1448" s="400"/>
      <c r="D1448" s="233"/>
      <c r="E1448" s="405"/>
      <c r="F1448" s="405"/>
      <c r="G1448" s="405"/>
      <c r="H1448" s="408">
        <f>ROUND(+E1448+F1448+G1448,4)</f>
        <v>0</v>
      </c>
      <c r="I1448" s="234"/>
      <c r="J1448" s="411"/>
      <c r="K1448" s="411"/>
      <c r="L1448" s="414">
        <v>0.1</v>
      </c>
      <c r="M1448" s="414">
        <f>ROUND(+L1448*C1448,4)</f>
        <v>0</v>
      </c>
      <c r="N1448" s="414"/>
      <c r="O1448" s="414"/>
      <c r="P1448" s="414"/>
      <c r="Q1448" s="419">
        <f>ROUND(+N1448+O1448+P1448,4)</f>
        <v>0</v>
      </c>
      <c r="R1448" s="419">
        <f>ROUND(IF(+Q1448-H1448&lt;=0,0,Q1448-H1448),4)</f>
        <v>0</v>
      </c>
      <c r="S1448" s="423">
        <v>0.5</v>
      </c>
      <c r="T1448" s="419">
        <f>ROUND(+(R1448*C1448)*S1448,4)</f>
        <v>0</v>
      </c>
      <c r="U1448" s="419">
        <f>ROUND(+J1448+M1448+T1448,4)</f>
        <v>0</v>
      </c>
      <c r="V1448" s="235"/>
    </row>
    <row r="1449" spans="1:22" ht="15.75" x14ac:dyDescent="0.25">
      <c r="A1449" s="231"/>
      <c r="B1449" s="232"/>
      <c r="C1449" s="400"/>
      <c r="D1449" s="233"/>
      <c r="E1449" s="405"/>
      <c r="F1449" s="405"/>
      <c r="G1449" s="405"/>
      <c r="H1449" s="408">
        <f>ROUND(+E1449+F1449+G1449,4)</f>
        <v>0</v>
      </c>
      <c r="I1449" s="234"/>
      <c r="J1449" s="411"/>
      <c r="K1449" s="411"/>
      <c r="L1449" s="414">
        <v>0.1</v>
      </c>
      <c r="M1449" s="414">
        <f>ROUND(+L1449*C1449,4)</f>
        <v>0</v>
      </c>
      <c r="N1449" s="414"/>
      <c r="O1449" s="414"/>
      <c r="P1449" s="414"/>
      <c r="Q1449" s="419">
        <f>ROUND(+N1449+O1449+P1449,4)</f>
        <v>0</v>
      </c>
      <c r="R1449" s="419">
        <f>ROUND(IF(+Q1449-H1449&lt;=0,0,Q1449-H1449),4)</f>
        <v>0</v>
      </c>
      <c r="S1449" s="423">
        <v>0.5</v>
      </c>
      <c r="T1449" s="419">
        <f>ROUND(+(R1449*C1449)*S1449,4)</f>
        <v>0</v>
      </c>
      <c r="U1449" s="419">
        <f>ROUND(+J1449+M1449+T1449,4)</f>
        <v>0</v>
      </c>
      <c r="V1449" s="235"/>
    </row>
    <row r="1450" spans="1:22" ht="15.75" x14ac:dyDescent="0.25">
      <c r="A1450" s="231"/>
      <c r="B1450" s="232"/>
      <c r="C1450" s="400"/>
      <c r="D1450" s="233"/>
      <c r="E1450" s="405"/>
      <c r="F1450" s="405"/>
      <c r="G1450" s="405"/>
      <c r="H1450" s="408">
        <f>ROUND(+E1450+F1450+G1450,4)</f>
        <v>0</v>
      </c>
      <c r="I1450" s="234"/>
      <c r="J1450" s="411"/>
      <c r="K1450" s="411"/>
      <c r="L1450" s="414">
        <v>0.1</v>
      </c>
      <c r="M1450" s="414">
        <f>ROUND(+L1450*C1450,4)</f>
        <v>0</v>
      </c>
      <c r="N1450" s="414"/>
      <c r="O1450" s="414"/>
      <c r="P1450" s="414"/>
      <c r="Q1450" s="419">
        <f>ROUND(+N1450+O1450+P1450,4)</f>
        <v>0</v>
      </c>
      <c r="R1450" s="419">
        <f>ROUND(IF(+Q1450-H1450&lt;=0,0,Q1450-H1450),4)</f>
        <v>0</v>
      </c>
      <c r="S1450" s="423">
        <v>0.5</v>
      </c>
      <c r="T1450" s="419">
        <f>ROUND(+(R1450*C1450)*S1450,4)</f>
        <v>0</v>
      </c>
      <c r="U1450" s="419">
        <f>ROUND(+J1450+M1450+T1450,4)</f>
        <v>0</v>
      </c>
      <c r="V1450" s="235"/>
    </row>
    <row r="1451" spans="1:22" ht="15.75" x14ac:dyDescent="0.25">
      <c r="A1451" s="231"/>
      <c r="B1451" s="232"/>
      <c r="C1451" s="400"/>
      <c r="D1451" s="233"/>
      <c r="E1451" s="405"/>
      <c r="F1451" s="405"/>
      <c r="G1451" s="405"/>
      <c r="H1451" s="408">
        <f>ROUND(+E1451+F1451+G1451,4)</f>
        <v>0</v>
      </c>
      <c r="I1451" s="234"/>
      <c r="J1451" s="411"/>
      <c r="K1451" s="411"/>
      <c r="L1451" s="414">
        <v>0.1</v>
      </c>
      <c r="M1451" s="414">
        <f>ROUND(+L1451*C1451,4)</f>
        <v>0</v>
      </c>
      <c r="N1451" s="414"/>
      <c r="O1451" s="414"/>
      <c r="P1451" s="414"/>
      <c r="Q1451" s="419">
        <f>ROUND(+N1451+O1451+P1451,4)</f>
        <v>0</v>
      </c>
      <c r="R1451" s="419">
        <f>ROUND(IF(+Q1451-H1451&lt;=0,0,Q1451-H1451),4)</f>
        <v>0</v>
      </c>
      <c r="S1451" s="423">
        <v>0.5</v>
      </c>
      <c r="T1451" s="419">
        <f>ROUND(+(R1451*C1451)*S1451,4)</f>
        <v>0</v>
      </c>
      <c r="U1451" s="419">
        <f>ROUND(+J1451+M1451+T1451,4)</f>
        <v>0</v>
      </c>
      <c r="V1451" s="235"/>
    </row>
    <row r="1452" spans="1:22" ht="15.75" x14ac:dyDescent="0.25">
      <c r="A1452" s="231"/>
      <c r="B1452" s="232"/>
      <c r="C1452" s="400"/>
      <c r="D1452" s="233"/>
      <c r="E1452" s="405"/>
      <c r="F1452" s="405"/>
      <c r="G1452" s="405"/>
      <c r="H1452" s="408">
        <f>ROUND(+E1452+F1452+G1452,4)</f>
        <v>0</v>
      </c>
      <c r="I1452" s="234"/>
      <c r="J1452" s="411"/>
      <c r="K1452" s="411"/>
      <c r="L1452" s="414">
        <v>0.1</v>
      </c>
      <c r="M1452" s="414">
        <f>ROUND(+L1452*C1452,4)</f>
        <v>0</v>
      </c>
      <c r="N1452" s="414"/>
      <c r="O1452" s="414"/>
      <c r="P1452" s="414"/>
      <c r="Q1452" s="419">
        <f>ROUND(+N1452+O1452+P1452,4)</f>
        <v>0</v>
      </c>
      <c r="R1452" s="419">
        <f>ROUND(IF(+Q1452-H1452&lt;=0,0,Q1452-H1452),4)</f>
        <v>0</v>
      </c>
      <c r="S1452" s="423">
        <v>0.5</v>
      </c>
      <c r="T1452" s="419">
        <f>ROUND(+(R1452*C1452)*S1452,4)</f>
        <v>0</v>
      </c>
      <c r="U1452" s="419">
        <f>ROUND(+J1452+M1452+T1452,4)</f>
        <v>0</v>
      </c>
      <c r="V1452" s="235"/>
    </row>
    <row r="1453" spans="1:22" ht="15.75" x14ac:dyDescent="0.25">
      <c r="A1453" s="231"/>
      <c r="B1453" s="232"/>
      <c r="C1453" s="400"/>
      <c r="D1453" s="233"/>
      <c r="E1453" s="405"/>
      <c r="F1453" s="405"/>
      <c r="G1453" s="405"/>
      <c r="H1453" s="408">
        <f>ROUND(+E1453+F1453+G1453,4)</f>
        <v>0</v>
      </c>
      <c r="I1453" s="234"/>
      <c r="J1453" s="411"/>
      <c r="K1453" s="411"/>
      <c r="L1453" s="414">
        <v>0.1</v>
      </c>
      <c r="M1453" s="414">
        <f>ROUND(+L1453*C1453,4)</f>
        <v>0</v>
      </c>
      <c r="N1453" s="414"/>
      <c r="O1453" s="414"/>
      <c r="P1453" s="414"/>
      <c r="Q1453" s="419">
        <f>ROUND(+N1453+O1453+P1453,4)</f>
        <v>0</v>
      </c>
      <c r="R1453" s="419">
        <f>ROUND(IF(+Q1453-H1453&lt;=0,0,Q1453-H1453),4)</f>
        <v>0</v>
      </c>
      <c r="S1453" s="423">
        <v>0.5</v>
      </c>
      <c r="T1453" s="419">
        <f>ROUND(+(R1453*C1453)*S1453,4)</f>
        <v>0</v>
      </c>
      <c r="U1453" s="419">
        <f>ROUND(+J1453+M1453+T1453,4)</f>
        <v>0</v>
      </c>
      <c r="V1453" s="235"/>
    </row>
    <row r="1454" spans="1:22" ht="15.75" x14ac:dyDescent="0.25">
      <c r="A1454" s="231"/>
      <c r="B1454" s="232"/>
      <c r="C1454" s="400"/>
      <c r="D1454" s="233"/>
      <c r="E1454" s="405"/>
      <c r="F1454" s="405"/>
      <c r="G1454" s="405"/>
      <c r="H1454" s="408">
        <f>ROUND(+E1454+F1454+G1454,4)</f>
        <v>0</v>
      </c>
      <c r="I1454" s="234"/>
      <c r="J1454" s="411"/>
      <c r="K1454" s="411"/>
      <c r="L1454" s="414">
        <v>0.1</v>
      </c>
      <c r="M1454" s="414">
        <f>ROUND(+L1454*C1454,4)</f>
        <v>0</v>
      </c>
      <c r="N1454" s="414"/>
      <c r="O1454" s="414"/>
      <c r="P1454" s="414"/>
      <c r="Q1454" s="419">
        <f>ROUND(+N1454+O1454+P1454,4)</f>
        <v>0</v>
      </c>
      <c r="R1454" s="419">
        <f>ROUND(IF(+Q1454-H1454&lt;=0,0,Q1454-H1454),4)</f>
        <v>0</v>
      </c>
      <c r="S1454" s="423">
        <v>0.5</v>
      </c>
      <c r="T1454" s="419">
        <f>ROUND(+(R1454*C1454)*S1454,4)</f>
        <v>0</v>
      </c>
      <c r="U1454" s="419">
        <f>ROUND(+J1454+M1454+T1454,4)</f>
        <v>0</v>
      </c>
      <c r="V1454" s="235"/>
    </row>
    <row r="1455" spans="1:22" ht="15.75" x14ac:dyDescent="0.25">
      <c r="A1455" s="231"/>
      <c r="B1455" s="232"/>
      <c r="C1455" s="400"/>
      <c r="D1455" s="233"/>
      <c r="E1455" s="405"/>
      <c r="F1455" s="405"/>
      <c r="G1455" s="405"/>
      <c r="H1455" s="408">
        <f>ROUND(+E1455+F1455+G1455,4)</f>
        <v>0</v>
      </c>
      <c r="I1455" s="234"/>
      <c r="J1455" s="411"/>
      <c r="K1455" s="411"/>
      <c r="L1455" s="414">
        <v>0.1</v>
      </c>
      <c r="M1455" s="414">
        <f>ROUND(+L1455*C1455,4)</f>
        <v>0</v>
      </c>
      <c r="N1455" s="414"/>
      <c r="O1455" s="414"/>
      <c r="P1455" s="414"/>
      <c r="Q1455" s="419">
        <f>ROUND(+N1455+O1455+P1455,4)</f>
        <v>0</v>
      </c>
      <c r="R1455" s="419">
        <f>ROUND(IF(+Q1455-H1455&lt;=0,0,Q1455-H1455),4)</f>
        <v>0</v>
      </c>
      <c r="S1455" s="423">
        <v>0.5</v>
      </c>
      <c r="T1455" s="419">
        <f>ROUND(+(R1455*C1455)*S1455,4)</f>
        <v>0</v>
      </c>
      <c r="U1455" s="419">
        <f>ROUND(+J1455+M1455+T1455,4)</f>
        <v>0</v>
      </c>
      <c r="V1455" s="235"/>
    </row>
    <row r="1456" spans="1:22" ht="15.75" x14ac:dyDescent="0.25">
      <c r="A1456" s="231"/>
      <c r="B1456" s="232"/>
      <c r="C1456" s="400"/>
      <c r="D1456" s="233"/>
      <c r="E1456" s="405"/>
      <c r="F1456" s="405"/>
      <c r="G1456" s="405"/>
      <c r="H1456" s="408">
        <f>ROUND(+E1456+F1456+G1456,4)</f>
        <v>0</v>
      </c>
      <c r="I1456" s="234"/>
      <c r="J1456" s="411"/>
      <c r="K1456" s="411"/>
      <c r="L1456" s="414">
        <v>0.1</v>
      </c>
      <c r="M1456" s="414">
        <f>ROUND(+L1456*C1456,4)</f>
        <v>0</v>
      </c>
      <c r="N1456" s="414"/>
      <c r="O1456" s="414"/>
      <c r="P1456" s="414"/>
      <c r="Q1456" s="419">
        <f>ROUND(+N1456+O1456+P1456,4)</f>
        <v>0</v>
      </c>
      <c r="R1456" s="419">
        <f>ROUND(IF(+Q1456-H1456&lt;=0,0,Q1456-H1456),4)</f>
        <v>0</v>
      </c>
      <c r="S1456" s="423">
        <v>0.5</v>
      </c>
      <c r="T1456" s="419">
        <f>ROUND(+(R1456*C1456)*S1456,4)</f>
        <v>0</v>
      </c>
      <c r="U1456" s="419">
        <f>ROUND(+J1456+M1456+T1456,4)</f>
        <v>0</v>
      </c>
      <c r="V1456" s="235"/>
    </row>
    <row r="1457" spans="1:22" ht="15.75" x14ac:dyDescent="0.25">
      <c r="A1457" s="231"/>
      <c r="B1457" s="232"/>
      <c r="C1457" s="400"/>
      <c r="D1457" s="233"/>
      <c r="E1457" s="405"/>
      <c r="F1457" s="405"/>
      <c r="G1457" s="405"/>
      <c r="H1457" s="408">
        <f>ROUND(+E1457+F1457+G1457,4)</f>
        <v>0</v>
      </c>
      <c r="I1457" s="234"/>
      <c r="J1457" s="411"/>
      <c r="K1457" s="411"/>
      <c r="L1457" s="414">
        <v>0.1</v>
      </c>
      <c r="M1457" s="414">
        <f>ROUND(+L1457*C1457,4)</f>
        <v>0</v>
      </c>
      <c r="N1457" s="414"/>
      <c r="O1457" s="414"/>
      <c r="P1457" s="414"/>
      <c r="Q1457" s="419">
        <f>ROUND(+N1457+O1457+P1457,4)</f>
        <v>0</v>
      </c>
      <c r="R1457" s="419">
        <f>ROUND(IF(+Q1457-H1457&lt;=0,0,Q1457-H1457),4)</f>
        <v>0</v>
      </c>
      <c r="S1457" s="423">
        <v>0.5</v>
      </c>
      <c r="T1457" s="419">
        <f>ROUND(+(R1457*C1457)*S1457,4)</f>
        <v>0</v>
      </c>
      <c r="U1457" s="419">
        <f>ROUND(+J1457+M1457+T1457,4)</f>
        <v>0</v>
      </c>
      <c r="V1457" s="235"/>
    </row>
    <row r="1458" spans="1:22" ht="15.75" x14ac:dyDescent="0.25">
      <c r="A1458" s="231"/>
      <c r="B1458" s="232"/>
      <c r="C1458" s="400"/>
      <c r="D1458" s="233"/>
      <c r="E1458" s="405"/>
      <c r="F1458" s="405"/>
      <c r="G1458" s="405"/>
      <c r="H1458" s="408">
        <f>ROUND(+E1458+F1458+G1458,4)</f>
        <v>0</v>
      </c>
      <c r="I1458" s="234"/>
      <c r="J1458" s="411"/>
      <c r="K1458" s="411"/>
      <c r="L1458" s="414">
        <v>0.1</v>
      </c>
      <c r="M1458" s="414">
        <f>ROUND(+L1458*C1458,4)</f>
        <v>0</v>
      </c>
      <c r="N1458" s="414"/>
      <c r="O1458" s="414"/>
      <c r="P1458" s="414"/>
      <c r="Q1458" s="419">
        <f>ROUND(+N1458+O1458+P1458,4)</f>
        <v>0</v>
      </c>
      <c r="R1458" s="419">
        <f>ROUND(IF(+Q1458-H1458&lt;=0,0,Q1458-H1458),4)</f>
        <v>0</v>
      </c>
      <c r="S1458" s="423">
        <v>0.5</v>
      </c>
      <c r="T1458" s="419">
        <f>ROUND(+(R1458*C1458)*S1458,4)</f>
        <v>0</v>
      </c>
      <c r="U1458" s="419">
        <f>ROUND(+J1458+M1458+T1458,4)</f>
        <v>0</v>
      </c>
      <c r="V1458" s="235"/>
    </row>
    <row r="1459" spans="1:22" ht="15.75" x14ac:dyDescent="0.25">
      <c r="A1459" s="231"/>
      <c r="B1459" s="232"/>
      <c r="C1459" s="400"/>
      <c r="D1459" s="233"/>
      <c r="E1459" s="405"/>
      <c r="F1459" s="405"/>
      <c r="G1459" s="405"/>
      <c r="H1459" s="408">
        <f>ROUND(+E1459+F1459+G1459,4)</f>
        <v>0</v>
      </c>
      <c r="I1459" s="234"/>
      <c r="J1459" s="411"/>
      <c r="K1459" s="411"/>
      <c r="L1459" s="414">
        <v>0.1</v>
      </c>
      <c r="M1459" s="414">
        <f>ROUND(+L1459*C1459,4)</f>
        <v>0</v>
      </c>
      <c r="N1459" s="414"/>
      <c r="O1459" s="414"/>
      <c r="P1459" s="414"/>
      <c r="Q1459" s="419">
        <f>ROUND(+N1459+O1459+P1459,4)</f>
        <v>0</v>
      </c>
      <c r="R1459" s="419">
        <f>ROUND(IF(+Q1459-H1459&lt;=0,0,Q1459-H1459),4)</f>
        <v>0</v>
      </c>
      <c r="S1459" s="423">
        <v>0.5</v>
      </c>
      <c r="T1459" s="419">
        <f>ROUND(+(R1459*C1459)*S1459,4)</f>
        <v>0</v>
      </c>
      <c r="U1459" s="419">
        <f>ROUND(+J1459+M1459+T1459,4)</f>
        <v>0</v>
      </c>
      <c r="V1459" s="235"/>
    </row>
    <row r="1460" spans="1:22" ht="15.75" x14ac:dyDescent="0.25">
      <c r="A1460" s="231"/>
      <c r="B1460" s="232"/>
      <c r="C1460" s="400"/>
      <c r="D1460" s="233"/>
      <c r="E1460" s="405"/>
      <c r="F1460" s="405"/>
      <c r="G1460" s="405"/>
      <c r="H1460" s="408">
        <f>ROUND(+E1460+F1460+G1460,4)</f>
        <v>0</v>
      </c>
      <c r="I1460" s="234"/>
      <c r="J1460" s="411"/>
      <c r="K1460" s="411"/>
      <c r="L1460" s="414">
        <v>0.1</v>
      </c>
      <c r="M1460" s="414">
        <f>ROUND(+L1460*C1460,4)</f>
        <v>0</v>
      </c>
      <c r="N1460" s="414"/>
      <c r="O1460" s="414"/>
      <c r="P1460" s="414"/>
      <c r="Q1460" s="419">
        <f>ROUND(+N1460+O1460+P1460,4)</f>
        <v>0</v>
      </c>
      <c r="R1460" s="419">
        <f>ROUND(IF(+Q1460-H1460&lt;=0,0,Q1460-H1460),4)</f>
        <v>0</v>
      </c>
      <c r="S1460" s="423">
        <v>0.5</v>
      </c>
      <c r="T1460" s="419">
        <f>ROUND(+(R1460*C1460)*S1460,4)</f>
        <v>0</v>
      </c>
      <c r="U1460" s="419">
        <f>ROUND(+J1460+M1460+T1460,4)</f>
        <v>0</v>
      </c>
      <c r="V1460" s="235"/>
    </row>
    <row r="1461" spans="1:22" ht="15.75" x14ac:dyDescent="0.25">
      <c r="A1461" s="231"/>
      <c r="B1461" s="232"/>
      <c r="C1461" s="400"/>
      <c r="D1461" s="233"/>
      <c r="E1461" s="405"/>
      <c r="F1461" s="405"/>
      <c r="G1461" s="405"/>
      <c r="H1461" s="408">
        <f>ROUND(+E1461+F1461+G1461,4)</f>
        <v>0</v>
      </c>
      <c r="I1461" s="234"/>
      <c r="J1461" s="411"/>
      <c r="K1461" s="411"/>
      <c r="L1461" s="414">
        <v>0.1</v>
      </c>
      <c r="M1461" s="414">
        <f>ROUND(+L1461*C1461,4)</f>
        <v>0</v>
      </c>
      <c r="N1461" s="414"/>
      <c r="O1461" s="414"/>
      <c r="P1461" s="414"/>
      <c r="Q1461" s="419">
        <f>ROUND(+N1461+O1461+P1461,4)</f>
        <v>0</v>
      </c>
      <c r="R1461" s="419">
        <f>ROUND(IF(+Q1461-H1461&lt;=0,0,Q1461-H1461),4)</f>
        <v>0</v>
      </c>
      <c r="S1461" s="423">
        <v>0.5</v>
      </c>
      <c r="T1461" s="419">
        <f>ROUND(+(R1461*C1461)*S1461,4)</f>
        <v>0</v>
      </c>
      <c r="U1461" s="419">
        <f>ROUND(+J1461+M1461+T1461,4)</f>
        <v>0</v>
      </c>
      <c r="V1461" s="235"/>
    </row>
    <row r="1462" spans="1:22" ht="15.75" x14ac:dyDescent="0.25">
      <c r="A1462" s="231"/>
      <c r="B1462" s="232"/>
      <c r="C1462" s="400"/>
      <c r="D1462" s="233"/>
      <c r="E1462" s="405"/>
      <c r="F1462" s="405"/>
      <c r="G1462" s="405"/>
      <c r="H1462" s="408">
        <f>ROUND(+E1462+F1462+G1462,4)</f>
        <v>0</v>
      </c>
      <c r="I1462" s="234"/>
      <c r="J1462" s="411"/>
      <c r="K1462" s="411"/>
      <c r="L1462" s="414">
        <v>0.1</v>
      </c>
      <c r="M1462" s="414">
        <f>ROUND(+L1462*C1462,4)</f>
        <v>0</v>
      </c>
      <c r="N1462" s="414"/>
      <c r="O1462" s="414"/>
      <c r="P1462" s="414"/>
      <c r="Q1462" s="419">
        <f>ROUND(+N1462+O1462+P1462,4)</f>
        <v>0</v>
      </c>
      <c r="R1462" s="419">
        <f>ROUND(IF(+Q1462-H1462&lt;=0,0,Q1462-H1462),4)</f>
        <v>0</v>
      </c>
      <c r="S1462" s="423">
        <v>0.5</v>
      </c>
      <c r="T1462" s="419">
        <f>ROUND(+(R1462*C1462)*S1462,4)</f>
        <v>0</v>
      </c>
      <c r="U1462" s="419">
        <f>ROUND(+J1462+M1462+T1462,4)</f>
        <v>0</v>
      </c>
      <c r="V1462" s="235"/>
    </row>
    <row r="1463" spans="1:22" ht="15.75" x14ac:dyDescent="0.25">
      <c r="A1463" s="231"/>
      <c r="B1463" s="232"/>
      <c r="C1463" s="400"/>
      <c r="D1463" s="233"/>
      <c r="E1463" s="405"/>
      <c r="F1463" s="405"/>
      <c r="G1463" s="405"/>
      <c r="H1463" s="408">
        <f>ROUND(+E1463+F1463+G1463,4)</f>
        <v>0</v>
      </c>
      <c r="I1463" s="234"/>
      <c r="J1463" s="411"/>
      <c r="K1463" s="411"/>
      <c r="L1463" s="414">
        <v>0.1</v>
      </c>
      <c r="M1463" s="414">
        <f>ROUND(+L1463*C1463,4)</f>
        <v>0</v>
      </c>
      <c r="N1463" s="414"/>
      <c r="O1463" s="414"/>
      <c r="P1463" s="414"/>
      <c r="Q1463" s="419">
        <f>ROUND(+N1463+O1463+P1463,4)</f>
        <v>0</v>
      </c>
      <c r="R1463" s="419">
        <f>ROUND(IF(+Q1463-H1463&lt;=0,0,Q1463-H1463),4)</f>
        <v>0</v>
      </c>
      <c r="S1463" s="423">
        <v>0.5</v>
      </c>
      <c r="T1463" s="419">
        <f>ROUND(+(R1463*C1463)*S1463,4)</f>
        <v>0</v>
      </c>
      <c r="U1463" s="419">
        <f>ROUND(+J1463+M1463+T1463,4)</f>
        <v>0</v>
      </c>
      <c r="V1463" s="235"/>
    </row>
    <row r="1464" spans="1:22" ht="15.75" x14ac:dyDescent="0.25">
      <c r="A1464" s="231"/>
      <c r="B1464" s="232"/>
      <c r="C1464" s="400"/>
      <c r="D1464" s="233"/>
      <c r="E1464" s="405"/>
      <c r="F1464" s="405"/>
      <c r="G1464" s="405"/>
      <c r="H1464" s="408">
        <f>ROUND(+E1464+F1464+G1464,4)</f>
        <v>0</v>
      </c>
      <c r="I1464" s="234"/>
      <c r="J1464" s="411"/>
      <c r="K1464" s="411"/>
      <c r="L1464" s="414">
        <v>0.1</v>
      </c>
      <c r="M1464" s="414">
        <f>ROUND(+L1464*C1464,4)</f>
        <v>0</v>
      </c>
      <c r="N1464" s="414"/>
      <c r="O1464" s="414"/>
      <c r="P1464" s="414"/>
      <c r="Q1464" s="419">
        <f>ROUND(+N1464+O1464+P1464,4)</f>
        <v>0</v>
      </c>
      <c r="R1464" s="419">
        <f>ROUND(IF(+Q1464-H1464&lt;=0,0,Q1464-H1464),4)</f>
        <v>0</v>
      </c>
      <c r="S1464" s="423">
        <v>0.5</v>
      </c>
      <c r="T1464" s="419">
        <f>ROUND(+(R1464*C1464)*S1464,4)</f>
        <v>0</v>
      </c>
      <c r="U1464" s="419">
        <f>ROUND(+J1464+M1464+T1464,4)</f>
        <v>0</v>
      </c>
      <c r="V1464" s="235"/>
    </row>
    <row r="1465" spans="1:22" ht="15.75" x14ac:dyDescent="0.25">
      <c r="A1465" s="231"/>
      <c r="B1465" s="232"/>
      <c r="C1465" s="400"/>
      <c r="D1465" s="233"/>
      <c r="E1465" s="405"/>
      <c r="F1465" s="405"/>
      <c r="G1465" s="405"/>
      <c r="H1465" s="408">
        <f>ROUND(+E1465+F1465+G1465,4)</f>
        <v>0</v>
      </c>
      <c r="I1465" s="234"/>
      <c r="J1465" s="411"/>
      <c r="K1465" s="411"/>
      <c r="L1465" s="414">
        <v>0.1</v>
      </c>
      <c r="M1465" s="414">
        <f>ROUND(+L1465*C1465,4)</f>
        <v>0</v>
      </c>
      <c r="N1465" s="414"/>
      <c r="O1465" s="414"/>
      <c r="P1465" s="414"/>
      <c r="Q1465" s="419">
        <f>ROUND(+N1465+O1465+P1465,4)</f>
        <v>0</v>
      </c>
      <c r="R1465" s="419">
        <f>ROUND(IF(+Q1465-H1465&lt;=0,0,Q1465-H1465),4)</f>
        <v>0</v>
      </c>
      <c r="S1465" s="423">
        <v>0.5</v>
      </c>
      <c r="T1465" s="419">
        <f>ROUND(+(R1465*C1465)*S1465,4)</f>
        <v>0</v>
      </c>
      <c r="U1465" s="419">
        <f>ROUND(+J1465+M1465+T1465,4)</f>
        <v>0</v>
      </c>
      <c r="V1465" s="235"/>
    </row>
    <row r="1466" spans="1:22" ht="15.75" x14ac:dyDescent="0.25">
      <c r="A1466" s="231"/>
      <c r="B1466" s="232"/>
      <c r="C1466" s="400"/>
      <c r="D1466" s="233"/>
      <c r="E1466" s="405"/>
      <c r="F1466" s="405"/>
      <c r="G1466" s="405"/>
      <c r="H1466" s="408">
        <f>ROUND(+E1466+F1466+G1466,4)</f>
        <v>0</v>
      </c>
      <c r="I1466" s="234"/>
      <c r="J1466" s="411"/>
      <c r="K1466" s="411"/>
      <c r="L1466" s="414">
        <v>0.1</v>
      </c>
      <c r="M1466" s="414">
        <f>ROUND(+L1466*C1466,4)</f>
        <v>0</v>
      </c>
      <c r="N1466" s="414"/>
      <c r="O1466" s="414"/>
      <c r="P1466" s="414"/>
      <c r="Q1466" s="419">
        <f>ROUND(+N1466+O1466+P1466,4)</f>
        <v>0</v>
      </c>
      <c r="R1466" s="419">
        <f>ROUND(IF(+Q1466-H1466&lt;=0,0,Q1466-H1466),4)</f>
        <v>0</v>
      </c>
      <c r="S1466" s="423">
        <v>0.5</v>
      </c>
      <c r="T1466" s="419">
        <f>ROUND(+(R1466*C1466)*S1466,4)</f>
        <v>0</v>
      </c>
      <c r="U1466" s="419">
        <f>ROUND(+J1466+M1466+T1466,4)</f>
        <v>0</v>
      </c>
      <c r="V1466" s="235"/>
    </row>
    <row r="1467" spans="1:22" ht="15.75" x14ac:dyDescent="0.25">
      <c r="A1467" s="231"/>
      <c r="B1467" s="232"/>
      <c r="C1467" s="400"/>
      <c r="D1467" s="233"/>
      <c r="E1467" s="405"/>
      <c r="F1467" s="405"/>
      <c r="G1467" s="405"/>
      <c r="H1467" s="408">
        <f>ROUND(+E1467+F1467+G1467,4)</f>
        <v>0</v>
      </c>
      <c r="I1467" s="234"/>
      <c r="J1467" s="411"/>
      <c r="K1467" s="411"/>
      <c r="L1467" s="414">
        <v>0.1</v>
      </c>
      <c r="M1467" s="414">
        <f>ROUND(+L1467*C1467,4)</f>
        <v>0</v>
      </c>
      <c r="N1467" s="414"/>
      <c r="O1467" s="414"/>
      <c r="P1467" s="414"/>
      <c r="Q1467" s="419">
        <f>ROUND(+N1467+O1467+P1467,4)</f>
        <v>0</v>
      </c>
      <c r="R1467" s="419">
        <f>ROUND(IF(+Q1467-H1467&lt;=0,0,Q1467-H1467),4)</f>
        <v>0</v>
      </c>
      <c r="S1467" s="423">
        <v>0.5</v>
      </c>
      <c r="T1467" s="419">
        <f>ROUND(+(R1467*C1467)*S1467,4)</f>
        <v>0</v>
      </c>
      <c r="U1467" s="419">
        <f>ROUND(+J1467+M1467+T1467,4)</f>
        <v>0</v>
      </c>
      <c r="V1467" s="235"/>
    </row>
    <row r="1468" spans="1:22" ht="15.75" x14ac:dyDescent="0.25">
      <c r="A1468" s="231"/>
      <c r="B1468" s="232"/>
      <c r="C1468" s="400"/>
      <c r="D1468" s="233"/>
      <c r="E1468" s="405"/>
      <c r="F1468" s="405"/>
      <c r="G1468" s="405"/>
      <c r="H1468" s="408">
        <f>ROUND(+E1468+F1468+G1468,4)</f>
        <v>0</v>
      </c>
      <c r="I1468" s="234"/>
      <c r="J1468" s="411"/>
      <c r="K1468" s="411"/>
      <c r="L1468" s="414">
        <v>0.1</v>
      </c>
      <c r="M1468" s="414">
        <f>ROUND(+L1468*C1468,4)</f>
        <v>0</v>
      </c>
      <c r="N1468" s="414"/>
      <c r="O1468" s="414"/>
      <c r="P1468" s="414"/>
      <c r="Q1468" s="419">
        <f>ROUND(+N1468+O1468+P1468,4)</f>
        <v>0</v>
      </c>
      <c r="R1468" s="419">
        <f>ROUND(IF(+Q1468-H1468&lt;=0,0,Q1468-H1468),4)</f>
        <v>0</v>
      </c>
      <c r="S1468" s="423">
        <v>0.5</v>
      </c>
      <c r="T1468" s="419">
        <f>ROUND(+(R1468*C1468)*S1468,4)</f>
        <v>0</v>
      </c>
      <c r="U1468" s="419">
        <f>ROUND(+J1468+M1468+T1468,4)</f>
        <v>0</v>
      </c>
      <c r="V1468" s="235"/>
    </row>
    <row r="1469" spans="1:22" ht="15.75" x14ac:dyDescent="0.25">
      <c r="A1469" s="231"/>
      <c r="B1469" s="232"/>
      <c r="C1469" s="400"/>
      <c r="D1469" s="233"/>
      <c r="E1469" s="405"/>
      <c r="F1469" s="405"/>
      <c r="G1469" s="405"/>
      <c r="H1469" s="408">
        <f>ROUND(+E1469+F1469+G1469,4)</f>
        <v>0</v>
      </c>
      <c r="I1469" s="234"/>
      <c r="J1469" s="411"/>
      <c r="K1469" s="411"/>
      <c r="L1469" s="414">
        <v>0.1</v>
      </c>
      <c r="M1469" s="414">
        <f>ROUND(+L1469*C1469,4)</f>
        <v>0</v>
      </c>
      <c r="N1469" s="414"/>
      <c r="O1469" s="414"/>
      <c r="P1469" s="414"/>
      <c r="Q1469" s="419">
        <f>ROUND(+N1469+O1469+P1469,4)</f>
        <v>0</v>
      </c>
      <c r="R1469" s="419">
        <f>ROUND(IF(+Q1469-H1469&lt;=0,0,Q1469-H1469),4)</f>
        <v>0</v>
      </c>
      <c r="S1469" s="423">
        <v>0.5</v>
      </c>
      <c r="T1469" s="419">
        <f>ROUND(+(R1469*C1469)*S1469,4)</f>
        <v>0</v>
      </c>
      <c r="U1469" s="419">
        <f>ROUND(+J1469+M1469+T1469,4)</f>
        <v>0</v>
      </c>
      <c r="V1469" s="235"/>
    </row>
    <row r="1470" spans="1:22" ht="15.75" x14ac:dyDescent="0.25">
      <c r="A1470" s="231"/>
      <c r="B1470" s="232"/>
      <c r="C1470" s="400"/>
      <c r="D1470" s="233"/>
      <c r="E1470" s="405"/>
      <c r="F1470" s="405"/>
      <c r="G1470" s="405"/>
      <c r="H1470" s="408">
        <f>ROUND(+E1470+F1470+G1470,4)</f>
        <v>0</v>
      </c>
      <c r="I1470" s="234"/>
      <c r="J1470" s="411"/>
      <c r="K1470" s="411"/>
      <c r="L1470" s="414">
        <v>0.1</v>
      </c>
      <c r="M1470" s="414">
        <f>ROUND(+L1470*C1470,4)</f>
        <v>0</v>
      </c>
      <c r="N1470" s="414"/>
      <c r="O1470" s="414"/>
      <c r="P1470" s="414"/>
      <c r="Q1470" s="419">
        <f>ROUND(+N1470+O1470+P1470,4)</f>
        <v>0</v>
      </c>
      <c r="R1470" s="419">
        <f>ROUND(IF(+Q1470-H1470&lt;=0,0,Q1470-H1470),4)</f>
        <v>0</v>
      </c>
      <c r="S1470" s="423">
        <v>0.5</v>
      </c>
      <c r="T1470" s="419">
        <f>ROUND(+(R1470*C1470)*S1470,4)</f>
        <v>0</v>
      </c>
      <c r="U1470" s="419">
        <f>ROUND(+J1470+M1470+T1470,4)</f>
        <v>0</v>
      </c>
      <c r="V1470" s="235"/>
    </row>
    <row r="1471" spans="1:22" ht="15.75" x14ac:dyDescent="0.25">
      <c r="A1471" s="231"/>
      <c r="B1471" s="232"/>
      <c r="C1471" s="400"/>
      <c r="D1471" s="233"/>
      <c r="E1471" s="405"/>
      <c r="F1471" s="405"/>
      <c r="G1471" s="405"/>
      <c r="H1471" s="408">
        <f>ROUND(+E1471+F1471+G1471,4)</f>
        <v>0</v>
      </c>
      <c r="I1471" s="234"/>
      <c r="J1471" s="411"/>
      <c r="K1471" s="411"/>
      <c r="L1471" s="414">
        <v>0.1</v>
      </c>
      <c r="M1471" s="414">
        <f>ROUND(+L1471*C1471,4)</f>
        <v>0</v>
      </c>
      <c r="N1471" s="414"/>
      <c r="O1471" s="414"/>
      <c r="P1471" s="414"/>
      <c r="Q1471" s="419">
        <f>ROUND(+N1471+O1471+P1471,4)</f>
        <v>0</v>
      </c>
      <c r="R1471" s="419">
        <f>ROUND(IF(+Q1471-H1471&lt;=0,0,Q1471-H1471),4)</f>
        <v>0</v>
      </c>
      <c r="S1471" s="423">
        <v>0.5</v>
      </c>
      <c r="T1471" s="419">
        <f>ROUND(+(R1471*C1471)*S1471,4)</f>
        <v>0</v>
      </c>
      <c r="U1471" s="419">
        <f>ROUND(+J1471+M1471+T1471,4)</f>
        <v>0</v>
      </c>
      <c r="V1471" s="235"/>
    </row>
    <row r="1472" spans="1:22" ht="15.75" x14ac:dyDescent="0.25">
      <c r="A1472" s="231"/>
      <c r="B1472" s="232"/>
      <c r="C1472" s="400"/>
      <c r="D1472" s="233"/>
      <c r="E1472" s="405"/>
      <c r="F1472" s="405"/>
      <c r="G1472" s="405"/>
      <c r="H1472" s="408">
        <f>ROUND(+E1472+F1472+G1472,4)</f>
        <v>0</v>
      </c>
      <c r="I1472" s="234"/>
      <c r="J1472" s="411"/>
      <c r="K1472" s="411"/>
      <c r="L1472" s="414">
        <v>0.1</v>
      </c>
      <c r="M1472" s="414">
        <f>ROUND(+L1472*C1472,4)</f>
        <v>0</v>
      </c>
      <c r="N1472" s="414"/>
      <c r="O1472" s="414"/>
      <c r="P1472" s="414"/>
      <c r="Q1472" s="419">
        <f>ROUND(+N1472+O1472+P1472,4)</f>
        <v>0</v>
      </c>
      <c r="R1472" s="419">
        <f>ROUND(IF(+Q1472-H1472&lt;=0,0,Q1472-H1472),4)</f>
        <v>0</v>
      </c>
      <c r="S1472" s="423">
        <v>0.5</v>
      </c>
      <c r="T1472" s="419">
        <f>ROUND(+(R1472*C1472)*S1472,4)</f>
        <v>0</v>
      </c>
      <c r="U1472" s="419">
        <f>ROUND(+J1472+M1472+T1472,4)</f>
        <v>0</v>
      </c>
      <c r="V1472" s="235"/>
    </row>
    <row r="1473" spans="1:22" ht="15.75" x14ac:dyDescent="0.25">
      <c r="A1473" s="231"/>
      <c r="B1473" s="232"/>
      <c r="C1473" s="400"/>
      <c r="D1473" s="233"/>
      <c r="E1473" s="405"/>
      <c r="F1473" s="405"/>
      <c r="G1473" s="405"/>
      <c r="H1473" s="408">
        <f>ROUND(+E1473+F1473+G1473,4)</f>
        <v>0</v>
      </c>
      <c r="I1473" s="234"/>
      <c r="J1473" s="411"/>
      <c r="K1473" s="411"/>
      <c r="L1473" s="414">
        <v>0.1</v>
      </c>
      <c r="M1473" s="414">
        <f>ROUND(+L1473*C1473,4)</f>
        <v>0</v>
      </c>
      <c r="N1473" s="414"/>
      <c r="O1473" s="414"/>
      <c r="P1473" s="414"/>
      <c r="Q1473" s="419">
        <f>ROUND(+N1473+O1473+P1473,4)</f>
        <v>0</v>
      </c>
      <c r="R1473" s="419">
        <f>ROUND(IF(+Q1473-H1473&lt;=0,0,Q1473-H1473),4)</f>
        <v>0</v>
      </c>
      <c r="S1473" s="423">
        <v>0.5</v>
      </c>
      <c r="T1473" s="419">
        <f>ROUND(+(R1473*C1473)*S1473,4)</f>
        <v>0</v>
      </c>
      <c r="U1473" s="419">
        <f>ROUND(+J1473+M1473+T1473,4)</f>
        <v>0</v>
      </c>
      <c r="V1473" s="235"/>
    </row>
    <row r="1474" spans="1:22" ht="15.75" x14ac:dyDescent="0.25">
      <c r="A1474" s="231"/>
      <c r="B1474" s="232"/>
      <c r="C1474" s="400"/>
      <c r="D1474" s="233"/>
      <c r="E1474" s="405"/>
      <c r="F1474" s="405"/>
      <c r="G1474" s="405"/>
      <c r="H1474" s="408">
        <f>ROUND(+E1474+F1474+G1474,4)</f>
        <v>0</v>
      </c>
      <c r="I1474" s="234"/>
      <c r="J1474" s="411"/>
      <c r="K1474" s="411"/>
      <c r="L1474" s="414">
        <v>0.1</v>
      </c>
      <c r="M1474" s="414">
        <f>ROUND(+L1474*C1474,4)</f>
        <v>0</v>
      </c>
      <c r="N1474" s="414"/>
      <c r="O1474" s="414"/>
      <c r="P1474" s="414"/>
      <c r="Q1474" s="419">
        <f>ROUND(+N1474+O1474+P1474,4)</f>
        <v>0</v>
      </c>
      <c r="R1474" s="419">
        <f>ROUND(IF(+Q1474-H1474&lt;=0,0,Q1474-H1474),4)</f>
        <v>0</v>
      </c>
      <c r="S1474" s="423">
        <v>0.5</v>
      </c>
      <c r="T1474" s="419">
        <f>ROUND(+(R1474*C1474)*S1474,4)</f>
        <v>0</v>
      </c>
      <c r="U1474" s="419">
        <f>ROUND(+J1474+M1474+T1474,4)</f>
        <v>0</v>
      </c>
      <c r="V1474" s="235"/>
    </row>
    <row r="1475" spans="1:22" ht="15.75" x14ac:dyDescent="0.25">
      <c r="A1475" s="231"/>
      <c r="B1475" s="232"/>
      <c r="C1475" s="400"/>
      <c r="D1475" s="233"/>
      <c r="E1475" s="405"/>
      <c r="F1475" s="405"/>
      <c r="G1475" s="405"/>
      <c r="H1475" s="408">
        <f>ROUND(+E1475+F1475+G1475,4)</f>
        <v>0</v>
      </c>
      <c r="I1475" s="234"/>
      <c r="J1475" s="411"/>
      <c r="K1475" s="411"/>
      <c r="L1475" s="414">
        <v>0.1</v>
      </c>
      <c r="M1475" s="414">
        <f>ROUND(+L1475*C1475,4)</f>
        <v>0</v>
      </c>
      <c r="N1475" s="414"/>
      <c r="O1475" s="414"/>
      <c r="P1475" s="414"/>
      <c r="Q1475" s="419">
        <f>ROUND(+N1475+O1475+P1475,4)</f>
        <v>0</v>
      </c>
      <c r="R1475" s="419">
        <f>ROUND(IF(+Q1475-H1475&lt;=0,0,Q1475-H1475),4)</f>
        <v>0</v>
      </c>
      <c r="S1475" s="423">
        <v>0.5</v>
      </c>
      <c r="T1475" s="419">
        <f>ROUND(+(R1475*C1475)*S1475,4)</f>
        <v>0</v>
      </c>
      <c r="U1475" s="419">
        <f>ROUND(+J1475+M1475+T1475,4)</f>
        <v>0</v>
      </c>
      <c r="V1475" s="235"/>
    </row>
    <row r="1476" spans="1:22" ht="15.75" x14ac:dyDescent="0.25">
      <c r="A1476" s="231"/>
      <c r="B1476" s="232"/>
      <c r="C1476" s="400"/>
      <c r="D1476" s="233"/>
      <c r="E1476" s="405"/>
      <c r="F1476" s="405"/>
      <c r="G1476" s="405"/>
      <c r="H1476" s="408">
        <f>ROUND(+E1476+F1476+G1476,4)</f>
        <v>0</v>
      </c>
      <c r="I1476" s="234"/>
      <c r="J1476" s="411"/>
      <c r="K1476" s="411"/>
      <c r="L1476" s="414">
        <v>0.1</v>
      </c>
      <c r="M1476" s="414">
        <f>ROUND(+L1476*C1476,4)</f>
        <v>0</v>
      </c>
      <c r="N1476" s="414"/>
      <c r="O1476" s="414"/>
      <c r="P1476" s="414"/>
      <c r="Q1476" s="419">
        <f>ROUND(+N1476+O1476+P1476,4)</f>
        <v>0</v>
      </c>
      <c r="R1476" s="419">
        <f>ROUND(IF(+Q1476-H1476&lt;=0,0,Q1476-H1476),4)</f>
        <v>0</v>
      </c>
      <c r="S1476" s="423">
        <v>0.5</v>
      </c>
      <c r="T1476" s="419">
        <f>ROUND(+(R1476*C1476)*S1476,4)</f>
        <v>0</v>
      </c>
      <c r="U1476" s="419">
        <f>ROUND(+J1476+M1476+T1476,4)</f>
        <v>0</v>
      </c>
      <c r="V1476" s="235"/>
    </row>
    <row r="1477" spans="1:22" ht="15.75" x14ac:dyDescent="0.25">
      <c r="A1477" s="231"/>
      <c r="B1477" s="232"/>
      <c r="C1477" s="400"/>
      <c r="D1477" s="233"/>
      <c r="E1477" s="405"/>
      <c r="F1477" s="405"/>
      <c r="G1477" s="405"/>
      <c r="H1477" s="408">
        <f>ROUND(+E1477+F1477+G1477,4)</f>
        <v>0</v>
      </c>
      <c r="I1477" s="234"/>
      <c r="J1477" s="411"/>
      <c r="K1477" s="411"/>
      <c r="L1477" s="414">
        <v>0.1</v>
      </c>
      <c r="M1477" s="414">
        <f>ROUND(+L1477*C1477,4)</f>
        <v>0</v>
      </c>
      <c r="N1477" s="414"/>
      <c r="O1477" s="414"/>
      <c r="P1477" s="414"/>
      <c r="Q1477" s="419">
        <f>ROUND(+N1477+O1477+P1477,4)</f>
        <v>0</v>
      </c>
      <c r="R1477" s="419">
        <f>ROUND(IF(+Q1477-H1477&lt;=0,0,Q1477-H1477),4)</f>
        <v>0</v>
      </c>
      <c r="S1477" s="423">
        <v>0.5</v>
      </c>
      <c r="T1477" s="419">
        <f>ROUND(+(R1477*C1477)*S1477,4)</f>
        <v>0</v>
      </c>
      <c r="U1477" s="419">
        <f>ROUND(+J1477+M1477+T1477,4)</f>
        <v>0</v>
      </c>
      <c r="V1477" s="235"/>
    </row>
    <row r="1478" spans="1:22" ht="15.75" x14ac:dyDescent="0.25">
      <c r="A1478" s="231"/>
      <c r="B1478" s="232"/>
      <c r="C1478" s="400"/>
      <c r="D1478" s="233"/>
      <c r="E1478" s="405"/>
      <c r="F1478" s="405"/>
      <c r="G1478" s="405"/>
      <c r="H1478" s="408">
        <f>ROUND(+E1478+F1478+G1478,4)</f>
        <v>0</v>
      </c>
      <c r="I1478" s="234"/>
      <c r="J1478" s="411"/>
      <c r="K1478" s="411"/>
      <c r="L1478" s="414">
        <v>0.1</v>
      </c>
      <c r="M1478" s="414">
        <f>ROUND(+L1478*C1478,4)</f>
        <v>0</v>
      </c>
      <c r="N1478" s="414"/>
      <c r="O1478" s="414"/>
      <c r="P1478" s="414"/>
      <c r="Q1478" s="419">
        <f>ROUND(+N1478+O1478+P1478,4)</f>
        <v>0</v>
      </c>
      <c r="R1478" s="419">
        <f>ROUND(IF(+Q1478-H1478&lt;=0,0,Q1478-H1478),4)</f>
        <v>0</v>
      </c>
      <c r="S1478" s="423">
        <v>0.5</v>
      </c>
      <c r="T1478" s="419">
        <f>ROUND(+(R1478*C1478)*S1478,4)</f>
        <v>0</v>
      </c>
      <c r="U1478" s="419">
        <f>ROUND(+J1478+M1478+T1478,4)</f>
        <v>0</v>
      </c>
      <c r="V1478" s="235"/>
    </row>
    <row r="1479" spans="1:22" ht="15.75" x14ac:dyDescent="0.25">
      <c r="A1479" s="231"/>
      <c r="B1479" s="232"/>
      <c r="C1479" s="400"/>
      <c r="D1479" s="233"/>
      <c r="E1479" s="405"/>
      <c r="F1479" s="405"/>
      <c r="G1479" s="405"/>
      <c r="H1479" s="408">
        <f>ROUND(+E1479+F1479+G1479,4)</f>
        <v>0</v>
      </c>
      <c r="I1479" s="234"/>
      <c r="J1479" s="411"/>
      <c r="K1479" s="411"/>
      <c r="L1479" s="414">
        <v>0.1</v>
      </c>
      <c r="M1479" s="414">
        <f>ROUND(+L1479*C1479,4)</f>
        <v>0</v>
      </c>
      <c r="N1479" s="414"/>
      <c r="O1479" s="414"/>
      <c r="P1479" s="414"/>
      <c r="Q1479" s="419">
        <f>ROUND(+N1479+O1479+P1479,4)</f>
        <v>0</v>
      </c>
      <c r="R1479" s="419">
        <f>ROUND(IF(+Q1479-H1479&lt;=0,0,Q1479-H1479),4)</f>
        <v>0</v>
      </c>
      <c r="S1479" s="423">
        <v>0.5</v>
      </c>
      <c r="T1479" s="419">
        <f>ROUND(+(R1479*C1479)*S1479,4)</f>
        <v>0</v>
      </c>
      <c r="U1479" s="419">
        <f>ROUND(+J1479+M1479+T1479,4)</f>
        <v>0</v>
      </c>
      <c r="V1479" s="235"/>
    </row>
    <row r="1480" spans="1:22" ht="15.75" x14ac:dyDescent="0.25">
      <c r="A1480" s="231"/>
      <c r="B1480" s="232"/>
      <c r="C1480" s="400"/>
      <c r="D1480" s="233"/>
      <c r="E1480" s="405"/>
      <c r="F1480" s="405"/>
      <c r="G1480" s="405"/>
      <c r="H1480" s="408">
        <f>ROUND(+E1480+F1480+G1480,4)</f>
        <v>0</v>
      </c>
      <c r="I1480" s="234"/>
      <c r="J1480" s="411"/>
      <c r="K1480" s="411"/>
      <c r="L1480" s="414">
        <v>0.1</v>
      </c>
      <c r="M1480" s="414">
        <f>ROUND(+L1480*C1480,4)</f>
        <v>0</v>
      </c>
      <c r="N1480" s="414"/>
      <c r="O1480" s="414"/>
      <c r="P1480" s="414"/>
      <c r="Q1480" s="419">
        <f>ROUND(+N1480+O1480+P1480,4)</f>
        <v>0</v>
      </c>
      <c r="R1480" s="419">
        <f>ROUND(IF(+Q1480-H1480&lt;=0,0,Q1480-H1480),4)</f>
        <v>0</v>
      </c>
      <c r="S1480" s="423">
        <v>0.5</v>
      </c>
      <c r="T1480" s="419">
        <f>ROUND(+(R1480*C1480)*S1480,4)</f>
        <v>0</v>
      </c>
      <c r="U1480" s="419">
        <f>ROUND(+J1480+M1480+T1480,4)</f>
        <v>0</v>
      </c>
      <c r="V1480" s="235"/>
    </row>
    <row r="1481" spans="1:22" ht="15.75" x14ac:dyDescent="0.25">
      <c r="A1481" s="231"/>
      <c r="B1481" s="232"/>
      <c r="C1481" s="400"/>
      <c r="D1481" s="233"/>
      <c r="E1481" s="405"/>
      <c r="F1481" s="405"/>
      <c r="G1481" s="405"/>
      <c r="H1481" s="408">
        <f>ROUND(+E1481+F1481+G1481,4)</f>
        <v>0</v>
      </c>
      <c r="I1481" s="234"/>
      <c r="J1481" s="411"/>
      <c r="K1481" s="411"/>
      <c r="L1481" s="414">
        <v>0.1</v>
      </c>
      <c r="M1481" s="414">
        <f>ROUND(+L1481*C1481,4)</f>
        <v>0</v>
      </c>
      <c r="N1481" s="414"/>
      <c r="O1481" s="414"/>
      <c r="P1481" s="414"/>
      <c r="Q1481" s="419">
        <f>ROUND(+N1481+O1481+P1481,4)</f>
        <v>0</v>
      </c>
      <c r="R1481" s="419">
        <f>ROUND(IF(+Q1481-H1481&lt;=0,0,Q1481-H1481),4)</f>
        <v>0</v>
      </c>
      <c r="S1481" s="423">
        <v>0.5</v>
      </c>
      <c r="T1481" s="419">
        <f>ROUND(+(R1481*C1481)*S1481,4)</f>
        <v>0</v>
      </c>
      <c r="U1481" s="419">
        <f>ROUND(+J1481+M1481+T1481,4)</f>
        <v>0</v>
      </c>
      <c r="V1481" s="235"/>
    </row>
    <row r="1482" spans="1:22" ht="15.75" x14ac:dyDescent="0.25">
      <c r="A1482" s="231"/>
      <c r="B1482" s="232"/>
      <c r="C1482" s="400"/>
      <c r="D1482" s="233"/>
      <c r="E1482" s="405"/>
      <c r="F1482" s="405"/>
      <c r="G1482" s="405"/>
      <c r="H1482" s="408">
        <f>ROUND(+E1482+F1482+G1482,4)</f>
        <v>0</v>
      </c>
      <c r="I1482" s="234"/>
      <c r="J1482" s="411"/>
      <c r="K1482" s="411"/>
      <c r="L1482" s="414">
        <v>0.1</v>
      </c>
      <c r="M1482" s="414">
        <f>ROUND(+L1482*C1482,4)</f>
        <v>0</v>
      </c>
      <c r="N1482" s="414"/>
      <c r="O1482" s="414"/>
      <c r="P1482" s="414"/>
      <c r="Q1482" s="419">
        <f>ROUND(+N1482+O1482+P1482,4)</f>
        <v>0</v>
      </c>
      <c r="R1482" s="419">
        <f>ROUND(IF(+Q1482-H1482&lt;=0,0,Q1482-H1482),4)</f>
        <v>0</v>
      </c>
      <c r="S1482" s="423">
        <v>0.5</v>
      </c>
      <c r="T1482" s="419">
        <f>ROUND(+(R1482*C1482)*S1482,4)</f>
        <v>0</v>
      </c>
      <c r="U1482" s="419">
        <f>ROUND(+J1482+M1482+T1482,4)</f>
        <v>0</v>
      </c>
      <c r="V1482" s="235"/>
    </row>
    <row r="1483" spans="1:22" ht="15.75" x14ac:dyDescent="0.25">
      <c r="A1483" s="231"/>
      <c r="B1483" s="232"/>
      <c r="C1483" s="400"/>
      <c r="D1483" s="233"/>
      <c r="E1483" s="405"/>
      <c r="F1483" s="405"/>
      <c r="G1483" s="405"/>
      <c r="H1483" s="408">
        <f>ROUND(+E1483+F1483+G1483,4)</f>
        <v>0</v>
      </c>
      <c r="I1483" s="234"/>
      <c r="J1483" s="411"/>
      <c r="K1483" s="411"/>
      <c r="L1483" s="414">
        <v>0.1</v>
      </c>
      <c r="M1483" s="414">
        <f>ROUND(+L1483*C1483,4)</f>
        <v>0</v>
      </c>
      <c r="N1483" s="414"/>
      <c r="O1483" s="414"/>
      <c r="P1483" s="414"/>
      <c r="Q1483" s="419">
        <f>ROUND(+N1483+O1483+P1483,4)</f>
        <v>0</v>
      </c>
      <c r="R1483" s="419">
        <f>ROUND(IF(+Q1483-H1483&lt;=0,0,Q1483-H1483),4)</f>
        <v>0</v>
      </c>
      <c r="S1483" s="423">
        <v>0.5</v>
      </c>
      <c r="T1483" s="419">
        <f>ROUND(+(R1483*C1483)*S1483,4)</f>
        <v>0</v>
      </c>
      <c r="U1483" s="419">
        <f>ROUND(+J1483+M1483+T1483,4)</f>
        <v>0</v>
      </c>
      <c r="V1483" s="235"/>
    </row>
    <row r="1484" spans="1:22" ht="15.75" x14ac:dyDescent="0.25">
      <c r="A1484" s="231"/>
      <c r="B1484" s="232"/>
      <c r="C1484" s="400"/>
      <c r="D1484" s="233"/>
      <c r="E1484" s="405"/>
      <c r="F1484" s="405"/>
      <c r="G1484" s="405"/>
      <c r="H1484" s="408">
        <f>ROUND(+E1484+F1484+G1484,4)</f>
        <v>0</v>
      </c>
      <c r="I1484" s="234"/>
      <c r="J1484" s="411"/>
      <c r="K1484" s="411"/>
      <c r="L1484" s="414">
        <v>0.1</v>
      </c>
      <c r="M1484" s="414">
        <f>ROUND(+L1484*C1484,4)</f>
        <v>0</v>
      </c>
      <c r="N1484" s="414"/>
      <c r="O1484" s="414"/>
      <c r="P1484" s="414"/>
      <c r="Q1484" s="419">
        <f>ROUND(+N1484+O1484+P1484,4)</f>
        <v>0</v>
      </c>
      <c r="R1484" s="419">
        <f>ROUND(IF(+Q1484-H1484&lt;=0,0,Q1484-H1484),4)</f>
        <v>0</v>
      </c>
      <c r="S1484" s="423">
        <v>0.5</v>
      </c>
      <c r="T1484" s="419">
        <f>ROUND(+(R1484*C1484)*S1484,4)</f>
        <v>0</v>
      </c>
      <c r="U1484" s="419">
        <f>ROUND(+J1484+M1484+T1484,4)</f>
        <v>0</v>
      </c>
      <c r="V1484" s="235"/>
    </row>
    <row r="1485" spans="1:22" ht="15.75" x14ac:dyDescent="0.25">
      <c r="A1485" s="231"/>
      <c r="B1485" s="232"/>
      <c r="C1485" s="400"/>
      <c r="D1485" s="233"/>
      <c r="E1485" s="405"/>
      <c r="F1485" s="405"/>
      <c r="G1485" s="405"/>
      <c r="H1485" s="408">
        <f>ROUND(+E1485+F1485+G1485,4)</f>
        <v>0</v>
      </c>
      <c r="I1485" s="234"/>
      <c r="J1485" s="411"/>
      <c r="K1485" s="411"/>
      <c r="L1485" s="414">
        <v>0.1</v>
      </c>
      <c r="M1485" s="414">
        <f>ROUND(+L1485*C1485,4)</f>
        <v>0</v>
      </c>
      <c r="N1485" s="414"/>
      <c r="O1485" s="414"/>
      <c r="P1485" s="414"/>
      <c r="Q1485" s="419">
        <f>ROUND(+N1485+O1485+P1485,4)</f>
        <v>0</v>
      </c>
      <c r="R1485" s="419">
        <f>ROUND(IF(+Q1485-H1485&lt;=0,0,Q1485-H1485),4)</f>
        <v>0</v>
      </c>
      <c r="S1485" s="423">
        <v>0.5</v>
      </c>
      <c r="T1485" s="419">
        <f>ROUND(+(R1485*C1485)*S1485,4)</f>
        <v>0</v>
      </c>
      <c r="U1485" s="419">
        <f>ROUND(+J1485+M1485+T1485,4)</f>
        <v>0</v>
      </c>
      <c r="V1485" s="235"/>
    </row>
    <row r="1486" spans="1:22" ht="15.75" x14ac:dyDescent="0.25">
      <c r="A1486" s="231"/>
      <c r="B1486" s="232"/>
      <c r="C1486" s="400"/>
      <c r="D1486" s="233"/>
      <c r="E1486" s="405"/>
      <c r="F1486" s="405"/>
      <c r="G1486" s="405"/>
      <c r="H1486" s="408">
        <f>ROUND(+E1486+F1486+G1486,4)</f>
        <v>0</v>
      </c>
      <c r="I1486" s="234"/>
      <c r="J1486" s="411"/>
      <c r="K1486" s="411"/>
      <c r="L1486" s="414">
        <v>0.1</v>
      </c>
      <c r="M1486" s="414">
        <f>ROUND(+L1486*C1486,4)</f>
        <v>0</v>
      </c>
      <c r="N1486" s="414"/>
      <c r="O1486" s="414"/>
      <c r="P1486" s="414"/>
      <c r="Q1486" s="419">
        <f>ROUND(+N1486+O1486+P1486,4)</f>
        <v>0</v>
      </c>
      <c r="R1486" s="419">
        <f>ROUND(IF(+Q1486-H1486&lt;=0,0,Q1486-H1486),4)</f>
        <v>0</v>
      </c>
      <c r="S1486" s="423">
        <v>0.5</v>
      </c>
      <c r="T1486" s="419">
        <f>ROUND(+(R1486*C1486)*S1486,4)</f>
        <v>0</v>
      </c>
      <c r="U1486" s="419">
        <f>ROUND(+J1486+M1486+T1486,4)</f>
        <v>0</v>
      </c>
      <c r="V1486" s="235"/>
    </row>
    <row r="1487" spans="1:22" ht="15.75" x14ac:dyDescent="0.25">
      <c r="A1487" s="231"/>
      <c r="B1487" s="232"/>
      <c r="C1487" s="400"/>
      <c r="D1487" s="233"/>
      <c r="E1487" s="405"/>
      <c r="F1487" s="405"/>
      <c r="G1487" s="405"/>
      <c r="H1487" s="408">
        <f>ROUND(+E1487+F1487+G1487,4)</f>
        <v>0</v>
      </c>
      <c r="I1487" s="234"/>
      <c r="J1487" s="411"/>
      <c r="K1487" s="411"/>
      <c r="L1487" s="414">
        <v>0.1</v>
      </c>
      <c r="M1487" s="414">
        <f>ROUND(+L1487*C1487,4)</f>
        <v>0</v>
      </c>
      <c r="N1487" s="414"/>
      <c r="O1487" s="414"/>
      <c r="P1487" s="414"/>
      <c r="Q1487" s="419">
        <f>ROUND(+N1487+O1487+P1487,4)</f>
        <v>0</v>
      </c>
      <c r="R1487" s="419">
        <f>ROUND(IF(+Q1487-H1487&lt;=0,0,Q1487-H1487),4)</f>
        <v>0</v>
      </c>
      <c r="S1487" s="423">
        <v>0.5</v>
      </c>
      <c r="T1487" s="419">
        <f>ROUND(+(R1487*C1487)*S1487,4)</f>
        <v>0</v>
      </c>
      <c r="U1487" s="419">
        <f>ROUND(+J1487+M1487+T1487,4)</f>
        <v>0</v>
      </c>
      <c r="V1487" s="235"/>
    </row>
    <row r="1488" spans="1:22" ht="15.75" x14ac:dyDescent="0.25">
      <c r="A1488" s="231"/>
      <c r="B1488" s="232"/>
      <c r="C1488" s="400"/>
      <c r="D1488" s="233"/>
      <c r="E1488" s="405"/>
      <c r="F1488" s="405"/>
      <c r="G1488" s="405"/>
      <c r="H1488" s="408">
        <f>ROUND(+E1488+F1488+G1488,4)</f>
        <v>0</v>
      </c>
      <c r="I1488" s="234"/>
      <c r="J1488" s="411"/>
      <c r="K1488" s="411"/>
      <c r="L1488" s="414">
        <v>0.1</v>
      </c>
      <c r="M1488" s="414">
        <f>ROUND(+L1488*C1488,4)</f>
        <v>0</v>
      </c>
      <c r="N1488" s="414"/>
      <c r="O1488" s="414"/>
      <c r="P1488" s="414"/>
      <c r="Q1488" s="419">
        <f>ROUND(+N1488+O1488+P1488,4)</f>
        <v>0</v>
      </c>
      <c r="R1488" s="419">
        <f>ROUND(IF(+Q1488-H1488&lt;=0,0,Q1488-H1488),4)</f>
        <v>0</v>
      </c>
      <c r="S1488" s="423">
        <v>0.5</v>
      </c>
      <c r="T1488" s="419">
        <f>ROUND(+(R1488*C1488)*S1488,4)</f>
        <v>0</v>
      </c>
      <c r="U1488" s="419">
        <f>ROUND(+J1488+M1488+T1488,4)</f>
        <v>0</v>
      </c>
      <c r="V1488" s="235"/>
    </row>
    <row r="1489" spans="1:22" ht="15.75" x14ac:dyDescent="0.25">
      <c r="A1489" s="231"/>
      <c r="B1489" s="232"/>
      <c r="C1489" s="400"/>
      <c r="D1489" s="233"/>
      <c r="E1489" s="405"/>
      <c r="F1489" s="405"/>
      <c r="G1489" s="405"/>
      <c r="H1489" s="408">
        <f>ROUND(+E1489+F1489+G1489,4)</f>
        <v>0</v>
      </c>
      <c r="I1489" s="234"/>
      <c r="J1489" s="411"/>
      <c r="K1489" s="411"/>
      <c r="L1489" s="414">
        <v>0.1</v>
      </c>
      <c r="M1489" s="414">
        <f>ROUND(+L1489*C1489,4)</f>
        <v>0</v>
      </c>
      <c r="N1489" s="414"/>
      <c r="O1489" s="414"/>
      <c r="P1489" s="414"/>
      <c r="Q1489" s="419">
        <f>ROUND(+N1489+O1489+P1489,4)</f>
        <v>0</v>
      </c>
      <c r="R1489" s="419">
        <f>ROUND(IF(+Q1489-H1489&lt;=0,0,Q1489-H1489),4)</f>
        <v>0</v>
      </c>
      <c r="S1489" s="423">
        <v>0.5</v>
      </c>
      <c r="T1489" s="419">
        <f>ROUND(+(R1489*C1489)*S1489,4)</f>
        <v>0</v>
      </c>
      <c r="U1489" s="419">
        <f>ROUND(+J1489+M1489+T1489,4)</f>
        <v>0</v>
      </c>
      <c r="V1489" s="235"/>
    </row>
    <row r="1490" spans="1:22" ht="15.75" x14ac:dyDescent="0.25">
      <c r="A1490" s="231"/>
      <c r="B1490" s="232"/>
      <c r="C1490" s="400"/>
      <c r="D1490" s="233"/>
      <c r="E1490" s="405"/>
      <c r="F1490" s="405"/>
      <c r="G1490" s="405"/>
      <c r="H1490" s="408">
        <f>ROUND(+E1490+F1490+G1490,4)</f>
        <v>0</v>
      </c>
      <c r="I1490" s="234"/>
      <c r="J1490" s="411"/>
      <c r="K1490" s="411"/>
      <c r="L1490" s="414">
        <v>0.1</v>
      </c>
      <c r="M1490" s="414">
        <f>ROUND(+L1490*C1490,4)</f>
        <v>0</v>
      </c>
      <c r="N1490" s="414"/>
      <c r="O1490" s="414"/>
      <c r="P1490" s="414"/>
      <c r="Q1490" s="419">
        <f>ROUND(+N1490+O1490+P1490,4)</f>
        <v>0</v>
      </c>
      <c r="R1490" s="419">
        <f>ROUND(IF(+Q1490-H1490&lt;=0,0,Q1490-H1490),4)</f>
        <v>0</v>
      </c>
      <c r="S1490" s="423">
        <v>0.5</v>
      </c>
      <c r="T1490" s="419">
        <f>ROUND(+(R1490*C1490)*S1490,4)</f>
        <v>0</v>
      </c>
      <c r="U1490" s="419">
        <f>ROUND(+J1490+M1490+T1490,4)</f>
        <v>0</v>
      </c>
      <c r="V1490" s="235"/>
    </row>
    <row r="1491" spans="1:22" ht="15.75" x14ac:dyDescent="0.25">
      <c r="A1491" s="231"/>
      <c r="B1491" s="232"/>
      <c r="C1491" s="400"/>
      <c r="D1491" s="233"/>
      <c r="E1491" s="405"/>
      <c r="F1491" s="405"/>
      <c r="G1491" s="405"/>
      <c r="H1491" s="408">
        <f>ROUND(+E1491+F1491+G1491,4)</f>
        <v>0</v>
      </c>
      <c r="I1491" s="234"/>
      <c r="J1491" s="411"/>
      <c r="K1491" s="411"/>
      <c r="L1491" s="414">
        <v>0.1</v>
      </c>
      <c r="M1491" s="414">
        <f>ROUND(+L1491*C1491,4)</f>
        <v>0</v>
      </c>
      <c r="N1491" s="414"/>
      <c r="O1491" s="414"/>
      <c r="P1491" s="414"/>
      <c r="Q1491" s="419">
        <f>ROUND(+N1491+O1491+P1491,4)</f>
        <v>0</v>
      </c>
      <c r="R1491" s="419">
        <f>ROUND(IF(+Q1491-H1491&lt;=0,0,Q1491-H1491),4)</f>
        <v>0</v>
      </c>
      <c r="S1491" s="423">
        <v>0.5</v>
      </c>
      <c r="T1491" s="419">
        <f>ROUND(+(R1491*C1491)*S1491,4)</f>
        <v>0</v>
      </c>
      <c r="U1491" s="419">
        <f>ROUND(+J1491+M1491+T1491,4)</f>
        <v>0</v>
      </c>
      <c r="V1491" s="235"/>
    </row>
    <row r="1492" spans="1:22" ht="15.75" x14ac:dyDescent="0.25">
      <c r="A1492" s="231"/>
      <c r="B1492" s="232"/>
      <c r="C1492" s="400"/>
      <c r="D1492" s="233"/>
      <c r="E1492" s="405"/>
      <c r="F1492" s="405"/>
      <c r="G1492" s="405"/>
      <c r="H1492" s="408">
        <f>ROUND(+E1492+F1492+G1492,4)</f>
        <v>0</v>
      </c>
      <c r="I1492" s="234"/>
      <c r="J1492" s="411"/>
      <c r="K1492" s="411"/>
      <c r="L1492" s="414">
        <v>0.1</v>
      </c>
      <c r="M1492" s="414">
        <f>ROUND(+L1492*C1492,4)</f>
        <v>0</v>
      </c>
      <c r="N1492" s="414"/>
      <c r="O1492" s="414"/>
      <c r="P1492" s="414"/>
      <c r="Q1492" s="419">
        <f>ROUND(+N1492+O1492+P1492,4)</f>
        <v>0</v>
      </c>
      <c r="R1492" s="419">
        <f>ROUND(IF(+Q1492-H1492&lt;=0,0,Q1492-H1492),4)</f>
        <v>0</v>
      </c>
      <c r="S1492" s="423">
        <v>0.5</v>
      </c>
      <c r="T1492" s="419">
        <f>ROUND(+(R1492*C1492)*S1492,4)</f>
        <v>0</v>
      </c>
      <c r="U1492" s="419">
        <f>ROUND(+J1492+M1492+T1492,4)</f>
        <v>0</v>
      </c>
      <c r="V1492" s="235"/>
    </row>
    <row r="1493" spans="1:22" ht="15.75" x14ac:dyDescent="0.25">
      <c r="A1493" s="231"/>
      <c r="B1493" s="232"/>
      <c r="C1493" s="400"/>
      <c r="D1493" s="233"/>
      <c r="E1493" s="405"/>
      <c r="F1493" s="405"/>
      <c r="G1493" s="405"/>
      <c r="H1493" s="408">
        <f>ROUND(+E1493+F1493+G1493,4)</f>
        <v>0</v>
      </c>
      <c r="I1493" s="234"/>
      <c r="J1493" s="411"/>
      <c r="K1493" s="411"/>
      <c r="L1493" s="414">
        <v>0.1</v>
      </c>
      <c r="M1493" s="414">
        <f>ROUND(+L1493*C1493,4)</f>
        <v>0</v>
      </c>
      <c r="N1493" s="414"/>
      <c r="O1493" s="414"/>
      <c r="P1493" s="414"/>
      <c r="Q1493" s="419">
        <f>ROUND(+N1493+O1493+P1493,4)</f>
        <v>0</v>
      </c>
      <c r="R1493" s="419">
        <f>ROUND(IF(+Q1493-H1493&lt;=0,0,Q1493-H1493),4)</f>
        <v>0</v>
      </c>
      <c r="S1493" s="423">
        <v>0.5</v>
      </c>
      <c r="T1493" s="419">
        <f>ROUND(+(R1493*C1493)*S1493,4)</f>
        <v>0</v>
      </c>
      <c r="U1493" s="419">
        <f>ROUND(+J1493+M1493+T1493,4)</f>
        <v>0</v>
      </c>
      <c r="V1493" s="235"/>
    </row>
    <row r="1494" spans="1:22" ht="15.75" x14ac:dyDescent="0.25">
      <c r="A1494" s="231"/>
      <c r="B1494" s="232"/>
      <c r="C1494" s="400"/>
      <c r="D1494" s="233"/>
      <c r="E1494" s="405"/>
      <c r="F1494" s="405"/>
      <c r="G1494" s="405"/>
      <c r="H1494" s="408">
        <f>ROUND(+E1494+F1494+G1494,4)</f>
        <v>0</v>
      </c>
      <c r="I1494" s="234"/>
      <c r="J1494" s="411"/>
      <c r="K1494" s="411"/>
      <c r="L1494" s="414">
        <v>0.1</v>
      </c>
      <c r="M1494" s="414">
        <f>ROUND(+L1494*C1494,4)</f>
        <v>0</v>
      </c>
      <c r="N1494" s="414"/>
      <c r="O1494" s="414"/>
      <c r="P1494" s="414"/>
      <c r="Q1494" s="419">
        <f>ROUND(+N1494+O1494+P1494,4)</f>
        <v>0</v>
      </c>
      <c r="R1494" s="419">
        <f>ROUND(IF(+Q1494-H1494&lt;=0,0,Q1494-H1494),4)</f>
        <v>0</v>
      </c>
      <c r="S1494" s="423">
        <v>0.5</v>
      </c>
      <c r="T1494" s="419">
        <f>ROUND(+(R1494*C1494)*S1494,4)</f>
        <v>0</v>
      </c>
      <c r="U1494" s="419">
        <f>ROUND(+J1494+M1494+T1494,4)</f>
        <v>0</v>
      </c>
      <c r="V1494" s="235"/>
    </row>
    <row r="1495" spans="1:22" ht="15.75" x14ac:dyDescent="0.25">
      <c r="A1495" s="231"/>
      <c r="B1495" s="232"/>
      <c r="C1495" s="400"/>
      <c r="D1495" s="233"/>
      <c r="E1495" s="405"/>
      <c r="F1495" s="405"/>
      <c r="G1495" s="405"/>
      <c r="H1495" s="408">
        <f>ROUND(+E1495+F1495+G1495,4)</f>
        <v>0</v>
      </c>
      <c r="I1495" s="234"/>
      <c r="J1495" s="411"/>
      <c r="K1495" s="411"/>
      <c r="L1495" s="414">
        <v>0.1</v>
      </c>
      <c r="M1495" s="414">
        <f>ROUND(+L1495*C1495,4)</f>
        <v>0</v>
      </c>
      <c r="N1495" s="414"/>
      <c r="O1495" s="414"/>
      <c r="P1495" s="414"/>
      <c r="Q1495" s="419">
        <f>ROUND(+N1495+O1495+P1495,4)</f>
        <v>0</v>
      </c>
      <c r="R1495" s="419">
        <f>ROUND(IF(+Q1495-H1495&lt;=0,0,Q1495-H1495),4)</f>
        <v>0</v>
      </c>
      <c r="S1495" s="423">
        <v>0.5</v>
      </c>
      <c r="T1495" s="419">
        <f>ROUND(+(R1495*C1495)*S1495,4)</f>
        <v>0</v>
      </c>
      <c r="U1495" s="419">
        <f>ROUND(+J1495+M1495+T1495,4)</f>
        <v>0</v>
      </c>
      <c r="V1495" s="235"/>
    </row>
    <row r="1496" spans="1:22" ht="15.75" x14ac:dyDescent="0.25">
      <c r="A1496" s="231"/>
      <c r="B1496" s="232"/>
      <c r="C1496" s="400"/>
      <c r="D1496" s="233"/>
      <c r="E1496" s="405"/>
      <c r="F1496" s="405"/>
      <c r="G1496" s="405"/>
      <c r="H1496" s="408">
        <f>ROUND(+E1496+F1496+G1496,4)</f>
        <v>0</v>
      </c>
      <c r="I1496" s="234"/>
      <c r="J1496" s="411"/>
      <c r="K1496" s="411"/>
      <c r="L1496" s="414">
        <v>0.1</v>
      </c>
      <c r="M1496" s="414">
        <f>ROUND(+L1496*C1496,4)</f>
        <v>0</v>
      </c>
      <c r="N1496" s="414"/>
      <c r="O1496" s="414"/>
      <c r="P1496" s="414"/>
      <c r="Q1496" s="419">
        <f>ROUND(+N1496+O1496+P1496,4)</f>
        <v>0</v>
      </c>
      <c r="R1496" s="419">
        <f>ROUND(IF(+Q1496-H1496&lt;=0,0,Q1496-H1496),4)</f>
        <v>0</v>
      </c>
      <c r="S1496" s="423">
        <v>0.5</v>
      </c>
      <c r="T1496" s="419">
        <f>ROUND(+(R1496*C1496)*S1496,4)</f>
        <v>0</v>
      </c>
      <c r="U1496" s="419">
        <f>ROUND(+J1496+M1496+T1496,4)</f>
        <v>0</v>
      </c>
      <c r="V1496" s="235"/>
    </row>
    <row r="1497" spans="1:22" ht="15.75" x14ac:dyDescent="0.25">
      <c r="A1497" s="231"/>
      <c r="B1497" s="232"/>
      <c r="C1497" s="400"/>
      <c r="D1497" s="233"/>
      <c r="E1497" s="405"/>
      <c r="F1497" s="405"/>
      <c r="G1497" s="405"/>
      <c r="H1497" s="408">
        <f>ROUND(+E1497+F1497+G1497,4)</f>
        <v>0</v>
      </c>
      <c r="I1497" s="234"/>
      <c r="J1497" s="411"/>
      <c r="K1497" s="411"/>
      <c r="L1497" s="414">
        <v>0.1</v>
      </c>
      <c r="M1497" s="414">
        <f>ROUND(+L1497*C1497,4)</f>
        <v>0</v>
      </c>
      <c r="N1497" s="414"/>
      <c r="O1497" s="414"/>
      <c r="P1497" s="414"/>
      <c r="Q1497" s="419">
        <f>ROUND(+N1497+O1497+P1497,4)</f>
        <v>0</v>
      </c>
      <c r="R1497" s="419">
        <f>ROUND(IF(+Q1497-H1497&lt;=0,0,Q1497-H1497),4)</f>
        <v>0</v>
      </c>
      <c r="S1497" s="423">
        <v>0.5</v>
      </c>
      <c r="T1497" s="419">
        <f>ROUND(+(R1497*C1497)*S1497,4)</f>
        <v>0</v>
      </c>
      <c r="U1497" s="419">
        <f>ROUND(+J1497+M1497+T1497,4)</f>
        <v>0</v>
      </c>
      <c r="V1497" s="235"/>
    </row>
    <row r="1498" spans="1:22" ht="15.75" x14ac:dyDescent="0.25">
      <c r="A1498" s="231"/>
      <c r="B1498" s="232"/>
      <c r="C1498" s="400"/>
      <c r="D1498" s="233"/>
      <c r="E1498" s="405"/>
      <c r="F1498" s="405"/>
      <c r="G1498" s="405"/>
      <c r="H1498" s="408">
        <f>ROUND(+E1498+F1498+G1498,4)</f>
        <v>0</v>
      </c>
      <c r="I1498" s="234"/>
      <c r="J1498" s="411"/>
      <c r="K1498" s="411"/>
      <c r="L1498" s="414">
        <v>0.1</v>
      </c>
      <c r="M1498" s="414">
        <f>ROUND(+L1498*C1498,4)</f>
        <v>0</v>
      </c>
      <c r="N1498" s="414"/>
      <c r="O1498" s="414"/>
      <c r="P1498" s="414"/>
      <c r="Q1498" s="419">
        <f>ROUND(+N1498+O1498+P1498,4)</f>
        <v>0</v>
      </c>
      <c r="R1498" s="419">
        <f>ROUND(IF(+Q1498-H1498&lt;=0,0,Q1498-H1498),4)</f>
        <v>0</v>
      </c>
      <c r="S1498" s="423">
        <v>0.5</v>
      </c>
      <c r="T1498" s="419">
        <f>ROUND(+(R1498*C1498)*S1498,4)</f>
        <v>0</v>
      </c>
      <c r="U1498" s="419">
        <f>ROUND(+J1498+M1498+T1498,4)</f>
        <v>0</v>
      </c>
      <c r="V1498" s="235"/>
    </row>
    <row r="1499" spans="1:22" ht="15.75" x14ac:dyDescent="0.25">
      <c r="A1499" s="231"/>
      <c r="B1499" s="232"/>
      <c r="C1499" s="400"/>
      <c r="D1499" s="233"/>
      <c r="E1499" s="405"/>
      <c r="F1499" s="405"/>
      <c r="G1499" s="405"/>
      <c r="H1499" s="408">
        <f>ROUND(+E1499+F1499+G1499,4)</f>
        <v>0</v>
      </c>
      <c r="I1499" s="234"/>
      <c r="J1499" s="411"/>
      <c r="K1499" s="411"/>
      <c r="L1499" s="414">
        <v>0.1</v>
      </c>
      <c r="M1499" s="414">
        <f>ROUND(+L1499*C1499,4)</f>
        <v>0</v>
      </c>
      <c r="N1499" s="414"/>
      <c r="O1499" s="414"/>
      <c r="P1499" s="414"/>
      <c r="Q1499" s="419">
        <f>ROUND(+N1499+O1499+P1499,4)</f>
        <v>0</v>
      </c>
      <c r="R1499" s="419">
        <f>ROUND(IF(+Q1499-H1499&lt;=0,0,Q1499-H1499),4)</f>
        <v>0</v>
      </c>
      <c r="S1499" s="423">
        <v>0.5</v>
      </c>
      <c r="T1499" s="419">
        <f>ROUND(+(R1499*C1499)*S1499,4)</f>
        <v>0</v>
      </c>
      <c r="U1499" s="419">
        <f>ROUND(+J1499+M1499+T1499,4)</f>
        <v>0</v>
      </c>
      <c r="V1499" s="235"/>
    </row>
    <row r="1500" spans="1:22" ht="15.75" x14ac:dyDescent="0.25">
      <c r="A1500" s="231"/>
      <c r="B1500" s="232"/>
      <c r="C1500" s="400"/>
      <c r="D1500" s="233"/>
      <c r="E1500" s="405"/>
      <c r="F1500" s="405"/>
      <c r="G1500" s="405"/>
      <c r="H1500" s="408">
        <f>ROUND(+E1500+F1500+G1500,4)</f>
        <v>0</v>
      </c>
      <c r="I1500" s="234"/>
      <c r="J1500" s="411"/>
      <c r="K1500" s="411"/>
      <c r="L1500" s="414">
        <v>0.1</v>
      </c>
      <c r="M1500" s="414">
        <f>ROUND(+L1500*C1500,4)</f>
        <v>0</v>
      </c>
      <c r="N1500" s="414"/>
      <c r="O1500" s="414"/>
      <c r="P1500" s="414"/>
      <c r="Q1500" s="419">
        <f>ROUND(+N1500+O1500+P1500,4)</f>
        <v>0</v>
      </c>
      <c r="R1500" s="419">
        <f>ROUND(IF(+Q1500-H1500&lt;=0,0,Q1500-H1500),4)</f>
        <v>0</v>
      </c>
      <c r="S1500" s="423">
        <v>0.5</v>
      </c>
      <c r="T1500" s="419">
        <f>ROUND(+(R1500*C1500)*S1500,4)</f>
        <v>0</v>
      </c>
      <c r="U1500" s="419">
        <f>ROUND(+J1500+M1500+T1500,4)</f>
        <v>0</v>
      </c>
      <c r="V1500" s="235"/>
    </row>
    <row r="1501" spans="1:22" ht="15.75" x14ac:dyDescent="0.25">
      <c r="A1501" s="231"/>
      <c r="B1501" s="232"/>
      <c r="C1501" s="400"/>
      <c r="D1501" s="233"/>
      <c r="E1501" s="405"/>
      <c r="F1501" s="405"/>
      <c r="G1501" s="405"/>
      <c r="H1501" s="408">
        <f>ROUND(+E1501+F1501+G1501,4)</f>
        <v>0</v>
      </c>
      <c r="I1501" s="234"/>
      <c r="J1501" s="411"/>
      <c r="K1501" s="411"/>
      <c r="L1501" s="414">
        <v>0.1</v>
      </c>
      <c r="M1501" s="414">
        <f>ROUND(+L1501*C1501,4)</f>
        <v>0</v>
      </c>
      <c r="N1501" s="414"/>
      <c r="O1501" s="414"/>
      <c r="P1501" s="414"/>
      <c r="Q1501" s="419">
        <f>ROUND(+N1501+O1501+P1501,4)</f>
        <v>0</v>
      </c>
      <c r="R1501" s="419">
        <f>ROUND(IF(+Q1501-H1501&lt;=0,0,Q1501-H1501),4)</f>
        <v>0</v>
      </c>
      <c r="S1501" s="423">
        <v>0.5</v>
      </c>
      <c r="T1501" s="419">
        <f>ROUND(+(R1501*C1501)*S1501,4)</f>
        <v>0</v>
      </c>
      <c r="U1501" s="419">
        <f>ROUND(+J1501+M1501+T1501,4)</f>
        <v>0</v>
      </c>
      <c r="V1501" s="235"/>
    </row>
    <row r="1502" spans="1:22" ht="15.75" x14ac:dyDescent="0.25">
      <c r="A1502" s="231"/>
      <c r="B1502" s="232"/>
      <c r="C1502" s="400"/>
      <c r="D1502" s="233"/>
      <c r="E1502" s="405"/>
      <c r="F1502" s="405"/>
      <c r="G1502" s="405"/>
      <c r="H1502" s="408">
        <f>ROUND(+E1502+F1502+G1502,4)</f>
        <v>0</v>
      </c>
      <c r="I1502" s="234"/>
      <c r="J1502" s="411"/>
      <c r="K1502" s="411"/>
      <c r="L1502" s="414">
        <v>0.1</v>
      </c>
      <c r="M1502" s="414">
        <f>ROUND(+L1502*C1502,4)</f>
        <v>0</v>
      </c>
      <c r="N1502" s="414"/>
      <c r="O1502" s="414"/>
      <c r="P1502" s="414"/>
      <c r="Q1502" s="419">
        <f>ROUND(+N1502+O1502+P1502,4)</f>
        <v>0</v>
      </c>
      <c r="R1502" s="419">
        <f>ROUND(IF(+Q1502-H1502&lt;=0,0,Q1502-H1502),4)</f>
        <v>0</v>
      </c>
      <c r="S1502" s="423">
        <v>0.5</v>
      </c>
      <c r="T1502" s="419">
        <f>ROUND(+(R1502*C1502)*S1502,4)</f>
        <v>0</v>
      </c>
      <c r="U1502" s="419">
        <f>ROUND(+J1502+M1502+T1502,4)</f>
        <v>0</v>
      </c>
      <c r="V1502" s="235"/>
    </row>
    <row r="1503" spans="1:22" ht="15.75" x14ac:dyDescent="0.25">
      <c r="A1503" s="231"/>
      <c r="B1503" s="232"/>
      <c r="C1503" s="400"/>
      <c r="D1503" s="233"/>
      <c r="E1503" s="405"/>
      <c r="F1503" s="405"/>
      <c r="G1503" s="405"/>
      <c r="H1503" s="408">
        <f>ROUND(+E1503+F1503+G1503,4)</f>
        <v>0</v>
      </c>
      <c r="I1503" s="234"/>
      <c r="J1503" s="411"/>
      <c r="K1503" s="411"/>
      <c r="L1503" s="414">
        <v>0.1</v>
      </c>
      <c r="M1503" s="414">
        <f>ROUND(+L1503*C1503,4)</f>
        <v>0</v>
      </c>
      <c r="N1503" s="414"/>
      <c r="O1503" s="414"/>
      <c r="P1503" s="414"/>
      <c r="Q1503" s="419">
        <f>ROUND(+N1503+O1503+P1503,4)</f>
        <v>0</v>
      </c>
      <c r="R1503" s="419">
        <f>ROUND(IF(+Q1503-H1503&lt;=0,0,Q1503-H1503),4)</f>
        <v>0</v>
      </c>
      <c r="S1503" s="423">
        <v>0.5</v>
      </c>
      <c r="T1503" s="419">
        <f>ROUND(+(R1503*C1503)*S1503,4)</f>
        <v>0</v>
      </c>
      <c r="U1503" s="419">
        <f>ROUND(+J1503+M1503+T1503,4)</f>
        <v>0</v>
      </c>
      <c r="V1503" s="235"/>
    </row>
    <row r="1504" spans="1:22" ht="15.75" x14ac:dyDescent="0.25">
      <c r="A1504" s="231"/>
      <c r="B1504" s="232"/>
      <c r="C1504" s="400"/>
      <c r="D1504" s="233"/>
      <c r="E1504" s="405"/>
      <c r="F1504" s="405"/>
      <c r="G1504" s="405"/>
      <c r="H1504" s="408">
        <f>ROUND(+E1504+F1504+G1504,4)</f>
        <v>0</v>
      </c>
      <c r="I1504" s="234"/>
      <c r="J1504" s="411"/>
      <c r="K1504" s="411"/>
      <c r="L1504" s="414">
        <v>0.1</v>
      </c>
      <c r="M1504" s="414">
        <f>ROUND(+L1504*C1504,4)</f>
        <v>0</v>
      </c>
      <c r="N1504" s="414"/>
      <c r="O1504" s="414"/>
      <c r="P1504" s="414"/>
      <c r="Q1504" s="419">
        <f>ROUND(+N1504+O1504+P1504,4)</f>
        <v>0</v>
      </c>
      <c r="R1504" s="419">
        <f>ROUND(IF(+Q1504-H1504&lt;=0,0,Q1504-H1504),4)</f>
        <v>0</v>
      </c>
      <c r="S1504" s="423">
        <v>0.5</v>
      </c>
      <c r="T1504" s="419">
        <f>ROUND(+(R1504*C1504)*S1504,4)</f>
        <v>0</v>
      </c>
      <c r="U1504" s="419">
        <f>ROUND(+J1504+M1504+T1504,4)</f>
        <v>0</v>
      </c>
      <c r="V1504" s="235"/>
    </row>
    <row r="1505" spans="1:22" ht="15.75" x14ac:dyDescent="0.25">
      <c r="A1505" s="231"/>
      <c r="B1505" s="232"/>
      <c r="C1505" s="400"/>
      <c r="D1505" s="233"/>
      <c r="E1505" s="405"/>
      <c r="F1505" s="405"/>
      <c r="G1505" s="405"/>
      <c r="H1505" s="408">
        <f>ROUND(+E1505+F1505+G1505,4)</f>
        <v>0</v>
      </c>
      <c r="I1505" s="234"/>
      <c r="J1505" s="411"/>
      <c r="K1505" s="411"/>
      <c r="L1505" s="414">
        <v>0.1</v>
      </c>
      <c r="M1505" s="414">
        <f>ROUND(+L1505*C1505,4)</f>
        <v>0</v>
      </c>
      <c r="N1505" s="414"/>
      <c r="O1505" s="414"/>
      <c r="P1505" s="414"/>
      <c r="Q1505" s="419">
        <f>ROUND(+N1505+O1505+P1505,4)</f>
        <v>0</v>
      </c>
      <c r="R1505" s="419">
        <f>ROUND(IF(+Q1505-H1505&lt;=0,0,Q1505-H1505),4)</f>
        <v>0</v>
      </c>
      <c r="S1505" s="423">
        <v>0.5</v>
      </c>
      <c r="T1505" s="419">
        <f>ROUND(+(R1505*C1505)*S1505,4)</f>
        <v>0</v>
      </c>
      <c r="U1505" s="419">
        <f>ROUND(+J1505+M1505+T1505,4)</f>
        <v>0</v>
      </c>
      <c r="V1505" s="235"/>
    </row>
    <row r="1506" spans="1:22" ht="15.75" x14ac:dyDescent="0.25">
      <c r="A1506" s="231"/>
      <c r="B1506" s="232"/>
      <c r="C1506" s="400"/>
      <c r="D1506" s="233"/>
      <c r="E1506" s="405"/>
      <c r="F1506" s="405"/>
      <c r="G1506" s="405"/>
      <c r="H1506" s="408">
        <f>ROUND(+E1506+F1506+G1506,4)</f>
        <v>0</v>
      </c>
      <c r="I1506" s="234"/>
      <c r="J1506" s="411"/>
      <c r="K1506" s="411"/>
      <c r="L1506" s="414">
        <v>0.1</v>
      </c>
      <c r="M1506" s="414">
        <f>ROUND(+L1506*C1506,4)</f>
        <v>0</v>
      </c>
      <c r="N1506" s="414"/>
      <c r="O1506" s="414"/>
      <c r="P1506" s="414"/>
      <c r="Q1506" s="419">
        <f>ROUND(+N1506+O1506+P1506,4)</f>
        <v>0</v>
      </c>
      <c r="R1506" s="419">
        <f>ROUND(IF(+Q1506-H1506&lt;=0,0,Q1506-H1506),4)</f>
        <v>0</v>
      </c>
      <c r="S1506" s="423">
        <v>0.5</v>
      </c>
      <c r="T1506" s="419">
        <f>ROUND(+(R1506*C1506)*S1506,4)</f>
        <v>0</v>
      </c>
      <c r="U1506" s="419">
        <f>ROUND(+J1506+M1506+T1506,4)</f>
        <v>0</v>
      </c>
      <c r="V1506" s="235"/>
    </row>
    <row r="1507" spans="1:22" ht="15.75" x14ac:dyDescent="0.25">
      <c r="A1507" s="231"/>
      <c r="B1507" s="232"/>
      <c r="C1507" s="400"/>
      <c r="D1507" s="233"/>
      <c r="E1507" s="405"/>
      <c r="F1507" s="405"/>
      <c r="G1507" s="405"/>
      <c r="H1507" s="408">
        <f>ROUND(+E1507+F1507+G1507,4)</f>
        <v>0</v>
      </c>
      <c r="I1507" s="234"/>
      <c r="J1507" s="411"/>
      <c r="K1507" s="411"/>
      <c r="L1507" s="414">
        <v>0.1</v>
      </c>
      <c r="M1507" s="414">
        <f>ROUND(+L1507*C1507,4)</f>
        <v>0</v>
      </c>
      <c r="N1507" s="414"/>
      <c r="O1507" s="414"/>
      <c r="P1507" s="414"/>
      <c r="Q1507" s="419">
        <f>ROUND(+N1507+O1507+P1507,4)</f>
        <v>0</v>
      </c>
      <c r="R1507" s="419">
        <f>ROUND(IF(+Q1507-H1507&lt;=0,0,Q1507-H1507),4)</f>
        <v>0</v>
      </c>
      <c r="S1507" s="423">
        <v>0.5</v>
      </c>
      <c r="T1507" s="419">
        <f>ROUND(+(R1507*C1507)*S1507,4)</f>
        <v>0</v>
      </c>
      <c r="U1507" s="419">
        <f>ROUND(+J1507+M1507+T1507,4)</f>
        <v>0</v>
      </c>
      <c r="V1507" s="235"/>
    </row>
    <row r="1508" spans="1:22" ht="15.75" x14ac:dyDescent="0.25">
      <c r="A1508" s="231"/>
      <c r="B1508" s="232"/>
      <c r="C1508" s="400"/>
      <c r="D1508" s="233"/>
      <c r="E1508" s="405"/>
      <c r="F1508" s="405"/>
      <c r="G1508" s="405"/>
      <c r="H1508" s="408">
        <f>ROUND(+E1508+F1508+G1508,4)</f>
        <v>0</v>
      </c>
      <c r="I1508" s="234"/>
      <c r="J1508" s="411"/>
      <c r="K1508" s="411"/>
      <c r="L1508" s="414">
        <v>0.1</v>
      </c>
      <c r="M1508" s="414">
        <f>ROUND(+L1508*C1508,4)</f>
        <v>0</v>
      </c>
      <c r="N1508" s="414"/>
      <c r="O1508" s="414"/>
      <c r="P1508" s="414"/>
      <c r="Q1508" s="419">
        <f>ROUND(+N1508+O1508+P1508,4)</f>
        <v>0</v>
      </c>
      <c r="R1508" s="419">
        <f>ROUND(IF(+Q1508-H1508&lt;=0,0,Q1508-H1508),4)</f>
        <v>0</v>
      </c>
      <c r="S1508" s="423">
        <v>0.5</v>
      </c>
      <c r="T1508" s="419">
        <f>ROUND(+(R1508*C1508)*S1508,4)</f>
        <v>0</v>
      </c>
      <c r="U1508" s="419">
        <f>ROUND(+J1508+M1508+T1508,4)</f>
        <v>0</v>
      </c>
      <c r="V1508" s="235"/>
    </row>
    <row r="1509" spans="1:22" ht="15.75" x14ac:dyDescent="0.25">
      <c r="A1509" s="231"/>
      <c r="B1509" s="232"/>
      <c r="C1509" s="400"/>
      <c r="D1509" s="233"/>
      <c r="E1509" s="405"/>
      <c r="F1509" s="405"/>
      <c r="G1509" s="405"/>
      <c r="H1509" s="408">
        <f>ROUND(+E1509+F1509+G1509,4)</f>
        <v>0</v>
      </c>
      <c r="I1509" s="234"/>
      <c r="J1509" s="411"/>
      <c r="K1509" s="411"/>
      <c r="L1509" s="414">
        <v>0.1</v>
      </c>
      <c r="M1509" s="414">
        <f>ROUND(+L1509*C1509,4)</f>
        <v>0</v>
      </c>
      <c r="N1509" s="414"/>
      <c r="O1509" s="414"/>
      <c r="P1509" s="414"/>
      <c r="Q1509" s="419">
        <f>ROUND(+N1509+O1509+P1509,4)</f>
        <v>0</v>
      </c>
      <c r="R1509" s="419">
        <f>ROUND(IF(+Q1509-H1509&lt;=0,0,Q1509-H1509),4)</f>
        <v>0</v>
      </c>
      <c r="S1509" s="423">
        <v>0.5</v>
      </c>
      <c r="T1509" s="419">
        <f>ROUND(+(R1509*C1509)*S1509,4)</f>
        <v>0</v>
      </c>
      <c r="U1509" s="419">
        <f>ROUND(+J1509+M1509+T1509,4)</f>
        <v>0</v>
      </c>
      <c r="V1509" s="235"/>
    </row>
    <row r="1510" spans="1:22" ht="15.75" x14ac:dyDescent="0.25">
      <c r="A1510" s="231"/>
      <c r="B1510" s="232"/>
      <c r="C1510" s="400"/>
      <c r="D1510" s="233"/>
      <c r="E1510" s="405"/>
      <c r="F1510" s="405"/>
      <c r="G1510" s="405"/>
      <c r="H1510" s="408">
        <f>ROUND(+E1510+F1510+G1510,4)</f>
        <v>0</v>
      </c>
      <c r="I1510" s="234"/>
      <c r="J1510" s="411"/>
      <c r="K1510" s="411"/>
      <c r="L1510" s="414">
        <v>0.1</v>
      </c>
      <c r="M1510" s="414">
        <f>ROUND(+L1510*C1510,4)</f>
        <v>0</v>
      </c>
      <c r="N1510" s="414"/>
      <c r="O1510" s="414"/>
      <c r="P1510" s="414"/>
      <c r="Q1510" s="419">
        <f>ROUND(+N1510+O1510+P1510,4)</f>
        <v>0</v>
      </c>
      <c r="R1510" s="419">
        <f>ROUND(IF(+Q1510-H1510&lt;=0,0,Q1510-H1510),4)</f>
        <v>0</v>
      </c>
      <c r="S1510" s="423">
        <v>0.5</v>
      </c>
      <c r="T1510" s="419">
        <f>ROUND(+(R1510*C1510)*S1510,4)</f>
        <v>0</v>
      </c>
      <c r="U1510" s="419">
        <f>ROUND(+J1510+M1510+T1510,4)</f>
        <v>0</v>
      </c>
      <c r="V1510" s="235"/>
    </row>
    <row r="1511" spans="1:22" ht="15.75" x14ac:dyDescent="0.25">
      <c r="A1511" s="231"/>
      <c r="B1511" s="232"/>
      <c r="C1511" s="400"/>
      <c r="D1511" s="233"/>
      <c r="E1511" s="405"/>
      <c r="F1511" s="405"/>
      <c r="G1511" s="405"/>
      <c r="H1511" s="408">
        <f>ROUND(+E1511+F1511+G1511,4)</f>
        <v>0</v>
      </c>
      <c r="I1511" s="234"/>
      <c r="J1511" s="411"/>
      <c r="K1511" s="411"/>
      <c r="L1511" s="414">
        <v>0.1</v>
      </c>
      <c r="M1511" s="414">
        <f>ROUND(+L1511*C1511,4)</f>
        <v>0</v>
      </c>
      <c r="N1511" s="414"/>
      <c r="O1511" s="414"/>
      <c r="P1511" s="414"/>
      <c r="Q1511" s="419">
        <f>ROUND(+N1511+O1511+P1511,4)</f>
        <v>0</v>
      </c>
      <c r="R1511" s="419">
        <f>ROUND(IF(+Q1511-H1511&lt;=0,0,Q1511-H1511),4)</f>
        <v>0</v>
      </c>
      <c r="S1511" s="423">
        <v>0.5</v>
      </c>
      <c r="T1511" s="419">
        <f>ROUND(+(R1511*C1511)*S1511,4)</f>
        <v>0</v>
      </c>
      <c r="U1511" s="419">
        <f>ROUND(+J1511+M1511+T1511,4)</f>
        <v>0</v>
      </c>
      <c r="V1511" s="235"/>
    </row>
    <row r="1512" spans="1:22" ht="15.75" x14ac:dyDescent="0.25">
      <c r="A1512" s="231"/>
      <c r="B1512" s="232"/>
      <c r="C1512" s="400"/>
      <c r="D1512" s="233"/>
      <c r="E1512" s="405"/>
      <c r="F1512" s="405"/>
      <c r="G1512" s="405"/>
      <c r="H1512" s="408">
        <f>ROUND(+E1512+F1512+G1512,4)</f>
        <v>0</v>
      </c>
      <c r="I1512" s="234"/>
      <c r="J1512" s="411"/>
      <c r="K1512" s="411"/>
      <c r="L1512" s="414">
        <v>0.1</v>
      </c>
      <c r="M1512" s="414">
        <f>ROUND(+L1512*C1512,4)</f>
        <v>0</v>
      </c>
      <c r="N1512" s="414"/>
      <c r="O1512" s="414"/>
      <c r="P1512" s="414"/>
      <c r="Q1512" s="419">
        <f>ROUND(+N1512+O1512+P1512,4)</f>
        <v>0</v>
      </c>
      <c r="R1512" s="419">
        <f>ROUND(IF(+Q1512-H1512&lt;=0,0,Q1512-H1512),4)</f>
        <v>0</v>
      </c>
      <c r="S1512" s="423">
        <v>0.5</v>
      </c>
      <c r="T1512" s="419">
        <f>ROUND(+(R1512*C1512)*S1512,4)</f>
        <v>0</v>
      </c>
      <c r="U1512" s="419">
        <f>ROUND(+J1512+M1512+T1512,4)</f>
        <v>0</v>
      </c>
      <c r="V1512" s="235"/>
    </row>
    <row r="1513" spans="1:22" ht="15.75" x14ac:dyDescent="0.25">
      <c r="A1513" s="231"/>
      <c r="B1513" s="232"/>
      <c r="C1513" s="400"/>
      <c r="D1513" s="233"/>
      <c r="E1513" s="405"/>
      <c r="F1513" s="405"/>
      <c r="G1513" s="405"/>
      <c r="H1513" s="408">
        <f>ROUND(+E1513+F1513+G1513,4)</f>
        <v>0</v>
      </c>
      <c r="I1513" s="234"/>
      <c r="J1513" s="411"/>
      <c r="K1513" s="411"/>
      <c r="L1513" s="414">
        <v>0.1</v>
      </c>
      <c r="M1513" s="414">
        <f>ROUND(+L1513*C1513,4)</f>
        <v>0</v>
      </c>
      <c r="N1513" s="414"/>
      <c r="O1513" s="414"/>
      <c r="P1513" s="414"/>
      <c r="Q1513" s="419">
        <f>ROUND(+N1513+O1513+P1513,4)</f>
        <v>0</v>
      </c>
      <c r="R1513" s="419">
        <f>ROUND(IF(+Q1513-H1513&lt;=0,0,Q1513-H1513),4)</f>
        <v>0</v>
      </c>
      <c r="S1513" s="423">
        <v>0.5</v>
      </c>
      <c r="T1513" s="419">
        <f>ROUND(+(R1513*C1513)*S1513,4)</f>
        <v>0</v>
      </c>
      <c r="U1513" s="419">
        <f>ROUND(+J1513+M1513+T1513,4)</f>
        <v>0</v>
      </c>
      <c r="V1513" s="235"/>
    </row>
    <row r="1514" spans="1:22" ht="15.75" x14ac:dyDescent="0.25">
      <c r="A1514" s="231"/>
      <c r="B1514" s="232"/>
      <c r="C1514" s="400"/>
      <c r="D1514" s="233"/>
      <c r="E1514" s="405"/>
      <c r="F1514" s="405"/>
      <c r="G1514" s="405"/>
      <c r="H1514" s="408">
        <f>ROUND(+E1514+F1514+G1514,4)</f>
        <v>0</v>
      </c>
      <c r="I1514" s="234"/>
      <c r="J1514" s="411"/>
      <c r="K1514" s="411"/>
      <c r="L1514" s="414">
        <v>0.1</v>
      </c>
      <c r="M1514" s="414">
        <f>ROUND(+L1514*C1514,4)</f>
        <v>0</v>
      </c>
      <c r="N1514" s="414"/>
      <c r="O1514" s="414"/>
      <c r="P1514" s="414"/>
      <c r="Q1514" s="419">
        <f>ROUND(+N1514+O1514+P1514,4)</f>
        <v>0</v>
      </c>
      <c r="R1514" s="419">
        <f>ROUND(IF(+Q1514-H1514&lt;=0,0,Q1514-H1514),4)</f>
        <v>0</v>
      </c>
      <c r="S1514" s="423">
        <v>0.5</v>
      </c>
      <c r="T1514" s="419">
        <f>ROUND(+(R1514*C1514)*S1514,4)</f>
        <v>0</v>
      </c>
      <c r="U1514" s="419">
        <f>ROUND(+J1514+M1514+T1514,4)</f>
        <v>0</v>
      </c>
      <c r="V1514" s="235"/>
    </row>
    <row r="1515" spans="1:22" ht="15.75" x14ac:dyDescent="0.25">
      <c r="A1515" s="231"/>
      <c r="B1515" s="232"/>
      <c r="C1515" s="400"/>
      <c r="D1515" s="233"/>
      <c r="E1515" s="405"/>
      <c r="F1515" s="405"/>
      <c r="G1515" s="405"/>
      <c r="H1515" s="408">
        <f>ROUND(+E1515+F1515+G1515,4)</f>
        <v>0</v>
      </c>
      <c r="I1515" s="234"/>
      <c r="J1515" s="411"/>
      <c r="K1515" s="411"/>
      <c r="L1515" s="414">
        <v>0.1</v>
      </c>
      <c r="M1515" s="414">
        <f>ROUND(+L1515*C1515,4)</f>
        <v>0</v>
      </c>
      <c r="N1515" s="414"/>
      <c r="O1515" s="414"/>
      <c r="P1515" s="414"/>
      <c r="Q1515" s="419">
        <f>ROUND(+N1515+O1515+P1515,4)</f>
        <v>0</v>
      </c>
      <c r="R1515" s="419">
        <f>ROUND(IF(+Q1515-H1515&lt;=0,0,Q1515-H1515),4)</f>
        <v>0</v>
      </c>
      <c r="S1515" s="423">
        <v>0.5</v>
      </c>
      <c r="T1515" s="419">
        <f>ROUND(+(R1515*C1515)*S1515,4)</f>
        <v>0</v>
      </c>
      <c r="U1515" s="419">
        <f>ROUND(+J1515+M1515+T1515,4)</f>
        <v>0</v>
      </c>
      <c r="V1515" s="235"/>
    </row>
    <row r="1516" spans="1:22" ht="15.75" x14ac:dyDescent="0.25">
      <c r="A1516" s="231"/>
      <c r="B1516" s="232"/>
      <c r="C1516" s="400"/>
      <c r="D1516" s="233"/>
      <c r="E1516" s="405"/>
      <c r="F1516" s="405"/>
      <c r="G1516" s="405"/>
      <c r="H1516" s="408">
        <f>ROUND(+E1516+F1516+G1516,4)</f>
        <v>0</v>
      </c>
      <c r="I1516" s="234"/>
      <c r="J1516" s="411"/>
      <c r="K1516" s="411"/>
      <c r="L1516" s="414">
        <v>0.1</v>
      </c>
      <c r="M1516" s="414">
        <f>ROUND(+L1516*C1516,4)</f>
        <v>0</v>
      </c>
      <c r="N1516" s="414"/>
      <c r="O1516" s="414"/>
      <c r="P1516" s="414"/>
      <c r="Q1516" s="419">
        <f>ROUND(+N1516+O1516+P1516,4)</f>
        <v>0</v>
      </c>
      <c r="R1516" s="419">
        <f>ROUND(IF(+Q1516-H1516&lt;=0,0,Q1516-H1516),4)</f>
        <v>0</v>
      </c>
      <c r="S1516" s="423">
        <v>0.5</v>
      </c>
      <c r="T1516" s="419">
        <f>ROUND(+(R1516*C1516)*S1516,4)</f>
        <v>0</v>
      </c>
      <c r="U1516" s="419">
        <f>ROUND(+J1516+M1516+T1516,4)</f>
        <v>0</v>
      </c>
      <c r="V1516" s="235"/>
    </row>
    <row r="1517" spans="1:22" ht="15.75" x14ac:dyDescent="0.25">
      <c r="A1517" s="231"/>
      <c r="B1517" s="232"/>
      <c r="C1517" s="400"/>
      <c r="D1517" s="233"/>
      <c r="E1517" s="405"/>
      <c r="F1517" s="405"/>
      <c r="G1517" s="405"/>
      <c r="H1517" s="408">
        <f>ROUND(+E1517+F1517+G1517,4)</f>
        <v>0</v>
      </c>
      <c r="I1517" s="234"/>
      <c r="J1517" s="411"/>
      <c r="K1517" s="411"/>
      <c r="L1517" s="414">
        <v>0.1</v>
      </c>
      <c r="M1517" s="414">
        <f>ROUND(+L1517*C1517,4)</f>
        <v>0</v>
      </c>
      <c r="N1517" s="414"/>
      <c r="O1517" s="414"/>
      <c r="P1517" s="414"/>
      <c r="Q1517" s="419">
        <f>ROUND(+N1517+O1517+P1517,4)</f>
        <v>0</v>
      </c>
      <c r="R1517" s="419">
        <f>ROUND(IF(+Q1517-H1517&lt;=0,0,Q1517-H1517),4)</f>
        <v>0</v>
      </c>
      <c r="S1517" s="423">
        <v>0.5</v>
      </c>
      <c r="T1517" s="419">
        <f>ROUND(+(R1517*C1517)*S1517,4)</f>
        <v>0</v>
      </c>
      <c r="U1517" s="419">
        <f>ROUND(+J1517+M1517+T1517,4)</f>
        <v>0</v>
      </c>
      <c r="V1517" s="235"/>
    </row>
    <row r="1518" spans="1:22" ht="15.75" x14ac:dyDescent="0.25">
      <c r="A1518" s="231"/>
      <c r="B1518" s="232"/>
      <c r="C1518" s="400"/>
      <c r="D1518" s="233"/>
      <c r="E1518" s="405"/>
      <c r="F1518" s="405"/>
      <c r="G1518" s="405"/>
      <c r="H1518" s="408">
        <f>ROUND(+E1518+F1518+G1518,4)</f>
        <v>0</v>
      </c>
      <c r="I1518" s="234"/>
      <c r="J1518" s="411"/>
      <c r="K1518" s="411"/>
      <c r="L1518" s="414">
        <v>0.1</v>
      </c>
      <c r="M1518" s="414">
        <f>ROUND(+L1518*C1518,4)</f>
        <v>0</v>
      </c>
      <c r="N1518" s="414"/>
      <c r="O1518" s="414"/>
      <c r="P1518" s="414"/>
      <c r="Q1518" s="419">
        <f>ROUND(+N1518+O1518+P1518,4)</f>
        <v>0</v>
      </c>
      <c r="R1518" s="419">
        <f>ROUND(IF(+Q1518-H1518&lt;=0,0,Q1518-H1518),4)</f>
        <v>0</v>
      </c>
      <c r="S1518" s="423">
        <v>0.5</v>
      </c>
      <c r="T1518" s="419">
        <f>ROUND(+(R1518*C1518)*S1518,4)</f>
        <v>0</v>
      </c>
      <c r="U1518" s="419">
        <f>ROUND(+J1518+M1518+T1518,4)</f>
        <v>0</v>
      </c>
      <c r="V1518" s="235"/>
    </row>
    <row r="1519" spans="1:22" ht="15.75" x14ac:dyDescent="0.25">
      <c r="A1519" s="231"/>
      <c r="B1519" s="232"/>
      <c r="C1519" s="400"/>
      <c r="D1519" s="233"/>
      <c r="E1519" s="405"/>
      <c r="F1519" s="405"/>
      <c r="G1519" s="405"/>
      <c r="H1519" s="408">
        <f>ROUND(+E1519+F1519+G1519,4)</f>
        <v>0</v>
      </c>
      <c r="I1519" s="234"/>
      <c r="J1519" s="411"/>
      <c r="K1519" s="411"/>
      <c r="L1519" s="414">
        <v>0.1</v>
      </c>
      <c r="M1519" s="414">
        <f>ROUND(+L1519*C1519,4)</f>
        <v>0</v>
      </c>
      <c r="N1519" s="414"/>
      <c r="O1519" s="414"/>
      <c r="P1519" s="414"/>
      <c r="Q1519" s="419">
        <f>ROUND(+N1519+O1519+P1519,4)</f>
        <v>0</v>
      </c>
      <c r="R1519" s="419">
        <f>ROUND(IF(+Q1519-H1519&lt;=0,0,Q1519-H1519),4)</f>
        <v>0</v>
      </c>
      <c r="S1519" s="423">
        <v>0.5</v>
      </c>
      <c r="T1519" s="419">
        <f>ROUND(+(R1519*C1519)*S1519,4)</f>
        <v>0</v>
      </c>
      <c r="U1519" s="419">
        <f>ROUND(+J1519+M1519+T1519,4)</f>
        <v>0</v>
      </c>
      <c r="V1519" s="235"/>
    </row>
    <row r="1520" spans="1:22" ht="15.75" x14ac:dyDescent="0.25">
      <c r="A1520" s="231"/>
      <c r="B1520" s="232"/>
      <c r="C1520" s="400"/>
      <c r="D1520" s="233"/>
      <c r="E1520" s="405"/>
      <c r="F1520" s="405"/>
      <c r="G1520" s="405"/>
      <c r="H1520" s="408">
        <f>ROUND(+E1520+F1520+G1520,4)</f>
        <v>0</v>
      </c>
      <c r="I1520" s="234"/>
      <c r="J1520" s="411"/>
      <c r="K1520" s="411"/>
      <c r="L1520" s="414">
        <v>0.1</v>
      </c>
      <c r="M1520" s="414">
        <f>ROUND(+L1520*C1520,4)</f>
        <v>0</v>
      </c>
      <c r="N1520" s="414"/>
      <c r="O1520" s="414"/>
      <c r="P1520" s="414"/>
      <c r="Q1520" s="419">
        <f>ROUND(+N1520+O1520+P1520,4)</f>
        <v>0</v>
      </c>
      <c r="R1520" s="419">
        <f>ROUND(IF(+Q1520-H1520&lt;=0,0,Q1520-H1520),4)</f>
        <v>0</v>
      </c>
      <c r="S1520" s="423">
        <v>0.5</v>
      </c>
      <c r="T1520" s="419">
        <f>ROUND(+(R1520*C1520)*S1520,4)</f>
        <v>0</v>
      </c>
      <c r="U1520" s="419">
        <f>ROUND(+J1520+M1520+T1520,4)</f>
        <v>0</v>
      </c>
      <c r="V1520" s="235"/>
    </row>
    <row r="1521" spans="1:22" ht="15.75" x14ac:dyDescent="0.25">
      <c r="A1521" s="231"/>
      <c r="B1521" s="232"/>
      <c r="C1521" s="400"/>
      <c r="D1521" s="233"/>
      <c r="E1521" s="405"/>
      <c r="F1521" s="405"/>
      <c r="G1521" s="405"/>
      <c r="H1521" s="408">
        <f>ROUND(+E1521+F1521+G1521,4)</f>
        <v>0</v>
      </c>
      <c r="I1521" s="234"/>
      <c r="J1521" s="411"/>
      <c r="K1521" s="411"/>
      <c r="L1521" s="414">
        <v>0.1</v>
      </c>
      <c r="M1521" s="414">
        <f>ROUND(+L1521*C1521,4)</f>
        <v>0</v>
      </c>
      <c r="N1521" s="414"/>
      <c r="O1521" s="414"/>
      <c r="P1521" s="414"/>
      <c r="Q1521" s="419">
        <f>ROUND(+N1521+O1521+P1521,4)</f>
        <v>0</v>
      </c>
      <c r="R1521" s="419">
        <f>ROUND(IF(+Q1521-H1521&lt;=0,0,Q1521-H1521),4)</f>
        <v>0</v>
      </c>
      <c r="S1521" s="423">
        <v>0.5</v>
      </c>
      <c r="T1521" s="419">
        <f>ROUND(+(R1521*C1521)*S1521,4)</f>
        <v>0</v>
      </c>
      <c r="U1521" s="419">
        <f>ROUND(+J1521+M1521+T1521,4)</f>
        <v>0</v>
      </c>
      <c r="V1521" s="235"/>
    </row>
    <row r="1522" spans="1:22" ht="15.75" x14ac:dyDescent="0.25">
      <c r="A1522" s="231"/>
      <c r="B1522" s="232"/>
      <c r="C1522" s="400"/>
      <c r="D1522" s="233"/>
      <c r="E1522" s="405"/>
      <c r="F1522" s="405"/>
      <c r="G1522" s="405"/>
      <c r="H1522" s="408">
        <f>ROUND(+E1522+F1522+G1522,4)</f>
        <v>0</v>
      </c>
      <c r="I1522" s="234"/>
      <c r="J1522" s="411"/>
      <c r="K1522" s="411"/>
      <c r="L1522" s="414">
        <v>0.1</v>
      </c>
      <c r="M1522" s="414">
        <f>ROUND(+L1522*C1522,4)</f>
        <v>0</v>
      </c>
      <c r="N1522" s="414"/>
      <c r="O1522" s="414"/>
      <c r="P1522" s="414"/>
      <c r="Q1522" s="419">
        <f>ROUND(+N1522+O1522+P1522,4)</f>
        <v>0</v>
      </c>
      <c r="R1522" s="419">
        <f>ROUND(IF(+Q1522-H1522&lt;=0,0,Q1522-H1522),4)</f>
        <v>0</v>
      </c>
      <c r="S1522" s="423">
        <v>0.5</v>
      </c>
      <c r="T1522" s="419">
        <f>ROUND(+(R1522*C1522)*S1522,4)</f>
        <v>0</v>
      </c>
      <c r="U1522" s="419">
        <f>ROUND(+J1522+M1522+T1522,4)</f>
        <v>0</v>
      </c>
      <c r="V1522" s="235"/>
    </row>
    <row r="1523" spans="1:22" ht="15.75" x14ac:dyDescent="0.25">
      <c r="A1523" s="231"/>
      <c r="B1523" s="232"/>
      <c r="C1523" s="400"/>
      <c r="D1523" s="233"/>
      <c r="E1523" s="405"/>
      <c r="F1523" s="405"/>
      <c r="G1523" s="405"/>
      <c r="H1523" s="408">
        <f>ROUND(+E1523+F1523+G1523,4)</f>
        <v>0</v>
      </c>
      <c r="I1523" s="234"/>
      <c r="J1523" s="411"/>
      <c r="K1523" s="411"/>
      <c r="L1523" s="414">
        <v>0.1</v>
      </c>
      <c r="M1523" s="414">
        <f>ROUND(+L1523*C1523,4)</f>
        <v>0</v>
      </c>
      <c r="N1523" s="414"/>
      <c r="O1523" s="414"/>
      <c r="P1523" s="414"/>
      <c r="Q1523" s="419">
        <f>ROUND(+N1523+O1523+P1523,4)</f>
        <v>0</v>
      </c>
      <c r="R1523" s="419">
        <f>ROUND(IF(+Q1523-H1523&lt;=0,0,Q1523-H1523),4)</f>
        <v>0</v>
      </c>
      <c r="S1523" s="423">
        <v>0.5</v>
      </c>
      <c r="T1523" s="419">
        <f>ROUND(+(R1523*C1523)*S1523,4)</f>
        <v>0</v>
      </c>
      <c r="U1523" s="419">
        <f>ROUND(+J1523+M1523+T1523,4)</f>
        <v>0</v>
      </c>
      <c r="V1523" s="235"/>
    </row>
    <row r="1524" spans="1:22" ht="15.75" x14ac:dyDescent="0.25">
      <c r="A1524" s="231"/>
      <c r="B1524" s="232"/>
      <c r="C1524" s="400"/>
      <c r="D1524" s="233"/>
      <c r="E1524" s="405"/>
      <c r="F1524" s="405"/>
      <c r="G1524" s="405"/>
      <c r="H1524" s="408">
        <f>ROUND(+E1524+F1524+G1524,4)</f>
        <v>0</v>
      </c>
      <c r="I1524" s="234"/>
      <c r="J1524" s="411"/>
      <c r="K1524" s="411"/>
      <c r="L1524" s="414">
        <v>0.1</v>
      </c>
      <c r="M1524" s="414">
        <f>ROUND(+L1524*C1524,4)</f>
        <v>0</v>
      </c>
      <c r="N1524" s="414"/>
      <c r="O1524" s="414"/>
      <c r="P1524" s="414"/>
      <c r="Q1524" s="419">
        <f>ROUND(+N1524+O1524+P1524,4)</f>
        <v>0</v>
      </c>
      <c r="R1524" s="419">
        <f>ROUND(IF(+Q1524-H1524&lt;=0,0,Q1524-H1524),4)</f>
        <v>0</v>
      </c>
      <c r="S1524" s="423">
        <v>0.5</v>
      </c>
      <c r="T1524" s="419">
        <f>ROUND(+(R1524*C1524)*S1524,4)</f>
        <v>0</v>
      </c>
      <c r="U1524" s="419">
        <f>ROUND(+J1524+M1524+T1524,4)</f>
        <v>0</v>
      </c>
      <c r="V1524" s="235"/>
    </row>
    <row r="1525" spans="1:22" ht="15.75" x14ac:dyDescent="0.25">
      <c r="A1525" s="231"/>
      <c r="B1525" s="232"/>
      <c r="C1525" s="400"/>
      <c r="D1525" s="233"/>
      <c r="E1525" s="405"/>
      <c r="F1525" s="405"/>
      <c r="G1525" s="405"/>
      <c r="H1525" s="408">
        <f>ROUND(+E1525+F1525+G1525,4)</f>
        <v>0</v>
      </c>
      <c r="I1525" s="234"/>
      <c r="J1525" s="411"/>
      <c r="K1525" s="411"/>
      <c r="L1525" s="414">
        <v>0.1</v>
      </c>
      <c r="M1525" s="414">
        <f>ROUND(+L1525*C1525,4)</f>
        <v>0</v>
      </c>
      <c r="N1525" s="414"/>
      <c r="O1525" s="414"/>
      <c r="P1525" s="414"/>
      <c r="Q1525" s="419">
        <f>ROUND(+N1525+O1525+P1525,4)</f>
        <v>0</v>
      </c>
      <c r="R1525" s="419">
        <f>ROUND(IF(+Q1525-H1525&lt;=0,0,Q1525-H1525),4)</f>
        <v>0</v>
      </c>
      <c r="S1525" s="423">
        <v>0.5</v>
      </c>
      <c r="T1525" s="419">
        <f>ROUND(+(R1525*C1525)*S1525,4)</f>
        <v>0</v>
      </c>
      <c r="U1525" s="419">
        <f>ROUND(+J1525+M1525+T1525,4)</f>
        <v>0</v>
      </c>
      <c r="V1525" s="235"/>
    </row>
    <row r="1526" spans="1:22" ht="15.75" x14ac:dyDescent="0.25">
      <c r="A1526" s="231"/>
      <c r="B1526" s="232"/>
      <c r="C1526" s="400"/>
      <c r="D1526" s="233"/>
      <c r="E1526" s="405"/>
      <c r="F1526" s="405"/>
      <c r="G1526" s="405"/>
      <c r="H1526" s="408">
        <f>ROUND(+E1526+F1526+G1526,4)</f>
        <v>0</v>
      </c>
      <c r="I1526" s="234"/>
      <c r="J1526" s="411"/>
      <c r="K1526" s="411"/>
      <c r="L1526" s="414">
        <v>0.1</v>
      </c>
      <c r="M1526" s="414">
        <f>ROUND(+L1526*C1526,4)</f>
        <v>0</v>
      </c>
      <c r="N1526" s="414"/>
      <c r="O1526" s="414"/>
      <c r="P1526" s="414"/>
      <c r="Q1526" s="419">
        <f>ROUND(+N1526+O1526+P1526,4)</f>
        <v>0</v>
      </c>
      <c r="R1526" s="419">
        <f>ROUND(IF(+Q1526-H1526&lt;=0,0,Q1526-H1526),4)</f>
        <v>0</v>
      </c>
      <c r="S1526" s="423">
        <v>0.5</v>
      </c>
      <c r="T1526" s="419">
        <f>ROUND(+(R1526*C1526)*S1526,4)</f>
        <v>0</v>
      </c>
      <c r="U1526" s="419">
        <f>ROUND(+J1526+M1526+T1526,4)</f>
        <v>0</v>
      </c>
      <c r="V1526" s="235"/>
    </row>
    <row r="1527" spans="1:22" ht="15.75" x14ac:dyDescent="0.25">
      <c r="A1527" s="231"/>
      <c r="B1527" s="232"/>
      <c r="C1527" s="400"/>
      <c r="D1527" s="233"/>
      <c r="E1527" s="405"/>
      <c r="F1527" s="405"/>
      <c r="G1527" s="405"/>
      <c r="H1527" s="408">
        <f>ROUND(+E1527+F1527+G1527,4)</f>
        <v>0</v>
      </c>
      <c r="I1527" s="234"/>
      <c r="J1527" s="411"/>
      <c r="K1527" s="411"/>
      <c r="L1527" s="414">
        <v>0.1</v>
      </c>
      <c r="M1527" s="414">
        <f>ROUND(+L1527*C1527,4)</f>
        <v>0</v>
      </c>
      <c r="N1527" s="414"/>
      <c r="O1527" s="414"/>
      <c r="P1527" s="414"/>
      <c r="Q1527" s="419">
        <f>ROUND(+N1527+O1527+P1527,4)</f>
        <v>0</v>
      </c>
      <c r="R1527" s="419">
        <f>ROUND(IF(+Q1527-H1527&lt;=0,0,Q1527-H1527),4)</f>
        <v>0</v>
      </c>
      <c r="S1527" s="423">
        <v>0.5</v>
      </c>
      <c r="T1527" s="419">
        <f>ROUND(+(R1527*C1527)*S1527,4)</f>
        <v>0</v>
      </c>
      <c r="U1527" s="419">
        <f>ROUND(+J1527+M1527+T1527,4)</f>
        <v>0</v>
      </c>
      <c r="V1527" s="235"/>
    </row>
    <row r="1528" spans="1:22" ht="15.75" x14ac:dyDescent="0.25">
      <c r="A1528" s="231"/>
      <c r="B1528" s="232"/>
      <c r="C1528" s="400"/>
      <c r="D1528" s="233"/>
      <c r="E1528" s="405"/>
      <c r="F1528" s="405"/>
      <c r="G1528" s="405"/>
      <c r="H1528" s="408">
        <f>ROUND(+E1528+F1528+G1528,4)</f>
        <v>0</v>
      </c>
      <c r="I1528" s="234"/>
      <c r="J1528" s="411"/>
      <c r="K1528" s="411"/>
      <c r="L1528" s="414">
        <v>0.1</v>
      </c>
      <c r="M1528" s="414">
        <f>ROUND(+L1528*C1528,4)</f>
        <v>0</v>
      </c>
      <c r="N1528" s="414"/>
      <c r="O1528" s="414"/>
      <c r="P1528" s="414"/>
      <c r="Q1528" s="419">
        <f>ROUND(+N1528+O1528+P1528,4)</f>
        <v>0</v>
      </c>
      <c r="R1528" s="419">
        <f>ROUND(IF(+Q1528-H1528&lt;=0,0,Q1528-H1528),4)</f>
        <v>0</v>
      </c>
      <c r="S1528" s="423">
        <v>0.5</v>
      </c>
      <c r="T1528" s="419">
        <f>ROUND(+(R1528*C1528)*S1528,4)</f>
        <v>0</v>
      </c>
      <c r="U1528" s="419">
        <f>ROUND(+J1528+M1528+T1528,4)</f>
        <v>0</v>
      </c>
      <c r="V1528" s="235"/>
    </row>
    <row r="1529" spans="1:22" ht="15.75" x14ac:dyDescent="0.25">
      <c r="A1529" s="231"/>
      <c r="B1529" s="232"/>
      <c r="C1529" s="400"/>
      <c r="D1529" s="233"/>
      <c r="E1529" s="405"/>
      <c r="F1529" s="405"/>
      <c r="G1529" s="405"/>
      <c r="H1529" s="408">
        <f>ROUND(+E1529+F1529+G1529,4)</f>
        <v>0</v>
      </c>
      <c r="I1529" s="234"/>
      <c r="J1529" s="411"/>
      <c r="K1529" s="411"/>
      <c r="L1529" s="414">
        <v>0.1</v>
      </c>
      <c r="M1529" s="414">
        <f>ROUND(+L1529*C1529,4)</f>
        <v>0</v>
      </c>
      <c r="N1529" s="414"/>
      <c r="O1529" s="414"/>
      <c r="P1529" s="414"/>
      <c r="Q1529" s="419">
        <f>ROUND(+N1529+O1529+P1529,4)</f>
        <v>0</v>
      </c>
      <c r="R1529" s="419">
        <f>ROUND(IF(+Q1529-H1529&lt;=0,0,Q1529-H1529),4)</f>
        <v>0</v>
      </c>
      <c r="S1529" s="423">
        <v>0.5</v>
      </c>
      <c r="T1529" s="419">
        <f>ROUND(+(R1529*C1529)*S1529,4)</f>
        <v>0</v>
      </c>
      <c r="U1529" s="419">
        <f>ROUND(+J1529+M1529+T1529,4)</f>
        <v>0</v>
      </c>
      <c r="V1529" s="235"/>
    </row>
    <row r="1530" spans="1:22" ht="15.75" x14ac:dyDescent="0.25">
      <c r="A1530" s="231"/>
      <c r="B1530" s="232"/>
      <c r="C1530" s="400"/>
      <c r="D1530" s="233"/>
      <c r="E1530" s="405"/>
      <c r="F1530" s="405"/>
      <c r="G1530" s="405"/>
      <c r="H1530" s="408">
        <f>ROUND(+E1530+F1530+G1530,4)</f>
        <v>0</v>
      </c>
      <c r="I1530" s="234"/>
      <c r="J1530" s="411"/>
      <c r="K1530" s="411"/>
      <c r="L1530" s="414">
        <v>0.1</v>
      </c>
      <c r="M1530" s="414">
        <f>ROUND(+L1530*C1530,4)</f>
        <v>0</v>
      </c>
      <c r="N1530" s="414"/>
      <c r="O1530" s="414"/>
      <c r="P1530" s="414"/>
      <c r="Q1530" s="419">
        <f>ROUND(+N1530+O1530+P1530,4)</f>
        <v>0</v>
      </c>
      <c r="R1530" s="419">
        <f>ROUND(IF(+Q1530-H1530&lt;=0,0,Q1530-H1530),4)</f>
        <v>0</v>
      </c>
      <c r="S1530" s="423">
        <v>0.5</v>
      </c>
      <c r="T1530" s="419">
        <f>ROUND(+(R1530*C1530)*S1530,4)</f>
        <v>0</v>
      </c>
      <c r="U1530" s="419">
        <f>ROUND(+J1530+M1530+T1530,4)</f>
        <v>0</v>
      </c>
      <c r="V1530" s="235"/>
    </row>
    <row r="1531" spans="1:22" ht="15.75" x14ac:dyDescent="0.25">
      <c r="A1531" s="231"/>
      <c r="B1531" s="232"/>
      <c r="C1531" s="400"/>
      <c r="D1531" s="233"/>
      <c r="E1531" s="405"/>
      <c r="F1531" s="405"/>
      <c r="G1531" s="405"/>
      <c r="H1531" s="408">
        <f>ROUND(+E1531+F1531+G1531,4)</f>
        <v>0</v>
      </c>
      <c r="I1531" s="234"/>
      <c r="J1531" s="411"/>
      <c r="K1531" s="411"/>
      <c r="L1531" s="414">
        <v>0.1</v>
      </c>
      <c r="M1531" s="414">
        <f>ROUND(+L1531*C1531,4)</f>
        <v>0</v>
      </c>
      <c r="N1531" s="414"/>
      <c r="O1531" s="414"/>
      <c r="P1531" s="414"/>
      <c r="Q1531" s="419">
        <f>ROUND(+N1531+O1531+P1531,4)</f>
        <v>0</v>
      </c>
      <c r="R1531" s="419">
        <f>ROUND(IF(+Q1531-H1531&lt;=0,0,Q1531-H1531),4)</f>
        <v>0</v>
      </c>
      <c r="S1531" s="423">
        <v>0.5</v>
      </c>
      <c r="T1531" s="419">
        <f>ROUND(+(R1531*C1531)*S1531,4)</f>
        <v>0</v>
      </c>
      <c r="U1531" s="419">
        <f>ROUND(+J1531+M1531+T1531,4)</f>
        <v>0</v>
      </c>
      <c r="V1531" s="235"/>
    </row>
    <row r="1532" spans="1:22" ht="15.75" x14ac:dyDescent="0.25">
      <c r="A1532" s="231"/>
      <c r="B1532" s="232"/>
      <c r="C1532" s="400"/>
      <c r="D1532" s="233"/>
      <c r="E1532" s="405"/>
      <c r="F1532" s="405"/>
      <c r="G1532" s="405"/>
      <c r="H1532" s="408">
        <f>ROUND(+E1532+F1532+G1532,4)</f>
        <v>0</v>
      </c>
      <c r="I1532" s="234"/>
      <c r="J1532" s="411"/>
      <c r="K1532" s="411"/>
      <c r="L1532" s="414">
        <v>0.1</v>
      </c>
      <c r="M1532" s="414">
        <f>ROUND(+L1532*C1532,4)</f>
        <v>0</v>
      </c>
      <c r="N1532" s="414"/>
      <c r="O1532" s="414"/>
      <c r="P1532" s="414"/>
      <c r="Q1532" s="419">
        <f>ROUND(+N1532+O1532+P1532,4)</f>
        <v>0</v>
      </c>
      <c r="R1532" s="419">
        <f>ROUND(IF(+Q1532-H1532&lt;=0,0,Q1532-H1532),4)</f>
        <v>0</v>
      </c>
      <c r="S1532" s="423">
        <v>0.5</v>
      </c>
      <c r="T1532" s="419">
        <f>ROUND(+(R1532*C1532)*S1532,4)</f>
        <v>0</v>
      </c>
      <c r="U1532" s="419">
        <f>ROUND(+J1532+M1532+T1532,4)</f>
        <v>0</v>
      </c>
      <c r="V1532" s="235"/>
    </row>
    <row r="1533" spans="1:22" ht="15.75" x14ac:dyDescent="0.25">
      <c r="A1533" s="231"/>
      <c r="B1533" s="232"/>
      <c r="C1533" s="400"/>
      <c r="D1533" s="233"/>
      <c r="E1533" s="405"/>
      <c r="F1533" s="405"/>
      <c r="G1533" s="405"/>
      <c r="H1533" s="408">
        <f>ROUND(+E1533+F1533+G1533,4)</f>
        <v>0</v>
      </c>
      <c r="I1533" s="234"/>
      <c r="J1533" s="411"/>
      <c r="K1533" s="411"/>
      <c r="L1533" s="414">
        <v>0.1</v>
      </c>
      <c r="M1533" s="414">
        <f>ROUND(+L1533*C1533,4)</f>
        <v>0</v>
      </c>
      <c r="N1533" s="414"/>
      <c r="O1533" s="414"/>
      <c r="P1533" s="414"/>
      <c r="Q1533" s="419">
        <f>ROUND(+N1533+O1533+P1533,4)</f>
        <v>0</v>
      </c>
      <c r="R1533" s="419">
        <f>ROUND(IF(+Q1533-H1533&lt;=0,0,Q1533-H1533),4)</f>
        <v>0</v>
      </c>
      <c r="S1533" s="423">
        <v>0.5</v>
      </c>
      <c r="T1533" s="419">
        <f>ROUND(+(R1533*C1533)*S1533,4)</f>
        <v>0</v>
      </c>
      <c r="U1533" s="419">
        <f>ROUND(+J1533+M1533+T1533,4)</f>
        <v>0</v>
      </c>
      <c r="V1533" s="235"/>
    </row>
    <row r="1534" spans="1:22" ht="15.75" x14ac:dyDescent="0.25">
      <c r="A1534" s="231"/>
      <c r="B1534" s="232"/>
      <c r="C1534" s="400"/>
      <c r="D1534" s="233"/>
      <c r="E1534" s="405"/>
      <c r="F1534" s="405"/>
      <c r="G1534" s="405"/>
      <c r="H1534" s="408">
        <f>ROUND(+E1534+F1534+G1534,4)</f>
        <v>0</v>
      </c>
      <c r="I1534" s="234"/>
      <c r="J1534" s="411"/>
      <c r="K1534" s="411"/>
      <c r="L1534" s="414">
        <v>0.1</v>
      </c>
      <c r="M1534" s="414">
        <f>ROUND(+L1534*C1534,4)</f>
        <v>0</v>
      </c>
      <c r="N1534" s="414"/>
      <c r="O1534" s="414"/>
      <c r="P1534" s="414"/>
      <c r="Q1534" s="419">
        <f>ROUND(+N1534+O1534+P1534,4)</f>
        <v>0</v>
      </c>
      <c r="R1534" s="419">
        <f>ROUND(IF(+Q1534-H1534&lt;=0,0,Q1534-H1534),4)</f>
        <v>0</v>
      </c>
      <c r="S1534" s="423">
        <v>0.5</v>
      </c>
      <c r="T1534" s="419">
        <f>ROUND(+(R1534*C1534)*S1534,4)</f>
        <v>0</v>
      </c>
      <c r="U1534" s="419">
        <f>ROUND(+J1534+M1534+T1534,4)</f>
        <v>0</v>
      </c>
      <c r="V1534" s="235"/>
    </row>
    <row r="1535" spans="1:22" ht="15.75" x14ac:dyDescent="0.25">
      <c r="A1535" s="231"/>
      <c r="B1535" s="232"/>
      <c r="C1535" s="400"/>
      <c r="D1535" s="233"/>
      <c r="E1535" s="405"/>
      <c r="F1535" s="405"/>
      <c r="G1535" s="405"/>
      <c r="H1535" s="408">
        <f>ROUND(+E1535+F1535+G1535,4)</f>
        <v>0</v>
      </c>
      <c r="I1535" s="234"/>
      <c r="J1535" s="411"/>
      <c r="K1535" s="411"/>
      <c r="L1535" s="414">
        <v>0.1</v>
      </c>
      <c r="M1535" s="414">
        <f>ROUND(+L1535*C1535,4)</f>
        <v>0</v>
      </c>
      <c r="N1535" s="414"/>
      <c r="O1535" s="414"/>
      <c r="P1535" s="414"/>
      <c r="Q1535" s="419">
        <f>ROUND(+N1535+O1535+P1535,4)</f>
        <v>0</v>
      </c>
      <c r="R1535" s="419">
        <f>ROUND(IF(+Q1535-H1535&lt;=0,0,Q1535-H1535),4)</f>
        <v>0</v>
      </c>
      <c r="S1535" s="423">
        <v>0.5</v>
      </c>
      <c r="T1535" s="419">
        <f>ROUND(+(R1535*C1535)*S1535,4)</f>
        <v>0</v>
      </c>
      <c r="U1535" s="419">
        <f>ROUND(+J1535+M1535+T1535,4)</f>
        <v>0</v>
      </c>
      <c r="V1535" s="235"/>
    </row>
    <row r="1536" spans="1:22" ht="15.75" x14ac:dyDescent="0.25">
      <c r="A1536" s="231"/>
      <c r="B1536" s="232"/>
      <c r="C1536" s="400"/>
      <c r="D1536" s="233"/>
      <c r="E1536" s="405"/>
      <c r="F1536" s="405"/>
      <c r="G1536" s="405"/>
      <c r="H1536" s="408">
        <f>ROUND(+E1536+F1536+G1536,4)</f>
        <v>0</v>
      </c>
      <c r="I1536" s="234"/>
      <c r="J1536" s="411"/>
      <c r="K1536" s="411"/>
      <c r="L1536" s="414">
        <v>0.1</v>
      </c>
      <c r="M1536" s="414">
        <f>ROUND(+L1536*C1536,4)</f>
        <v>0</v>
      </c>
      <c r="N1536" s="414"/>
      <c r="O1536" s="414"/>
      <c r="P1536" s="414"/>
      <c r="Q1536" s="419">
        <f>ROUND(+N1536+O1536+P1536,4)</f>
        <v>0</v>
      </c>
      <c r="R1536" s="419">
        <f>ROUND(IF(+Q1536-H1536&lt;=0,0,Q1536-H1536),4)</f>
        <v>0</v>
      </c>
      <c r="S1536" s="423">
        <v>0.5</v>
      </c>
      <c r="T1536" s="419">
        <f>ROUND(+(R1536*C1536)*S1536,4)</f>
        <v>0</v>
      </c>
      <c r="U1536" s="419">
        <f>ROUND(+J1536+M1536+T1536,4)</f>
        <v>0</v>
      </c>
      <c r="V1536" s="235"/>
    </row>
    <row r="1537" spans="1:22" ht="15.75" x14ac:dyDescent="0.25">
      <c r="A1537" s="231"/>
      <c r="B1537" s="232"/>
      <c r="C1537" s="400"/>
      <c r="D1537" s="233"/>
      <c r="E1537" s="405"/>
      <c r="F1537" s="405"/>
      <c r="G1537" s="405"/>
      <c r="H1537" s="408">
        <f>ROUND(+E1537+F1537+G1537,4)</f>
        <v>0</v>
      </c>
      <c r="I1537" s="234"/>
      <c r="J1537" s="411"/>
      <c r="K1537" s="411"/>
      <c r="L1537" s="414">
        <v>0.1</v>
      </c>
      <c r="M1537" s="414">
        <f>ROUND(+L1537*C1537,4)</f>
        <v>0</v>
      </c>
      <c r="N1537" s="414"/>
      <c r="O1537" s="414"/>
      <c r="P1537" s="414"/>
      <c r="Q1537" s="419">
        <f>ROUND(+N1537+O1537+P1537,4)</f>
        <v>0</v>
      </c>
      <c r="R1537" s="419">
        <f>ROUND(IF(+Q1537-H1537&lt;=0,0,Q1537-H1537),4)</f>
        <v>0</v>
      </c>
      <c r="S1537" s="423">
        <v>0.5</v>
      </c>
      <c r="T1537" s="419">
        <f>ROUND(+(R1537*C1537)*S1537,4)</f>
        <v>0</v>
      </c>
      <c r="U1537" s="419">
        <f>ROUND(+J1537+M1537+T1537,4)</f>
        <v>0</v>
      </c>
      <c r="V1537" s="235"/>
    </row>
    <row r="1538" spans="1:22" ht="15.75" x14ac:dyDescent="0.25">
      <c r="A1538" s="231"/>
      <c r="B1538" s="232"/>
      <c r="C1538" s="400"/>
      <c r="D1538" s="233"/>
      <c r="E1538" s="405"/>
      <c r="F1538" s="405"/>
      <c r="G1538" s="405"/>
      <c r="H1538" s="408">
        <f>ROUND(+E1538+F1538+G1538,4)</f>
        <v>0</v>
      </c>
      <c r="I1538" s="234"/>
      <c r="J1538" s="411"/>
      <c r="K1538" s="411"/>
      <c r="L1538" s="414">
        <v>0.1</v>
      </c>
      <c r="M1538" s="414">
        <f>ROUND(+L1538*C1538,4)</f>
        <v>0</v>
      </c>
      <c r="N1538" s="414"/>
      <c r="O1538" s="414"/>
      <c r="P1538" s="414"/>
      <c r="Q1538" s="419">
        <f>ROUND(+N1538+O1538+P1538,4)</f>
        <v>0</v>
      </c>
      <c r="R1538" s="419">
        <f>ROUND(IF(+Q1538-H1538&lt;=0,0,Q1538-H1538),4)</f>
        <v>0</v>
      </c>
      <c r="S1538" s="423">
        <v>0.5</v>
      </c>
      <c r="T1538" s="419">
        <f>ROUND(+(R1538*C1538)*S1538,4)</f>
        <v>0</v>
      </c>
      <c r="U1538" s="419">
        <f>ROUND(+J1538+M1538+T1538,4)</f>
        <v>0</v>
      </c>
      <c r="V1538" s="235"/>
    </row>
    <row r="1539" spans="1:22" ht="15.75" x14ac:dyDescent="0.25">
      <c r="A1539" s="231"/>
      <c r="B1539" s="232"/>
      <c r="C1539" s="400"/>
      <c r="D1539" s="233"/>
      <c r="E1539" s="405"/>
      <c r="F1539" s="405"/>
      <c r="G1539" s="405"/>
      <c r="H1539" s="408">
        <f>ROUND(+E1539+F1539+G1539,4)</f>
        <v>0</v>
      </c>
      <c r="I1539" s="234"/>
      <c r="J1539" s="411"/>
      <c r="K1539" s="411"/>
      <c r="L1539" s="414">
        <v>0.1</v>
      </c>
      <c r="M1539" s="414">
        <f>ROUND(+L1539*C1539,4)</f>
        <v>0</v>
      </c>
      <c r="N1539" s="414"/>
      <c r="O1539" s="414"/>
      <c r="P1539" s="414"/>
      <c r="Q1539" s="419">
        <f>ROUND(+N1539+O1539+P1539,4)</f>
        <v>0</v>
      </c>
      <c r="R1539" s="419">
        <f>ROUND(IF(+Q1539-H1539&lt;=0,0,Q1539-H1539),4)</f>
        <v>0</v>
      </c>
      <c r="S1539" s="423">
        <v>0.5</v>
      </c>
      <c r="T1539" s="419">
        <f>ROUND(+(R1539*C1539)*S1539,4)</f>
        <v>0</v>
      </c>
      <c r="U1539" s="419">
        <f>ROUND(+J1539+M1539+T1539,4)</f>
        <v>0</v>
      </c>
      <c r="V1539" s="235"/>
    </row>
    <row r="1540" spans="1:22" ht="15.75" x14ac:dyDescent="0.25">
      <c r="A1540" s="231"/>
      <c r="B1540" s="232"/>
      <c r="C1540" s="400"/>
      <c r="D1540" s="233"/>
      <c r="E1540" s="405"/>
      <c r="F1540" s="405"/>
      <c r="G1540" s="405"/>
      <c r="H1540" s="408">
        <f>ROUND(+E1540+F1540+G1540,4)</f>
        <v>0</v>
      </c>
      <c r="I1540" s="234"/>
      <c r="J1540" s="411"/>
      <c r="K1540" s="411"/>
      <c r="L1540" s="414">
        <v>0.1</v>
      </c>
      <c r="M1540" s="414">
        <f>ROUND(+L1540*C1540,4)</f>
        <v>0</v>
      </c>
      <c r="N1540" s="414"/>
      <c r="O1540" s="414"/>
      <c r="P1540" s="414"/>
      <c r="Q1540" s="419">
        <f>ROUND(+N1540+O1540+P1540,4)</f>
        <v>0</v>
      </c>
      <c r="R1540" s="419">
        <f>ROUND(IF(+Q1540-H1540&lt;=0,0,Q1540-H1540),4)</f>
        <v>0</v>
      </c>
      <c r="S1540" s="423">
        <v>0.5</v>
      </c>
      <c r="T1540" s="419">
        <f>ROUND(+(R1540*C1540)*S1540,4)</f>
        <v>0</v>
      </c>
      <c r="U1540" s="419">
        <f>ROUND(+J1540+M1540+T1540,4)</f>
        <v>0</v>
      </c>
      <c r="V1540" s="235"/>
    </row>
    <row r="1541" spans="1:22" ht="15.75" x14ac:dyDescent="0.25">
      <c r="A1541" s="231"/>
      <c r="B1541" s="232"/>
      <c r="C1541" s="400"/>
      <c r="D1541" s="233"/>
      <c r="E1541" s="405"/>
      <c r="F1541" s="405"/>
      <c r="G1541" s="405"/>
      <c r="H1541" s="408">
        <f>ROUND(+E1541+F1541+G1541,4)</f>
        <v>0</v>
      </c>
      <c r="I1541" s="234"/>
      <c r="J1541" s="411"/>
      <c r="K1541" s="411"/>
      <c r="L1541" s="414">
        <v>0.1</v>
      </c>
      <c r="M1541" s="414">
        <f>ROUND(+L1541*C1541,4)</f>
        <v>0</v>
      </c>
      <c r="N1541" s="414"/>
      <c r="O1541" s="414"/>
      <c r="P1541" s="414"/>
      <c r="Q1541" s="419">
        <f>ROUND(+N1541+O1541+P1541,4)</f>
        <v>0</v>
      </c>
      <c r="R1541" s="419">
        <f>ROUND(IF(+Q1541-H1541&lt;=0,0,Q1541-H1541),4)</f>
        <v>0</v>
      </c>
      <c r="S1541" s="423">
        <v>0.5</v>
      </c>
      <c r="T1541" s="419">
        <f>ROUND(+(R1541*C1541)*S1541,4)</f>
        <v>0</v>
      </c>
      <c r="U1541" s="419">
        <f>ROUND(+J1541+M1541+T1541,4)</f>
        <v>0</v>
      </c>
      <c r="V1541" s="235"/>
    </row>
    <row r="1542" spans="1:22" ht="15.75" x14ac:dyDescent="0.25">
      <c r="A1542" s="231"/>
      <c r="B1542" s="232"/>
      <c r="C1542" s="400"/>
      <c r="D1542" s="233"/>
      <c r="E1542" s="405"/>
      <c r="F1542" s="405"/>
      <c r="G1542" s="405"/>
      <c r="H1542" s="408">
        <f>ROUND(+E1542+F1542+G1542,4)</f>
        <v>0</v>
      </c>
      <c r="I1542" s="234"/>
      <c r="J1542" s="411"/>
      <c r="K1542" s="411"/>
      <c r="L1542" s="414">
        <v>0.1</v>
      </c>
      <c r="M1542" s="414">
        <f>ROUND(+L1542*C1542,4)</f>
        <v>0</v>
      </c>
      <c r="N1542" s="414"/>
      <c r="O1542" s="414"/>
      <c r="P1542" s="414"/>
      <c r="Q1542" s="419">
        <f>ROUND(+N1542+O1542+P1542,4)</f>
        <v>0</v>
      </c>
      <c r="R1542" s="419">
        <f>ROUND(IF(+Q1542-H1542&lt;=0,0,Q1542-H1542),4)</f>
        <v>0</v>
      </c>
      <c r="S1542" s="423">
        <v>0.5</v>
      </c>
      <c r="T1542" s="419">
        <f>ROUND(+(R1542*C1542)*S1542,4)</f>
        <v>0</v>
      </c>
      <c r="U1542" s="419">
        <f>ROUND(+J1542+M1542+T1542,4)</f>
        <v>0</v>
      </c>
      <c r="V1542" s="235"/>
    </row>
    <row r="1543" spans="1:22" ht="15.75" x14ac:dyDescent="0.25">
      <c r="A1543" s="231"/>
      <c r="B1543" s="232"/>
      <c r="C1543" s="400"/>
      <c r="D1543" s="233"/>
      <c r="E1543" s="405"/>
      <c r="F1543" s="405"/>
      <c r="G1543" s="405"/>
      <c r="H1543" s="408">
        <f>ROUND(+E1543+F1543+G1543,4)</f>
        <v>0</v>
      </c>
      <c r="I1543" s="234"/>
      <c r="J1543" s="411"/>
      <c r="K1543" s="411"/>
      <c r="L1543" s="414">
        <v>0.1</v>
      </c>
      <c r="M1543" s="414">
        <f>ROUND(+L1543*C1543,4)</f>
        <v>0</v>
      </c>
      <c r="N1543" s="414"/>
      <c r="O1543" s="414"/>
      <c r="P1543" s="414"/>
      <c r="Q1543" s="419">
        <f>ROUND(+N1543+O1543+P1543,4)</f>
        <v>0</v>
      </c>
      <c r="R1543" s="419">
        <f>ROUND(IF(+Q1543-H1543&lt;=0,0,Q1543-H1543),4)</f>
        <v>0</v>
      </c>
      <c r="S1543" s="423">
        <v>0.5</v>
      </c>
      <c r="T1543" s="419">
        <f>ROUND(+(R1543*C1543)*S1543,4)</f>
        <v>0</v>
      </c>
      <c r="U1543" s="419">
        <f>ROUND(+J1543+M1543+T1543,4)</f>
        <v>0</v>
      </c>
      <c r="V1543" s="235"/>
    </row>
    <row r="1544" spans="1:22" ht="15.75" x14ac:dyDescent="0.25">
      <c r="A1544" s="231"/>
      <c r="B1544" s="232"/>
      <c r="C1544" s="400"/>
      <c r="D1544" s="233"/>
      <c r="E1544" s="405"/>
      <c r="F1544" s="405"/>
      <c r="G1544" s="405"/>
      <c r="H1544" s="408">
        <f>ROUND(+E1544+F1544+G1544,4)</f>
        <v>0</v>
      </c>
      <c r="I1544" s="234"/>
      <c r="J1544" s="411"/>
      <c r="K1544" s="411"/>
      <c r="L1544" s="414">
        <v>0.1</v>
      </c>
      <c r="M1544" s="414">
        <f>ROUND(+L1544*C1544,4)</f>
        <v>0</v>
      </c>
      <c r="N1544" s="414"/>
      <c r="O1544" s="414"/>
      <c r="P1544" s="414"/>
      <c r="Q1544" s="419">
        <f>ROUND(+N1544+O1544+P1544,4)</f>
        <v>0</v>
      </c>
      <c r="R1544" s="419">
        <f>ROUND(IF(+Q1544-H1544&lt;=0,0,Q1544-H1544),4)</f>
        <v>0</v>
      </c>
      <c r="S1544" s="423">
        <v>0.5</v>
      </c>
      <c r="T1544" s="419">
        <f>ROUND(+(R1544*C1544)*S1544,4)</f>
        <v>0</v>
      </c>
      <c r="U1544" s="419">
        <f>ROUND(+J1544+M1544+T1544,4)</f>
        <v>0</v>
      </c>
      <c r="V1544" s="235"/>
    </row>
    <row r="1545" spans="1:22" ht="15.75" x14ac:dyDescent="0.25">
      <c r="A1545" s="231"/>
      <c r="B1545" s="232"/>
      <c r="C1545" s="400"/>
      <c r="D1545" s="233"/>
      <c r="E1545" s="405"/>
      <c r="F1545" s="405"/>
      <c r="G1545" s="405"/>
      <c r="H1545" s="408">
        <f>ROUND(+E1545+F1545+G1545,4)</f>
        <v>0</v>
      </c>
      <c r="I1545" s="234"/>
      <c r="J1545" s="411"/>
      <c r="K1545" s="411"/>
      <c r="L1545" s="414">
        <v>0.1</v>
      </c>
      <c r="M1545" s="414">
        <f>ROUND(+L1545*C1545,4)</f>
        <v>0</v>
      </c>
      <c r="N1545" s="414"/>
      <c r="O1545" s="414"/>
      <c r="P1545" s="414"/>
      <c r="Q1545" s="419">
        <f>ROUND(+N1545+O1545+P1545,4)</f>
        <v>0</v>
      </c>
      <c r="R1545" s="419">
        <f>ROUND(IF(+Q1545-H1545&lt;=0,0,Q1545-H1545),4)</f>
        <v>0</v>
      </c>
      <c r="S1545" s="423">
        <v>0.5</v>
      </c>
      <c r="T1545" s="419">
        <f>ROUND(+(R1545*C1545)*S1545,4)</f>
        <v>0</v>
      </c>
      <c r="U1545" s="419">
        <f>ROUND(+J1545+M1545+T1545,4)</f>
        <v>0</v>
      </c>
      <c r="V1545" s="235"/>
    </row>
    <row r="1546" spans="1:22" ht="15.75" x14ac:dyDescent="0.25">
      <c r="A1546" s="231"/>
      <c r="B1546" s="232"/>
      <c r="C1546" s="400"/>
      <c r="D1546" s="233"/>
      <c r="E1546" s="405"/>
      <c r="F1546" s="405"/>
      <c r="G1546" s="405"/>
      <c r="H1546" s="408">
        <f>ROUND(+E1546+F1546+G1546,4)</f>
        <v>0</v>
      </c>
      <c r="I1546" s="234"/>
      <c r="J1546" s="411"/>
      <c r="K1546" s="411"/>
      <c r="L1546" s="414">
        <v>0.1</v>
      </c>
      <c r="M1546" s="414">
        <f>ROUND(+L1546*C1546,4)</f>
        <v>0</v>
      </c>
      <c r="N1546" s="414"/>
      <c r="O1546" s="414"/>
      <c r="P1546" s="414"/>
      <c r="Q1546" s="419">
        <f>ROUND(+N1546+O1546+P1546,4)</f>
        <v>0</v>
      </c>
      <c r="R1546" s="419">
        <f>ROUND(IF(+Q1546-H1546&lt;=0,0,Q1546-H1546),4)</f>
        <v>0</v>
      </c>
      <c r="S1546" s="423">
        <v>0.5</v>
      </c>
      <c r="T1546" s="419">
        <f>ROUND(+(R1546*C1546)*S1546,4)</f>
        <v>0</v>
      </c>
      <c r="U1546" s="419">
        <f>ROUND(+J1546+M1546+T1546,4)</f>
        <v>0</v>
      </c>
      <c r="V1546" s="235"/>
    </row>
    <row r="1547" spans="1:22" ht="15.75" x14ac:dyDescent="0.25">
      <c r="A1547" s="231"/>
      <c r="B1547" s="232"/>
      <c r="C1547" s="400"/>
      <c r="D1547" s="233"/>
      <c r="E1547" s="405"/>
      <c r="F1547" s="405"/>
      <c r="G1547" s="405"/>
      <c r="H1547" s="408">
        <f>ROUND(+E1547+F1547+G1547,4)</f>
        <v>0</v>
      </c>
      <c r="I1547" s="234"/>
      <c r="J1547" s="411"/>
      <c r="K1547" s="411"/>
      <c r="L1547" s="414">
        <v>0.1</v>
      </c>
      <c r="M1547" s="414">
        <f>ROUND(+L1547*C1547,4)</f>
        <v>0</v>
      </c>
      <c r="N1547" s="414"/>
      <c r="O1547" s="414"/>
      <c r="P1547" s="414"/>
      <c r="Q1547" s="419">
        <f>ROUND(+N1547+O1547+P1547,4)</f>
        <v>0</v>
      </c>
      <c r="R1547" s="419">
        <f>ROUND(IF(+Q1547-H1547&lt;=0,0,Q1547-H1547),4)</f>
        <v>0</v>
      </c>
      <c r="S1547" s="423">
        <v>0.5</v>
      </c>
      <c r="T1547" s="419">
        <f>ROUND(+(R1547*C1547)*S1547,4)</f>
        <v>0</v>
      </c>
      <c r="U1547" s="419">
        <f>ROUND(+J1547+M1547+T1547,4)</f>
        <v>0</v>
      </c>
      <c r="V1547" s="235"/>
    </row>
    <row r="1548" spans="1:22" ht="15.75" x14ac:dyDescent="0.25">
      <c r="A1548" s="231"/>
      <c r="B1548" s="232"/>
      <c r="C1548" s="400"/>
      <c r="D1548" s="233"/>
      <c r="E1548" s="405"/>
      <c r="F1548" s="405"/>
      <c r="G1548" s="405"/>
      <c r="H1548" s="408">
        <f>ROUND(+E1548+F1548+G1548,4)</f>
        <v>0</v>
      </c>
      <c r="I1548" s="234"/>
      <c r="J1548" s="411"/>
      <c r="K1548" s="411"/>
      <c r="L1548" s="414">
        <v>0.1</v>
      </c>
      <c r="M1548" s="414">
        <f>ROUND(+L1548*C1548,4)</f>
        <v>0</v>
      </c>
      <c r="N1548" s="414"/>
      <c r="O1548" s="414"/>
      <c r="P1548" s="414"/>
      <c r="Q1548" s="419">
        <f>ROUND(+N1548+O1548+P1548,4)</f>
        <v>0</v>
      </c>
      <c r="R1548" s="419">
        <f>ROUND(IF(+Q1548-H1548&lt;=0,0,Q1548-H1548),4)</f>
        <v>0</v>
      </c>
      <c r="S1548" s="423">
        <v>0.5</v>
      </c>
      <c r="T1548" s="419">
        <f>ROUND(+(R1548*C1548)*S1548,4)</f>
        <v>0</v>
      </c>
      <c r="U1548" s="419">
        <f>ROUND(+J1548+M1548+T1548,4)</f>
        <v>0</v>
      </c>
      <c r="V1548" s="235"/>
    </row>
    <row r="1549" spans="1:22" ht="15.75" x14ac:dyDescent="0.25">
      <c r="A1549" s="231"/>
      <c r="B1549" s="232"/>
      <c r="C1549" s="400"/>
      <c r="D1549" s="233"/>
      <c r="E1549" s="405"/>
      <c r="F1549" s="405"/>
      <c r="G1549" s="405"/>
      <c r="H1549" s="408">
        <f>ROUND(+E1549+F1549+G1549,4)</f>
        <v>0</v>
      </c>
      <c r="I1549" s="234"/>
      <c r="J1549" s="411"/>
      <c r="K1549" s="411"/>
      <c r="L1549" s="414">
        <v>0.1</v>
      </c>
      <c r="M1549" s="414">
        <f>ROUND(+L1549*C1549,4)</f>
        <v>0</v>
      </c>
      <c r="N1549" s="414"/>
      <c r="O1549" s="414"/>
      <c r="P1549" s="414"/>
      <c r="Q1549" s="419">
        <f>ROUND(+N1549+O1549+P1549,4)</f>
        <v>0</v>
      </c>
      <c r="R1549" s="419">
        <f>ROUND(IF(+Q1549-H1549&lt;=0,0,Q1549-H1549),4)</f>
        <v>0</v>
      </c>
      <c r="S1549" s="423">
        <v>0.5</v>
      </c>
      <c r="T1549" s="419">
        <f>ROUND(+(R1549*C1549)*S1549,4)</f>
        <v>0</v>
      </c>
      <c r="U1549" s="419">
        <f>ROUND(+J1549+M1549+T1549,4)</f>
        <v>0</v>
      </c>
      <c r="V1549" s="235"/>
    </row>
    <row r="1550" spans="1:22" ht="15.75" x14ac:dyDescent="0.25">
      <c r="A1550" s="231"/>
      <c r="B1550" s="232"/>
      <c r="C1550" s="400"/>
      <c r="D1550" s="233"/>
      <c r="E1550" s="405"/>
      <c r="F1550" s="405"/>
      <c r="G1550" s="405"/>
      <c r="H1550" s="408">
        <f>ROUND(+E1550+F1550+G1550,4)</f>
        <v>0</v>
      </c>
      <c r="I1550" s="234"/>
      <c r="J1550" s="411"/>
      <c r="K1550" s="411"/>
      <c r="L1550" s="414">
        <v>0.1</v>
      </c>
      <c r="M1550" s="414">
        <f>ROUND(+L1550*C1550,4)</f>
        <v>0</v>
      </c>
      <c r="N1550" s="414"/>
      <c r="O1550" s="414"/>
      <c r="P1550" s="414"/>
      <c r="Q1550" s="419">
        <f>ROUND(+N1550+O1550+P1550,4)</f>
        <v>0</v>
      </c>
      <c r="R1550" s="419">
        <f>ROUND(IF(+Q1550-H1550&lt;=0,0,Q1550-H1550),4)</f>
        <v>0</v>
      </c>
      <c r="S1550" s="423">
        <v>0.5</v>
      </c>
      <c r="T1550" s="419">
        <f>ROUND(+(R1550*C1550)*S1550,4)</f>
        <v>0</v>
      </c>
      <c r="U1550" s="419">
        <f>ROUND(+J1550+M1550+T1550,4)</f>
        <v>0</v>
      </c>
      <c r="V1550" s="235"/>
    </row>
    <row r="1551" spans="1:22" ht="15.75" x14ac:dyDescent="0.25">
      <c r="A1551" s="231"/>
      <c r="B1551" s="232"/>
      <c r="C1551" s="400"/>
      <c r="D1551" s="233"/>
      <c r="E1551" s="405"/>
      <c r="F1551" s="405"/>
      <c r="G1551" s="405"/>
      <c r="H1551" s="408">
        <f>ROUND(+E1551+F1551+G1551,4)</f>
        <v>0</v>
      </c>
      <c r="I1551" s="234"/>
      <c r="J1551" s="411"/>
      <c r="K1551" s="411"/>
      <c r="L1551" s="414">
        <v>0.1</v>
      </c>
      <c r="M1551" s="414">
        <f>ROUND(+L1551*C1551,4)</f>
        <v>0</v>
      </c>
      <c r="N1551" s="414"/>
      <c r="O1551" s="414"/>
      <c r="P1551" s="414"/>
      <c r="Q1551" s="419">
        <f>ROUND(+N1551+O1551+P1551,4)</f>
        <v>0</v>
      </c>
      <c r="R1551" s="419">
        <f>ROUND(IF(+Q1551-H1551&lt;=0,0,Q1551-H1551),4)</f>
        <v>0</v>
      </c>
      <c r="S1551" s="423">
        <v>0.5</v>
      </c>
      <c r="T1551" s="419">
        <f>ROUND(+(R1551*C1551)*S1551,4)</f>
        <v>0</v>
      </c>
      <c r="U1551" s="419">
        <f>ROUND(+J1551+M1551+T1551,4)</f>
        <v>0</v>
      </c>
      <c r="V1551" s="235"/>
    </row>
    <row r="1552" spans="1:22" ht="15.75" x14ac:dyDescent="0.25">
      <c r="A1552" s="231"/>
      <c r="B1552" s="232"/>
      <c r="C1552" s="400"/>
      <c r="D1552" s="233"/>
      <c r="E1552" s="405"/>
      <c r="F1552" s="405"/>
      <c r="G1552" s="405"/>
      <c r="H1552" s="408">
        <f>ROUND(+E1552+F1552+G1552,4)</f>
        <v>0</v>
      </c>
      <c r="I1552" s="234"/>
      <c r="J1552" s="411"/>
      <c r="K1552" s="411"/>
      <c r="L1552" s="414">
        <v>0.1</v>
      </c>
      <c r="M1552" s="414">
        <f>ROUND(+L1552*C1552,4)</f>
        <v>0</v>
      </c>
      <c r="N1552" s="414"/>
      <c r="O1552" s="414"/>
      <c r="P1552" s="414"/>
      <c r="Q1552" s="419">
        <f>ROUND(+N1552+O1552+P1552,4)</f>
        <v>0</v>
      </c>
      <c r="R1552" s="419">
        <f>ROUND(IF(+Q1552-H1552&lt;=0,0,Q1552-H1552),4)</f>
        <v>0</v>
      </c>
      <c r="S1552" s="423">
        <v>0.5</v>
      </c>
      <c r="T1552" s="419">
        <f>ROUND(+(R1552*C1552)*S1552,4)</f>
        <v>0</v>
      </c>
      <c r="U1552" s="419">
        <f>ROUND(+J1552+M1552+T1552,4)</f>
        <v>0</v>
      </c>
      <c r="V1552" s="235"/>
    </row>
    <row r="1553" spans="1:22" ht="15.75" x14ac:dyDescent="0.25">
      <c r="A1553" s="231"/>
      <c r="B1553" s="232"/>
      <c r="C1553" s="400"/>
      <c r="D1553" s="233"/>
      <c r="E1553" s="405"/>
      <c r="F1553" s="405"/>
      <c r="G1553" s="405"/>
      <c r="H1553" s="408">
        <f>ROUND(+E1553+F1553+G1553,4)</f>
        <v>0</v>
      </c>
      <c r="I1553" s="234"/>
      <c r="J1553" s="411"/>
      <c r="K1553" s="411"/>
      <c r="L1553" s="414">
        <v>0.1</v>
      </c>
      <c r="M1553" s="414">
        <f>ROUND(+L1553*C1553,4)</f>
        <v>0</v>
      </c>
      <c r="N1553" s="414"/>
      <c r="O1553" s="414"/>
      <c r="P1553" s="414"/>
      <c r="Q1553" s="419">
        <f>ROUND(+N1553+O1553+P1553,4)</f>
        <v>0</v>
      </c>
      <c r="R1553" s="419">
        <f>ROUND(IF(+Q1553-H1553&lt;=0,0,Q1553-H1553),4)</f>
        <v>0</v>
      </c>
      <c r="S1553" s="423">
        <v>0.5</v>
      </c>
      <c r="T1553" s="419">
        <f>ROUND(+(R1553*C1553)*S1553,4)</f>
        <v>0</v>
      </c>
      <c r="U1553" s="419">
        <f>ROUND(+J1553+M1553+T1553,4)</f>
        <v>0</v>
      </c>
      <c r="V1553" s="235"/>
    </row>
    <row r="1554" spans="1:22" ht="15.75" x14ac:dyDescent="0.25">
      <c r="A1554" s="231"/>
      <c r="B1554" s="232"/>
      <c r="C1554" s="400"/>
      <c r="D1554" s="233"/>
      <c r="E1554" s="405"/>
      <c r="F1554" s="405"/>
      <c r="G1554" s="405"/>
      <c r="H1554" s="408">
        <f>ROUND(+E1554+F1554+G1554,4)</f>
        <v>0</v>
      </c>
      <c r="I1554" s="234"/>
      <c r="J1554" s="411"/>
      <c r="K1554" s="411"/>
      <c r="L1554" s="414">
        <v>0.1</v>
      </c>
      <c r="M1554" s="414">
        <f>ROUND(+L1554*C1554,4)</f>
        <v>0</v>
      </c>
      <c r="N1554" s="414"/>
      <c r="O1554" s="414"/>
      <c r="P1554" s="414"/>
      <c r="Q1554" s="419">
        <f>ROUND(+N1554+O1554+P1554,4)</f>
        <v>0</v>
      </c>
      <c r="R1554" s="419">
        <f>ROUND(IF(+Q1554-H1554&lt;=0,0,Q1554-H1554),4)</f>
        <v>0</v>
      </c>
      <c r="S1554" s="423">
        <v>0.5</v>
      </c>
      <c r="T1554" s="419">
        <f>ROUND(+(R1554*C1554)*S1554,4)</f>
        <v>0</v>
      </c>
      <c r="U1554" s="419">
        <f>ROUND(+J1554+M1554+T1554,4)</f>
        <v>0</v>
      </c>
      <c r="V1554" s="235"/>
    </row>
    <row r="1555" spans="1:22" ht="15.75" x14ac:dyDescent="0.25">
      <c r="A1555" s="231"/>
      <c r="B1555" s="232"/>
      <c r="C1555" s="400"/>
      <c r="D1555" s="233"/>
      <c r="E1555" s="405"/>
      <c r="F1555" s="405"/>
      <c r="G1555" s="405"/>
      <c r="H1555" s="408">
        <f>ROUND(+E1555+F1555+G1555,4)</f>
        <v>0</v>
      </c>
      <c r="I1555" s="234"/>
      <c r="J1555" s="411"/>
      <c r="K1555" s="411"/>
      <c r="L1555" s="414">
        <v>0.1</v>
      </c>
      <c r="M1555" s="414">
        <f>ROUND(+L1555*C1555,4)</f>
        <v>0</v>
      </c>
      <c r="N1555" s="414"/>
      <c r="O1555" s="414"/>
      <c r="P1555" s="414"/>
      <c r="Q1555" s="419">
        <f>ROUND(+N1555+O1555+P1555,4)</f>
        <v>0</v>
      </c>
      <c r="R1555" s="419">
        <f>ROUND(IF(+Q1555-H1555&lt;=0,0,Q1555-H1555),4)</f>
        <v>0</v>
      </c>
      <c r="S1555" s="423">
        <v>0.5</v>
      </c>
      <c r="T1555" s="419">
        <f>ROUND(+(R1555*C1555)*S1555,4)</f>
        <v>0</v>
      </c>
      <c r="U1555" s="419">
        <f>ROUND(+J1555+M1555+T1555,4)</f>
        <v>0</v>
      </c>
      <c r="V1555" s="235"/>
    </row>
    <row r="1556" spans="1:22" ht="15.75" x14ac:dyDescent="0.25">
      <c r="A1556" s="231"/>
      <c r="B1556" s="232"/>
      <c r="C1556" s="400"/>
      <c r="D1556" s="233"/>
      <c r="E1556" s="405"/>
      <c r="F1556" s="405"/>
      <c r="G1556" s="405"/>
      <c r="H1556" s="408">
        <f>ROUND(+E1556+F1556+G1556,4)</f>
        <v>0</v>
      </c>
      <c r="I1556" s="234"/>
      <c r="J1556" s="411"/>
      <c r="K1556" s="411"/>
      <c r="L1556" s="414">
        <v>0.1</v>
      </c>
      <c r="M1556" s="414">
        <f>ROUND(+L1556*C1556,4)</f>
        <v>0</v>
      </c>
      <c r="N1556" s="414"/>
      <c r="O1556" s="414"/>
      <c r="P1556" s="414"/>
      <c r="Q1556" s="419">
        <f>ROUND(+N1556+O1556+P1556,4)</f>
        <v>0</v>
      </c>
      <c r="R1556" s="419">
        <f>ROUND(IF(+Q1556-H1556&lt;=0,0,Q1556-H1556),4)</f>
        <v>0</v>
      </c>
      <c r="S1556" s="423">
        <v>0.5</v>
      </c>
      <c r="T1556" s="419">
        <f>ROUND(+(R1556*C1556)*S1556,4)</f>
        <v>0</v>
      </c>
      <c r="U1556" s="419">
        <f>ROUND(+J1556+M1556+T1556,4)</f>
        <v>0</v>
      </c>
      <c r="V1556" s="235"/>
    </row>
    <row r="1557" spans="1:22" ht="15.75" x14ac:dyDescent="0.25">
      <c r="A1557" s="231"/>
      <c r="B1557" s="232"/>
      <c r="C1557" s="400"/>
      <c r="D1557" s="233"/>
      <c r="E1557" s="405"/>
      <c r="F1557" s="405"/>
      <c r="G1557" s="405"/>
      <c r="H1557" s="408">
        <f>ROUND(+E1557+F1557+G1557,4)</f>
        <v>0</v>
      </c>
      <c r="I1557" s="234"/>
      <c r="J1557" s="411"/>
      <c r="K1557" s="411"/>
      <c r="L1557" s="414">
        <v>0.1</v>
      </c>
      <c r="M1557" s="414">
        <f>ROUND(+L1557*C1557,4)</f>
        <v>0</v>
      </c>
      <c r="N1557" s="414"/>
      <c r="O1557" s="414"/>
      <c r="P1557" s="414"/>
      <c r="Q1557" s="419">
        <f>ROUND(+N1557+O1557+P1557,4)</f>
        <v>0</v>
      </c>
      <c r="R1557" s="419">
        <f>ROUND(IF(+Q1557-H1557&lt;=0,0,Q1557-H1557),4)</f>
        <v>0</v>
      </c>
      <c r="S1557" s="423">
        <v>0.5</v>
      </c>
      <c r="T1557" s="419">
        <f>ROUND(+(R1557*C1557)*S1557,4)</f>
        <v>0</v>
      </c>
      <c r="U1557" s="419">
        <f>ROUND(+J1557+M1557+T1557,4)</f>
        <v>0</v>
      </c>
      <c r="V1557" s="235"/>
    </row>
    <row r="1558" spans="1:22" ht="15.75" x14ac:dyDescent="0.25">
      <c r="A1558" s="231"/>
      <c r="B1558" s="232"/>
      <c r="C1558" s="400"/>
      <c r="D1558" s="233"/>
      <c r="E1558" s="405"/>
      <c r="F1558" s="405"/>
      <c r="G1558" s="405"/>
      <c r="H1558" s="408">
        <f>ROUND(+E1558+F1558+G1558,4)</f>
        <v>0</v>
      </c>
      <c r="I1558" s="234"/>
      <c r="J1558" s="411"/>
      <c r="K1558" s="411"/>
      <c r="L1558" s="414">
        <v>0.1</v>
      </c>
      <c r="M1558" s="414">
        <f>ROUND(+L1558*C1558,4)</f>
        <v>0</v>
      </c>
      <c r="N1558" s="414"/>
      <c r="O1558" s="414"/>
      <c r="P1558" s="414"/>
      <c r="Q1558" s="419">
        <f>ROUND(+N1558+O1558+P1558,4)</f>
        <v>0</v>
      </c>
      <c r="R1558" s="419">
        <f>ROUND(IF(+Q1558-H1558&lt;=0,0,Q1558-H1558),4)</f>
        <v>0</v>
      </c>
      <c r="S1558" s="423">
        <v>0.5</v>
      </c>
      <c r="T1558" s="419">
        <f>ROUND(+(R1558*C1558)*S1558,4)</f>
        <v>0</v>
      </c>
      <c r="U1558" s="419">
        <f>ROUND(+J1558+M1558+T1558,4)</f>
        <v>0</v>
      </c>
      <c r="V1558" s="235"/>
    </row>
    <row r="1559" spans="1:22" ht="15.75" x14ac:dyDescent="0.25">
      <c r="A1559" s="231"/>
      <c r="B1559" s="232"/>
      <c r="C1559" s="400"/>
      <c r="D1559" s="233"/>
      <c r="E1559" s="405"/>
      <c r="F1559" s="405"/>
      <c r="G1559" s="405"/>
      <c r="H1559" s="408">
        <f>ROUND(+E1559+F1559+G1559,4)</f>
        <v>0</v>
      </c>
      <c r="I1559" s="234"/>
      <c r="J1559" s="411"/>
      <c r="K1559" s="411"/>
      <c r="L1559" s="414">
        <v>0.1</v>
      </c>
      <c r="M1559" s="414">
        <f>ROUND(+L1559*C1559,4)</f>
        <v>0</v>
      </c>
      <c r="N1559" s="414"/>
      <c r="O1559" s="414"/>
      <c r="P1559" s="414"/>
      <c r="Q1559" s="419">
        <f>ROUND(+N1559+O1559+P1559,4)</f>
        <v>0</v>
      </c>
      <c r="R1559" s="419">
        <f>ROUND(IF(+Q1559-H1559&lt;=0,0,Q1559-H1559),4)</f>
        <v>0</v>
      </c>
      <c r="S1559" s="423">
        <v>0.5</v>
      </c>
      <c r="T1559" s="419">
        <f>ROUND(+(R1559*C1559)*S1559,4)</f>
        <v>0</v>
      </c>
      <c r="U1559" s="419">
        <f>ROUND(+J1559+M1559+T1559,4)</f>
        <v>0</v>
      </c>
      <c r="V1559" s="235"/>
    </row>
    <row r="1560" spans="1:22" ht="15.75" x14ac:dyDescent="0.25">
      <c r="A1560" s="231"/>
      <c r="B1560" s="232"/>
      <c r="C1560" s="400"/>
      <c r="D1560" s="233"/>
      <c r="E1560" s="405"/>
      <c r="F1560" s="405"/>
      <c r="G1560" s="405"/>
      <c r="H1560" s="408">
        <f>ROUND(+E1560+F1560+G1560,4)</f>
        <v>0</v>
      </c>
      <c r="I1560" s="234"/>
      <c r="J1560" s="411"/>
      <c r="K1560" s="411"/>
      <c r="L1560" s="414">
        <v>0.1</v>
      </c>
      <c r="M1560" s="414">
        <f>ROUND(+L1560*C1560,4)</f>
        <v>0</v>
      </c>
      <c r="N1560" s="414"/>
      <c r="O1560" s="414"/>
      <c r="P1560" s="414"/>
      <c r="Q1560" s="419">
        <f>ROUND(+N1560+O1560+P1560,4)</f>
        <v>0</v>
      </c>
      <c r="R1560" s="419">
        <f>ROUND(IF(+Q1560-H1560&lt;=0,0,Q1560-H1560),4)</f>
        <v>0</v>
      </c>
      <c r="S1560" s="423">
        <v>0.5</v>
      </c>
      <c r="T1560" s="419">
        <f>ROUND(+(R1560*C1560)*S1560,4)</f>
        <v>0</v>
      </c>
      <c r="U1560" s="419">
        <f>ROUND(+J1560+M1560+T1560,4)</f>
        <v>0</v>
      </c>
      <c r="V1560" s="235"/>
    </row>
    <row r="1561" spans="1:22" ht="15.75" x14ac:dyDescent="0.25">
      <c r="A1561" s="231"/>
      <c r="B1561" s="232"/>
      <c r="C1561" s="400"/>
      <c r="D1561" s="233"/>
      <c r="E1561" s="405"/>
      <c r="F1561" s="405"/>
      <c r="G1561" s="405"/>
      <c r="H1561" s="408">
        <f>ROUND(+E1561+F1561+G1561,4)</f>
        <v>0</v>
      </c>
      <c r="I1561" s="234"/>
      <c r="J1561" s="411"/>
      <c r="K1561" s="411"/>
      <c r="L1561" s="414">
        <v>0.1</v>
      </c>
      <c r="M1561" s="414">
        <f>ROUND(+L1561*C1561,4)</f>
        <v>0</v>
      </c>
      <c r="N1561" s="414"/>
      <c r="O1561" s="414"/>
      <c r="P1561" s="414"/>
      <c r="Q1561" s="419">
        <f>ROUND(+N1561+O1561+P1561,4)</f>
        <v>0</v>
      </c>
      <c r="R1561" s="419">
        <f>ROUND(IF(+Q1561-H1561&lt;=0,0,Q1561-H1561),4)</f>
        <v>0</v>
      </c>
      <c r="S1561" s="423">
        <v>0.5</v>
      </c>
      <c r="T1561" s="419">
        <f>ROUND(+(R1561*C1561)*S1561,4)</f>
        <v>0</v>
      </c>
      <c r="U1561" s="419">
        <f>ROUND(+J1561+M1561+T1561,4)</f>
        <v>0</v>
      </c>
      <c r="V1561" s="235"/>
    </row>
    <row r="1562" spans="1:22" ht="15.75" x14ac:dyDescent="0.25">
      <c r="A1562" s="231"/>
      <c r="B1562" s="232"/>
      <c r="C1562" s="400"/>
      <c r="D1562" s="233"/>
      <c r="E1562" s="405"/>
      <c r="F1562" s="405"/>
      <c r="G1562" s="405"/>
      <c r="H1562" s="408">
        <f>ROUND(+E1562+F1562+G1562,4)</f>
        <v>0</v>
      </c>
      <c r="I1562" s="234"/>
      <c r="J1562" s="411"/>
      <c r="K1562" s="411"/>
      <c r="L1562" s="414">
        <v>0.1</v>
      </c>
      <c r="M1562" s="414">
        <f>ROUND(+L1562*C1562,4)</f>
        <v>0</v>
      </c>
      <c r="N1562" s="414"/>
      <c r="O1562" s="414"/>
      <c r="P1562" s="414"/>
      <c r="Q1562" s="419">
        <f>ROUND(+N1562+O1562+P1562,4)</f>
        <v>0</v>
      </c>
      <c r="R1562" s="419">
        <f>ROUND(IF(+Q1562-H1562&lt;=0,0,Q1562-H1562),4)</f>
        <v>0</v>
      </c>
      <c r="S1562" s="423">
        <v>0.5</v>
      </c>
      <c r="T1562" s="419">
        <f>ROUND(+(R1562*C1562)*S1562,4)</f>
        <v>0</v>
      </c>
      <c r="U1562" s="419">
        <f>ROUND(+J1562+M1562+T1562,4)</f>
        <v>0</v>
      </c>
      <c r="V1562" s="235"/>
    </row>
    <row r="1563" spans="1:22" ht="15.75" x14ac:dyDescent="0.25">
      <c r="A1563" s="231"/>
      <c r="B1563" s="232"/>
      <c r="C1563" s="400"/>
      <c r="D1563" s="233"/>
      <c r="E1563" s="405"/>
      <c r="F1563" s="405"/>
      <c r="G1563" s="405"/>
      <c r="H1563" s="408">
        <f>ROUND(+E1563+F1563+G1563,4)</f>
        <v>0</v>
      </c>
      <c r="I1563" s="234"/>
      <c r="J1563" s="411"/>
      <c r="K1563" s="411"/>
      <c r="L1563" s="414">
        <v>0.1</v>
      </c>
      <c r="M1563" s="414">
        <f>ROUND(+L1563*C1563,4)</f>
        <v>0</v>
      </c>
      <c r="N1563" s="414"/>
      <c r="O1563" s="414"/>
      <c r="P1563" s="414"/>
      <c r="Q1563" s="419">
        <f>ROUND(+N1563+O1563+P1563,4)</f>
        <v>0</v>
      </c>
      <c r="R1563" s="419">
        <f>ROUND(IF(+Q1563-H1563&lt;=0,0,Q1563-H1563),4)</f>
        <v>0</v>
      </c>
      <c r="S1563" s="423">
        <v>0.5</v>
      </c>
      <c r="T1563" s="419">
        <f>ROUND(+(R1563*C1563)*S1563,4)</f>
        <v>0</v>
      </c>
      <c r="U1563" s="419">
        <f>ROUND(+J1563+M1563+T1563,4)</f>
        <v>0</v>
      </c>
      <c r="V1563" s="235"/>
    </row>
    <row r="1564" spans="1:22" ht="15.75" x14ac:dyDescent="0.25">
      <c r="A1564" s="231"/>
      <c r="B1564" s="232"/>
      <c r="C1564" s="400"/>
      <c r="D1564" s="233"/>
      <c r="E1564" s="405"/>
      <c r="F1564" s="405"/>
      <c r="G1564" s="405"/>
      <c r="H1564" s="408">
        <f>ROUND(+E1564+F1564+G1564,4)</f>
        <v>0</v>
      </c>
      <c r="I1564" s="234"/>
      <c r="J1564" s="411"/>
      <c r="K1564" s="411"/>
      <c r="L1564" s="414">
        <v>0.1</v>
      </c>
      <c r="M1564" s="414">
        <f>ROUND(+L1564*C1564,4)</f>
        <v>0</v>
      </c>
      <c r="N1564" s="414"/>
      <c r="O1564" s="414"/>
      <c r="P1564" s="414"/>
      <c r="Q1564" s="419">
        <f>ROUND(+N1564+O1564+P1564,4)</f>
        <v>0</v>
      </c>
      <c r="R1564" s="419">
        <f>ROUND(IF(+Q1564-H1564&lt;=0,0,Q1564-H1564),4)</f>
        <v>0</v>
      </c>
      <c r="S1564" s="423">
        <v>0.5</v>
      </c>
      <c r="T1564" s="419">
        <f>ROUND(+(R1564*C1564)*S1564,4)</f>
        <v>0</v>
      </c>
      <c r="U1564" s="419">
        <f>ROUND(+J1564+M1564+T1564,4)</f>
        <v>0</v>
      </c>
      <c r="V1564" s="235"/>
    </row>
    <row r="1565" spans="1:22" ht="15.75" x14ac:dyDescent="0.25">
      <c r="A1565" s="231"/>
      <c r="B1565" s="232"/>
      <c r="C1565" s="400"/>
      <c r="D1565" s="233"/>
      <c r="E1565" s="405"/>
      <c r="F1565" s="405"/>
      <c r="G1565" s="405"/>
      <c r="H1565" s="408">
        <f>ROUND(+E1565+F1565+G1565,4)</f>
        <v>0</v>
      </c>
      <c r="I1565" s="234"/>
      <c r="J1565" s="411"/>
      <c r="K1565" s="411"/>
      <c r="L1565" s="414">
        <v>0.1</v>
      </c>
      <c r="M1565" s="414">
        <f>ROUND(+L1565*C1565,4)</f>
        <v>0</v>
      </c>
      <c r="N1565" s="414"/>
      <c r="O1565" s="414"/>
      <c r="P1565" s="414"/>
      <c r="Q1565" s="419">
        <f>ROUND(+N1565+O1565+P1565,4)</f>
        <v>0</v>
      </c>
      <c r="R1565" s="419">
        <f>ROUND(IF(+Q1565-H1565&lt;=0,0,Q1565-H1565),4)</f>
        <v>0</v>
      </c>
      <c r="S1565" s="423">
        <v>0.5</v>
      </c>
      <c r="T1565" s="419">
        <f>ROUND(+(R1565*C1565)*S1565,4)</f>
        <v>0</v>
      </c>
      <c r="U1565" s="419">
        <f>ROUND(+J1565+M1565+T1565,4)</f>
        <v>0</v>
      </c>
      <c r="V1565" s="235"/>
    </row>
    <row r="1566" spans="1:22" ht="15.75" x14ac:dyDescent="0.25">
      <c r="A1566" s="231"/>
      <c r="B1566" s="232"/>
      <c r="C1566" s="400"/>
      <c r="D1566" s="233"/>
      <c r="E1566" s="405"/>
      <c r="F1566" s="405"/>
      <c r="G1566" s="405"/>
      <c r="H1566" s="408">
        <f>ROUND(+E1566+F1566+G1566,4)</f>
        <v>0</v>
      </c>
      <c r="I1566" s="234"/>
      <c r="J1566" s="411"/>
      <c r="K1566" s="411"/>
      <c r="L1566" s="414">
        <v>0.1</v>
      </c>
      <c r="M1566" s="414">
        <f>ROUND(+L1566*C1566,4)</f>
        <v>0</v>
      </c>
      <c r="N1566" s="414"/>
      <c r="O1566" s="414"/>
      <c r="P1566" s="414"/>
      <c r="Q1566" s="419">
        <f>ROUND(+N1566+O1566+P1566,4)</f>
        <v>0</v>
      </c>
      <c r="R1566" s="419">
        <f>ROUND(IF(+Q1566-H1566&lt;=0,0,Q1566-H1566),4)</f>
        <v>0</v>
      </c>
      <c r="S1566" s="423">
        <v>0.5</v>
      </c>
      <c r="T1566" s="419">
        <f>ROUND(+(R1566*C1566)*S1566,4)</f>
        <v>0</v>
      </c>
      <c r="U1566" s="419">
        <f>ROUND(+J1566+M1566+T1566,4)</f>
        <v>0</v>
      </c>
      <c r="V1566" s="235"/>
    </row>
    <row r="1567" spans="1:22" ht="15.75" x14ac:dyDescent="0.25">
      <c r="A1567" s="231"/>
      <c r="B1567" s="232"/>
      <c r="C1567" s="400"/>
      <c r="D1567" s="233"/>
      <c r="E1567" s="405"/>
      <c r="F1567" s="405"/>
      <c r="G1567" s="405"/>
      <c r="H1567" s="408">
        <f>ROUND(+E1567+F1567+G1567,4)</f>
        <v>0</v>
      </c>
      <c r="I1567" s="234"/>
      <c r="J1567" s="411"/>
      <c r="K1567" s="411"/>
      <c r="L1567" s="414">
        <v>0.1</v>
      </c>
      <c r="M1567" s="414">
        <f>ROUND(+L1567*C1567,4)</f>
        <v>0</v>
      </c>
      <c r="N1567" s="414"/>
      <c r="O1567" s="414"/>
      <c r="P1567" s="414"/>
      <c r="Q1567" s="419">
        <f>ROUND(+N1567+O1567+P1567,4)</f>
        <v>0</v>
      </c>
      <c r="R1567" s="419">
        <f>ROUND(IF(+Q1567-H1567&lt;=0,0,Q1567-H1567),4)</f>
        <v>0</v>
      </c>
      <c r="S1567" s="423">
        <v>0.5</v>
      </c>
      <c r="T1567" s="419">
        <f>ROUND(+(R1567*C1567)*S1567,4)</f>
        <v>0</v>
      </c>
      <c r="U1567" s="419">
        <f>ROUND(+J1567+M1567+T1567,4)</f>
        <v>0</v>
      </c>
      <c r="V1567" s="235"/>
    </row>
    <row r="1568" spans="1:22" ht="15.75" x14ac:dyDescent="0.25">
      <c r="A1568" s="231"/>
      <c r="B1568" s="232"/>
      <c r="C1568" s="400"/>
      <c r="D1568" s="233"/>
      <c r="E1568" s="405"/>
      <c r="F1568" s="405"/>
      <c r="G1568" s="405"/>
      <c r="H1568" s="408">
        <f>ROUND(+E1568+F1568+G1568,4)</f>
        <v>0</v>
      </c>
      <c r="I1568" s="234"/>
      <c r="J1568" s="411"/>
      <c r="K1568" s="411"/>
      <c r="L1568" s="414">
        <v>0.1</v>
      </c>
      <c r="M1568" s="414">
        <f>ROUND(+L1568*C1568,4)</f>
        <v>0</v>
      </c>
      <c r="N1568" s="414"/>
      <c r="O1568" s="414"/>
      <c r="P1568" s="414"/>
      <c r="Q1568" s="419">
        <f>ROUND(+N1568+O1568+P1568,4)</f>
        <v>0</v>
      </c>
      <c r="R1568" s="419">
        <f>ROUND(IF(+Q1568-H1568&lt;=0,0,Q1568-H1568),4)</f>
        <v>0</v>
      </c>
      <c r="S1568" s="423">
        <v>0.5</v>
      </c>
      <c r="T1568" s="419">
        <f>ROUND(+(R1568*C1568)*S1568,4)</f>
        <v>0</v>
      </c>
      <c r="U1568" s="419">
        <f>ROUND(+J1568+M1568+T1568,4)</f>
        <v>0</v>
      </c>
      <c r="V1568" s="235"/>
    </row>
    <row r="1569" spans="1:22" ht="15.75" x14ac:dyDescent="0.25">
      <c r="A1569" s="231"/>
      <c r="B1569" s="232"/>
      <c r="C1569" s="400"/>
      <c r="D1569" s="233"/>
      <c r="E1569" s="405"/>
      <c r="F1569" s="405"/>
      <c r="G1569" s="405"/>
      <c r="H1569" s="408">
        <f>ROUND(+E1569+F1569+G1569,4)</f>
        <v>0</v>
      </c>
      <c r="I1569" s="234"/>
      <c r="J1569" s="411"/>
      <c r="K1569" s="411"/>
      <c r="L1569" s="414">
        <v>0.1</v>
      </c>
      <c r="M1569" s="414">
        <f>ROUND(+L1569*C1569,4)</f>
        <v>0</v>
      </c>
      <c r="N1569" s="414"/>
      <c r="O1569" s="414"/>
      <c r="P1569" s="414"/>
      <c r="Q1569" s="419">
        <f>ROUND(+N1569+O1569+P1569,4)</f>
        <v>0</v>
      </c>
      <c r="R1569" s="419">
        <f>ROUND(IF(+Q1569-H1569&lt;=0,0,Q1569-H1569),4)</f>
        <v>0</v>
      </c>
      <c r="S1569" s="423">
        <v>0.5</v>
      </c>
      <c r="T1569" s="419">
        <f>ROUND(+(R1569*C1569)*S1569,4)</f>
        <v>0</v>
      </c>
      <c r="U1569" s="419">
        <f>ROUND(+J1569+M1569+T1569,4)</f>
        <v>0</v>
      </c>
      <c r="V1569" s="235"/>
    </row>
    <row r="1570" spans="1:22" ht="15.75" x14ac:dyDescent="0.25">
      <c r="A1570" s="231"/>
      <c r="B1570" s="232"/>
      <c r="C1570" s="400"/>
      <c r="D1570" s="233"/>
      <c r="E1570" s="405"/>
      <c r="F1570" s="405"/>
      <c r="G1570" s="405"/>
      <c r="H1570" s="408">
        <f>ROUND(+E1570+F1570+G1570,4)</f>
        <v>0</v>
      </c>
      <c r="I1570" s="234"/>
      <c r="J1570" s="411"/>
      <c r="K1570" s="411"/>
      <c r="L1570" s="414">
        <v>0.1</v>
      </c>
      <c r="M1570" s="414">
        <f>ROUND(+L1570*C1570,4)</f>
        <v>0</v>
      </c>
      <c r="N1570" s="414"/>
      <c r="O1570" s="414"/>
      <c r="P1570" s="414"/>
      <c r="Q1570" s="419">
        <f>ROUND(+N1570+O1570+P1570,4)</f>
        <v>0</v>
      </c>
      <c r="R1570" s="419">
        <f>ROUND(IF(+Q1570-H1570&lt;=0,0,Q1570-H1570),4)</f>
        <v>0</v>
      </c>
      <c r="S1570" s="423">
        <v>0.5</v>
      </c>
      <c r="T1570" s="419">
        <f>ROUND(+(R1570*C1570)*S1570,4)</f>
        <v>0</v>
      </c>
      <c r="U1570" s="419">
        <f>ROUND(+J1570+M1570+T1570,4)</f>
        <v>0</v>
      </c>
      <c r="V1570" s="235"/>
    </row>
    <row r="1571" spans="1:22" ht="15.75" x14ac:dyDescent="0.25">
      <c r="A1571" s="231"/>
      <c r="B1571" s="232"/>
      <c r="C1571" s="400"/>
      <c r="D1571" s="233"/>
      <c r="E1571" s="405"/>
      <c r="F1571" s="405"/>
      <c r="G1571" s="405"/>
      <c r="H1571" s="408">
        <f>ROUND(+E1571+F1571+G1571,4)</f>
        <v>0</v>
      </c>
      <c r="I1571" s="234"/>
      <c r="J1571" s="411"/>
      <c r="K1571" s="411"/>
      <c r="L1571" s="414">
        <v>0.1</v>
      </c>
      <c r="M1571" s="414">
        <f>ROUND(+L1571*C1571,4)</f>
        <v>0</v>
      </c>
      <c r="N1571" s="414"/>
      <c r="O1571" s="414"/>
      <c r="P1571" s="414"/>
      <c r="Q1571" s="419">
        <f>ROUND(+N1571+O1571+P1571,4)</f>
        <v>0</v>
      </c>
      <c r="R1571" s="419">
        <f>ROUND(IF(+Q1571-H1571&lt;=0,0,Q1571-H1571),4)</f>
        <v>0</v>
      </c>
      <c r="S1571" s="423">
        <v>0.5</v>
      </c>
      <c r="T1571" s="419">
        <f>ROUND(+(R1571*C1571)*S1571,4)</f>
        <v>0</v>
      </c>
      <c r="U1571" s="419">
        <f>ROUND(+J1571+M1571+T1571,4)</f>
        <v>0</v>
      </c>
      <c r="V1571" s="235"/>
    </row>
    <row r="1572" spans="1:22" ht="15.75" x14ac:dyDescent="0.25">
      <c r="A1572" s="231"/>
      <c r="B1572" s="232"/>
      <c r="C1572" s="400"/>
      <c r="D1572" s="233"/>
      <c r="E1572" s="405"/>
      <c r="F1572" s="405"/>
      <c r="G1572" s="405"/>
      <c r="H1572" s="408">
        <f>ROUND(+E1572+F1572+G1572,4)</f>
        <v>0</v>
      </c>
      <c r="I1572" s="234"/>
      <c r="J1572" s="411"/>
      <c r="K1572" s="411"/>
      <c r="L1572" s="414">
        <v>0.1</v>
      </c>
      <c r="M1572" s="414">
        <f>ROUND(+L1572*C1572,4)</f>
        <v>0</v>
      </c>
      <c r="N1572" s="414"/>
      <c r="O1572" s="414"/>
      <c r="P1572" s="414"/>
      <c r="Q1572" s="419">
        <f>ROUND(+N1572+O1572+P1572,4)</f>
        <v>0</v>
      </c>
      <c r="R1572" s="419">
        <f>ROUND(IF(+Q1572-H1572&lt;=0,0,Q1572-H1572),4)</f>
        <v>0</v>
      </c>
      <c r="S1572" s="423">
        <v>0.5</v>
      </c>
      <c r="T1572" s="419">
        <f>ROUND(+(R1572*C1572)*S1572,4)</f>
        <v>0</v>
      </c>
      <c r="U1572" s="419">
        <f>ROUND(+J1572+M1572+T1572,4)</f>
        <v>0</v>
      </c>
      <c r="V1572" s="235"/>
    </row>
    <row r="1573" spans="1:22" ht="15.75" x14ac:dyDescent="0.25">
      <c r="A1573" s="231"/>
      <c r="B1573" s="232"/>
      <c r="C1573" s="400"/>
      <c r="D1573" s="233"/>
      <c r="E1573" s="405"/>
      <c r="F1573" s="405"/>
      <c r="G1573" s="405"/>
      <c r="H1573" s="408">
        <f>ROUND(+E1573+F1573+G1573,4)</f>
        <v>0</v>
      </c>
      <c r="I1573" s="234"/>
      <c r="J1573" s="411"/>
      <c r="K1573" s="411"/>
      <c r="L1573" s="414">
        <v>0.1</v>
      </c>
      <c r="M1573" s="414">
        <f>ROUND(+L1573*C1573,4)</f>
        <v>0</v>
      </c>
      <c r="N1573" s="414"/>
      <c r="O1573" s="414"/>
      <c r="P1573" s="414"/>
      <c r="Q1573" s="419">
        <f>ROUND(+N1573+O1573+P1573,4)</f>
        <v>0</v>
      </c>
      <c r="R1573" s="419">
        <f>ROUND(IF(+Q1573-H1573&lt;=0,0,Q1573-H1573),4)</f>
        <v>0</v>
      </c>
      <c r="S1573" s="423">
        <v>0.5</v>
      </c>
      <c r="T1573" s="419">
        <f>ROUND(+(R1573*C1573)*S1573,4)</f>
        <v>0</v>
      </c>
      <c r="U1573" s="419">
        <f>ROUND(+J1573+M1573+T1573,4)</f>
        <v>0</v>
      </c>
      <c r="V1573" s="235"/>
    </row>
    <row r="1574" spans="1:22" ht="15.75" x14ac:dyDescent="0.25">
      <c r="A1574" s="231"/>
      <c r="B1574" s="232"/>
      <c r="C1574" s="400"/>
      <c r="D1574" s="233"/>
      <c r="E1574" s="405"/>
      <c r="F1574" s="405"/>
      <c r="G1574" s="405"/>
      <c r="H1574" s="408">
        <f>ROUND(+E1574+F1574+G1574,4)</f>
        <v>0</v>
      </c>
      <c r="I1574" s="234"/>
      <c r="J1574" s="411"/>
      <c r="K1574" s="411"/>
      <c r="L1574" s="414">
        <v>0.1</v>
      </c>
      <c r="M1574" s="414">
        <f>ROUND(+L1574*C1574,4)</f>
        <v>0</v>
      </c>
      <c r="N1574" s="414"/>
      <c r="O1574" s="414"/>
      <c r="P1574" s="414"/>
      <c r="Q1574" s="419">
        <f>ROUND(+N1574+O1574+P1574,4)</f>
        <v>0</v>
      </c>
      <c r="R1574" s="419">
        <f>ROUND(IF(+Q1574-H1574&lt;=0,0,Q1574-H1574),4)</f>
        <v>0</v>
      </c>
      <c r="S1574" s="423">
        <v>0.5</v>
      </c>
      <c r="T1574" s="419">
        <f>ROUND(+(R1574*C1574)*S1574,4)</f>
        <v>0</v>
      </c>
      <c r="U1574" s="419">
        <f>ROUND(+J1574+M1574+T1574,4)</f>
        <v>0</v>
      </c>
      <c r="V1574" s="235"/>
    </row>
    <row r="1575" spans="1:22" ht="15.75" x14ac:dyDescent="0.25">
      <c r="A1575" s="231"/>
      <c r="B1575" s="232"/>
      <c r="C1575" s="400"/>
      <c r="D1575" s="233"/>
      <c r="E1575" s="405"/>
      <c r="F1575" s="405"/>
      <c r="G1575" s="405"/>
      <c r="H1575" s="408">
        <f>ROUND(+E1575+F1575+G1575,4)</f>
        <v>0</v>
      </c>
      <c r="I1575" s="234"/>
      <c r="J1575" s="411"/>
      <c r="K1575" s="411"/>
      <c r="L1575" s="414">
        <v>0.1</v>
      </c>
      <c r="M1575" s="414">
        <f>ROUND(+L1575*C1575,4)</f>
        <v>0</v>
      </c>
      <c r="N1575" s="414"/>
      <c r="O1575" s="414"/>
      <c r="P1575" s="414"/>
      <c r="Q1575" s="419">
        <f>ROUND(+N1575+O1575+P1575,4)</f>
        <v>0</v>
      </c>
      <c r="R1575" s="419">
        <f>ROUND(IF(+Q1575-H1575&lt;=0,0,Q1575-H1575),4)</f>
        <v>0</v>
      </c>
      <c r="S1575" s="423">
        <v>0.5</v>
      </c>
      <c r="T1575" s="419">
        <f>ROUND(+(R1575*C1575)*S1575,4)</f>
        <v>0</v>
      </c>
      <c r="U1575" s="419">
        <f>ROUND(+J1575+M1575+T1575,4)</f>
        <v>0</v>
      </c>
      <c r="V1575" s="235"/>
    </row>
    <row r="1576" spans="1:22" ht="15.75" x14ac:dyDescent="0.25">
      <c r="A1576" s="231"/>
      <c r="B1576" s="232"/>
      <c r="C1576" s="400"/>
      <c r="D1576" s="233"/>
      <c r="E1576" s="405"/>
      <c r="F1576" s="405"/>
      <c r="G1576" s="405"/>
      <c r="H1576" s="408">
        <f>ROUND(+E1576+F1576+G1576,4)</f>
        <v>0</v>
      </c>
      <c r="I1576" s="234"/>
      <c r="J1576" s="411"/>
      <c r="K1576" s="411"/>
      <c r="L1576" s="414">
        <v>0.1</v>
      </c>
      <c r="M1576" s="414">
        <f>ROUND(+L1576*C1576,4)</f>
        <v>0</v>
      </c>
      <c r="N1576" s="414"/>
      <c r="O1576" s="414"/>
      <c r="P1576" s="414"/>
      <c r="Q1576" s="419">
        <f>ROUND(+N1576+O1576+P1576,4)</f>
        <v>0</v>
      </c>
      <c r="R1576" s="419">
        <f>ROUND(IF(+Q1576-H1576&lt;=0,0,Q1576-H1576),4)</f>
        <v>0</v>
      </c>
      <c r="S1576" s="423">
        <v>0.5</v>
      </c>
      <c r="T1576" s="419">
        <f>ROUND(+(R1576*C1576)*S1576,4)</f>
        <v>0</v>
      </c>
      <c r="U1576" s="419">
        <f>ROUND(+J1576+M1576+T1576,4)</f>
        <v>0</v>
      </c>
      <c r="V1576" s="235"/>
    </row>
    <row r="1577" spans="1:22" ht="15.75" x14ac:dyDescent="0.25">
      <c r="A1577" s="231"/>
      <c r="B1577" s="232"/>
      <c r="C1577" s="400"/>
      <c r="D1577" s="233"/>
      <c r="E1577" s="405"/>
      <c r="F1577" s="405"/>
      <c r="G1577" s="405"/>
      <c r="H1577" s="408">
        <f>ROUND(+E1577+F1577+G1577,4)</f>
        <v>0</v>
      </c>
      <c r="I1577" s="234"/>
      <c r="J1577" s="411"/>
      <c r="K1577" s="411"/>
      <c r="L1577" s="414">
        <v>0.1</v>
      </c>
      <c r="M1577" s="414">
        <f>ROUND(+L1577*C1577,4)</f>
        <v>0</v>
      </c>
      <c r="N1577" s="414"/>
      <c r="O1577" s="414"/>
      <c r="P1577" s="414"/>
      <c r="Q1577" s="419">
        <f>ROUND(+N1577+O1577+P1577,4)</f>
        <v>0</v>
      </c>
      <c r="R1577" s="419">
        <f>ROUND(IF(+Q1577-H1577&lt;=0,0,Q1577-H1577),4)</f>
        <v>0</v>
      </c>
      <c r="S1577" s="423">
        <v>0.5</v>
      </c>
      <c r="T1577" s="419">
        <f>ROUND(+(R1577*C1577)*S1577,4)</f>
        <v>0</v>
      </c>
      <c r="U1577" s="419">
        <f>ROUND(+J1577+M1577+T1577,4)</f>
        <v>0</v>
      </c>
      <c r="V1577" s="235"/>
    </row>
    <row r="1578" spans="1:22" ht="15.75" x14ac:dyDescent="0.25">
      <c r="A1578" s="231"/>
      <c r="B1578" s="232"/>
      <c r="C1578" s="400"/>
      <c r="D1578" s="233"/>
      <c r="E1578" s="405"/>
      <c r="F1578" s="405"/>
      <c r="G1578" s="405"/>
      <c r="H1578" s="408">
        <f>ROUND(+E1578+F1578+G1578,4)</f>
        <v>0</v>
      </c>
      <c r="I1578" s="234"/>
      <c r="J1578" s="411"/>
      <c r="K1578" s="411"/>
      <c r="L1578" s="414">
        <v>0.1</v>
      </c>
      <c r="M1578" s="414">
        <f>ROUND(+L1578*C1578,4)</f>
        <v>0</v>
      </c>
      <c r="N1578" s="414"/>
      <c r="O1578" s="414"/>
      <c r="P1578" s="414"/>
      <c r="Q1578" s="419">
        <f>ROUND(+N1578+O1578+P1578,4)</f>
        <v>0</v>
      </c>
      <c r="R1578" s="419">
        <f>ROUND(IF(+Q1578-H1578&lt;=0,0,Q1578-H1578),4)</f>
        <v>0</v>
      </c>
      <c r="S1578" s="423">
        <v>0.5</v>
      </c>
      <c r="T1578" s="419">
        <f>ROUND(+(R1578*C1578)*S1578,4)</f>
        <v>0</v>
      </c>
      <c r="U1578" s="419">
        <f>ROUND(+J1578+M1578+T1578,4)</f>
        <v>0</v>
      </c>
      <c r="V1578" s="235"/>
    </row>
    <row r="1579" spans="1:22" ht="15.75" x14ac:dyDescent="0.25">
      <c r="A1579" s="231"/>
      <c r="B1579" s="232"/>
      <c r="C1579" s="400"/>
      <c r="D1579" s="233"/>
      <c r="E1579" s="405"/>
      <c r="F1579" s="405"/>
      <c r="G1579" s="405"/>
      <c r="H1579" s="408">
        <f>ROUND(+E1579+F1579+G1579,4)</f>
        <v>0</v>
      </c>
      <c r="I1579" s="234"/>
      <c r="J1579" s="411"/>
      <c r="K1579" s="411"/>
      <c r="L1579" s="414">
        <v>0.1</v>
      </c>
      <c r="M1579" s="414">
        <f>ROUND(+L1579*C1579,4)</f>
        <v>0</v>
      </c>
      <c r="N1579" s="414"/>
      <c r="O1579" s="414"/>
      <c r="P1579" s="414"/>
      <c r="Q1579" s="419">
        <f>ROUND(+N1579+O1579+P1579,4)</f>
        <v>0</v>
      </c>
      <c r="R1579" s="419">
        <f>ROUND(IF(+Q1579-H1579&lt;=0,0,Q1579-H1579),4)</f>
        <v>0</v>
      </c>
      <c r="S1579" s="423">
        <v>0.5</v>
      </c>
      <c r="T1579" s="419">
        <f>ROUND(+(R1579*C1579)*S1579,4)</f>
        <v>0</v>
      </c>
      <c r="U1579" s="419">
        <f>ROUND(+J1579+M1579+T1579,4)</f>
        <v>0</v>
      </c>
      <c r="V1579" s="235"/>
    </row>
    <row r="1580" spans="1:22" ht="15.75" x14ac:dyDescent="0.25">
      <c r="A1580" s="231"/>
      <c r="B1580" s="232"/>
      <c r="C1580" s="400"/>
      <c r="D1580" s="233"/>
      <c r="E1580" s="405"/>
      <c r="F1580" s="405"/>
      <c r="G1580" s="405"/>
      <c r="H1580" s="408">
        <f>ROUND(+E1580+F1580+G1580,4)</f>
        <v>0</v>
      </c>
      <c r="I1580" s="234"/>
      <c r="J1580" s="411"/>
      <c r="K1580" s="411"/>
      <c r="L1580" s="414">
        <v>0.1</v>
      </c>
      <c r="M1580" s="414">
        <f>ROUND(+L1580*C1580,4)</f>
        <v>0</v>
      </c>
      <c r="N1580" s="414"/>
      <c r="O1580" s="414"/>
      <c r="P1580" s="414"/>
      <c r="Q1580" s="419">
        <f>ROUND(+N1580+O1580+P1580,4)</f>
        <v>0</v>
      </c>
      <c r="R1580" s="419">
        <f>ROUND(IF(+Q1580-H1580&lt;=0,0,Q1580-H1580),4)</f>
        <v>0</v>
      </c>
      <c r="S1580" s="423">
        <v>0.5</v>
      </c>
      <c r="T1580" s="419">
        <f>ROUND(+(R1580*C1580)*S1580,4)</f>
        <v>0</v>
      </c>
      <c r="U1580" s="419">
        <f>ROUND(+J1580+M1580+T1580,4)</f>
        <v>0</v>
      </c>
      <c r="V1580" s="235"/>
    </row>
    <row r="1581" spans="1:22" ht="15.75" x14ac:dyDescent="0.25">
      <c r="A1581" s="231"/>
      <c r="B1581" s="232"/>
      <c r="C1581" s="400"/>
      <c r="D1581" s="233"/>
      <c r="E1581" s="405"/>
      <c r="F1581" s="405"/>
      <c r="G1581" s="405"/>
      <c r="H1581" s="408">
        <f>ROUND(+E1581+F1581+G1581,4)</f>
        <v>0</v>
      </c>
      <c r="I1581" s="234"/>
      <c r="J1581" s="411"/>
      <c r="K1581" s="411"/>
      <c r="L1581" s="414">
        <v>0.1</v>
      </c>
      <c r="M1581" s="414">
        <f>ROUND(+L1581*C1581,4)</f>
        <v>0</v>
      </c>
      <c r="N1581" s="414"/>
      <c r="O1581" s="414"/>
      <c r="P1581" s="414"/>
      <c r="Q1581" s="419">
        <f>ROUND(+N1581+O1581+P1581,4)</f>
        <v>0</v>
      </c>
      <c r="R1581" s="419">
        <f>ROUND(IF(+Q1581-H1581&lt;=0,0,Q1581-H1581),4)</f>
        <v>0</v>
      </c>
      <c r="S1581" s="423">
        <v>0.5</v>
      </c>
      <c r="T1581" s="419">
        <f>ROUND(+(R1581*C1581)*S1581,4)</f>
        <v>0</v>
      </c>
      <c r="U1581" s="419">
        <f>ROUND(+J1581+M1581+T1581,4)</f>
        <v>0</v>
      </c>
      <c r="V1581" s="235"/>
    </row>
    <row r="1582" spans="1:22" ht="15.75" x14ac:dyDescent="0.25">
      <c r="A1582" s="231"/>
      <c r="B1582" s="232"/>
      <c r="C1582" s="400"/>
      <c r="D1582" s="233"/>
      <c r="E1582" s="405"/>
      <c r="F1582" s="405"/>
      <c r="G1582" s="405"/>
      <c r="H1582" s="408">
        <f>ROUND(+E1582+F1582+G1582,4)</f>
        <v>0</v>
      </c>
      <c r="I1582" s="234"/>
      <c r="J1582" s="411"/>
      <c r="K1582" s="411"/>
      <c r="L1582" s="414">
        <v>0.1</v>
      </c>
      <c r="M1582" s="414">
        <f>ROUND(+L1582*C1582,4)</f>
        <v>0</v>
      </c>
      <c r="N1582" s="414"/>
      <c r="O1582" s="414"/>
      <c r="P1582" s="414"/>
      <c r="Q1582" s="419">
        <f>ROUND(+N1582+O1582+P1582,4)</f>
        <v>0</v>
      </c>
      <c r="R1582" s="419">
        <f>ROUND(IF(+Q1582-H1582&lt;=0,0,Q1582-H1582),4)</f>
        <v>0</v>
      </c>
      <c r="S1582" s="423">
        <v>0.5</v>
      </c>
      <c r="T1582" s="419">
        <f>ROUND(+(R1582*C1582)*S1582,4)</f>
        <v>0</v>
      </c>
      <c r="U1582" s="419">
        <f>ROUND(+J1582+M1582+T1582,4)</f>
        <v>0</v>
      </c>
      <c r="V1582" s="235"/>
    </row>
    <row r="1583" spans="1:22" ht="15.75" x14ac:dyDescent="0.25">
      <c r="A1583" s="231"/>
      <c r="B1583" s="232"/>
      <c r="C1583" s="400"/>
      <c r="D1583" s="233"/>
      <c r="E1583" s="405"/>
      <c r="F1583" s="405"/>
      <c r="G1583" s="405"/>
      <c r="H1583" s="408">
        <f>ROUND(+E1583+F1583+G1583,4)</f>
        <v>0</v>
      </c>
      <c r="I1583" s="234"/>
      <c r="J1583" s="411"/>
      <c r="K1583" s="411"/>
      <c r="L1583" s="414">
        <v>0.1</v>
      </c>
      <c r="M1583" s="414">
        <f>ROUND(+L1583*C1583,4)</f>
        <v>0</v>
      </c>
      <c r="N1583" s="414"/>
      <c r="O1583" s="414"/>
      <c r="P1583" s="414"/>
      <c r="Q1583" s="419">
        <f>ROUND(+N1583+O1583+P1583,4)</f>
        <v>0</v>
      </c>
      <c r="R1583" s="419">
        <f>ROUND(IF(+Q1583-H1583&lt;=0,0,Q1583-H1583),4)</f>
        <v>0</v>
      </c>
      <c r="S1583" s="423">
        <v>0.5</v>
      </c>
      <c r="T1583" s="419">
        <f>ROUND(+(R1583*C1583)*S1583,4)</f>
        <v>0</v>
      </c>
      <c r="U1583" s="419">
        <f>ROUND(+J1583+M1583+T1583,4)</f>
        <v>0</v>
      </c>
      <c r="V1583" s="235"/>
    </row>
    <row r="1584" spans="1:22" ht="15.75" x14ac:dyDescent="0.25">
      <c r="A1584" s="231"/>
      <c r="B1584" s="232"/>
      <c r="C1584" s="400"/>
      <c r="D1584" s="233"/>
      <c r="E1584" s="405"/>
      <c r="F1584" s="405"/>
      <c r="G1584" s="405"/>
      <c r="H1584" s="408">
        <f>ROUND(+E1584+F1584+G1584,4)</f>
        <v>0</v>
      </c>
      <c r="I1584" s="234"/>
      <c r="J1584" s="411"/>
      <c r="K1584" s="411"/>
      <c r="L1584" s="414">
        <v>0.1</v>
      </c>
      <c r="M1584" s="414">
        <f>ROUND(+L1584*C1584,4)</f>
        <v>0</v>
      </c>
      <c r="N1584" s="414"/>
      <c r="O1584" s="414"/>
      <c r="P1584" s="414"/>
      <c r="Q1584" s="419">
        <f>ROUND(+N1584+O1584+P1584,4)</f>
        <v>0</v>
      </c>
      <c r="R1584" s="419">
        <f>ROUND(IF(+Q1584-H1584&lt;=0,0,Q1584-H1584),4)</f>
        <v>0</v>
      </c>
      <c r="S1584" s="423">
        <v>0.5</v>
      </c>
      <c r="T1584" s="419">
        <f>ROUND(+(R1584*C1584)*S1584,4)</f>
        <v>0</v>
      </c>
      <c r="U1584" s="419">
        <f>ROUND(+J1584+M1584+T1584,4)</f>
        <v>0</v>
      </c>
      <c r="V1584" s="235"/>
    </row>
    <row r="1585" spans="1:22" ht="15.75" x14ac:dyDescent="0.25">
      <c r="A1585" s="231"/>
      <c r="B1585" s="232"/>
      <c r="C1585" s="400"/>
      <c r="D1585" s="233"/>
      <c r="E1585" s="405"/>
      <c r="F1585" s="405"/>
      <c r="G1585" s="405"/>
      <c r="H1585" s="408">
        <f>ROUND(+E1585+F1585+G1585,4)</f>
        <v>0</v>
      </c>
      <c r="I1585" s="234"/>
      <c r="J1585" s="411"/>
      <c r="K1585" s="411"/>
      <c r="L1585" s="414">
        <v>0.1</v>
      </c>
      <c r="M1585" s="414">
        <f>ROUND(+L1585*C1585,4)</f>
        <v>0</v>
      </c>
      <c r="N1585" s="414"/>
      <c r="O1585" s="414"/>
      <c r="P1585" s="414"/>
      <c r="Q1585" s="419">
        <f>ROUND(+N1585+O1585+P1585,4)</f>
        <v>0</v>
      </c>
      <c r="R1585" s="419">
        <f>ROUND(IF(+Q1585-H1585&lt;=0,0,Q1585-H1585),4)</f>
        <v>0</v>
      </c>
      <c r="S1585" s="423">
        <v>0.5</v>
      </c>
      <c r="T1585" s="419">
        <f>ROUND(+(R1585*C1585)*S1585,4)</f>
        <v>0</v>
      </c>
      <c r="U1585" s="419">
        <f>ROUND(+J1585+M1585+T1585,4)</f>
        <v>0</v>
      </c>
      <c r="V1585" s="235"/>
    </row>
    <row r="1586" spans="1:22" ht="15.75" x14ac:dyDescent="0.25">
      <c r="A1586" s="231"/>
      <c r="B1586" s="232"/>
      <c r="C1586" s="400"/>
      <c r="D1586" s="233"/>
      <c r="E1586" s="405"/>
      <c r="F1586" s="405"/>
      <c r="G1586" s="405"/>
      <c r="H1586" s="408">
        <f>ROUND(+E1586+F1586+G1586,4)</f>
        <v>0</v>
      </c>
      <c r="I1586" s="234"/>
      <c r="J1586" s="411"/>
      <c r="K1586" s="411"/>
      <c r="L1586" s="414">
        <v>0.1</v>
      </c>
      <c r="M1586" s="414">
        <f>ROUND(+L1586*C1586,4)</f>
        <v>0</v>
      </c>
      <c r="N1586" s="414"/>
      <c r="O1586" s="414"/>
      <c r="P1586" s="414"/>
      <c r="Q1586" s="419">
        <f>ROUND(+N1586+O1586+P1586,4)</f>
        <v>0</v>
      </c>
      <c r="R1586" s="419">
        <f>ROUND(IF(+Q1586-H1586&lt;=0,0,Q1586-H1586),4)</f>
        <v>0</v>
      </c>
      <c r="S1586" s="423">
        <v>0.5</v>
      </c>
      <c r="T1586" s="419">
        <f>ROUND(+(R1586*C1586)*S1586,4)</f>
        <v>0</v>
      </c>
      <c r="U1586" s="419">
        <f>ROUND(+J1586+M1586+T1586,4)</f>
        <v>0</v>
      </c>
      <c r="V1586" s="235"/>
    </row>
    <row r="1587" spans="1:22" ht="15.75" x14ac:dyDescent="0.25">
      <c r="A1587" s="231"/>
      <c r="B1587" s="232"/>
      <c r="C1587" s="400"/>
      <c r="D1587" s="233"/>
      <c r="E1587" s="405"/>
      <c r="F1587" s="405"/>
      <c r="G1587" s="405"/>
      <c r="H1587" s="408">
        <f>ROUND(+E1587+F1587+G1587,4)</f>
        <v>0</v>
      </c>
      <c r="I1587" s="234"/>
      <c r="J1587" s="411"/>
      <c r="K1587" s="411"/>
      <c r="L1587" s="414">
        <v>0.1</v>
      </c>
      <c r="M1587" s="414">
        <f>ROUND(+L1587*C1587,4)</f>
        <v>0</v>
      </c>
      <c r="N1587" s="414"/>
      <c r="O1587" s="414"/>
      <c r="P1587" s="414"/>
      <c r="Q1587" s="419">
        <f>ROUND(+N1587+O1587+P1587,4)</f>
        <v>0</v>
      </c>
      <c r="R1587" s="419">
        <f>ROUND(IF(+Q1587-H1587&lt;=0,0,Q1587-H1587),4)</f>
        <v>0</v>
      </c>
      <c r="S1587" s="423">
        <v>0.5</v>
      </c>
      <c r="T1587" s="419">
        <f>ROUND(+(R1587*C1587)*S1587,4)</f>
        <v>0</v>
      </c>
      <c r="U1587" s="419">
        <f>ROUND(+J1587+M1587+T1587,4)</f>
        <v>0</v>
      </c>
      <c r="V1587" s="235"/>
    </row>
    <row r="1588" spans="1:22" ht="15.75" x14ac:dyDescent="0.25">
      <c r="A1588" s="231"/>
      <c r="B1588" s="232"/>
      <c r="C1588" s="400"/>
      <c r="D1588" s="233"/>
      <c r="E1588" s="405"/>
      <c r="F1588" s="405"/>
      <c r="G1588" s="405"/>
      <c r="H1588" s="408">
        <f>ROUND(+E1588+F1588+G1588,4)</f>
        <v>0</v>
      </c>
      <c r="I1588" s="234"/>
      <c r="J1588" s="411"/>
      <c r="K1588" s="411"/>
      <c r="L1588" s="414">
        <v>0.1</v>
      </c>
      <c r="M1588" s="414">
        <f>ROUND(+L1588*C1588,4)</f>
        <v>0</v>
      </c>
      <c r="N1588" s="414"/>
      <c r="O1588" s="414"/>
      <c r="P1588" s="414"/>
      <c r="Q1588" s="419">
        <f>ROUND(+N1588+O1588+P1588,4)</f>
        <v>0</v>
      </c>
      <c r="R1588" s="419">
        <f>ROUND(IF(+Q1588-H1588&lt;=0,0,Q1588-H1588),4)</f>
        <v>0</v>
      </c>
      <c r="S1588" s="423">
        <v>0.5</v>
      </c>
      <c r="T1588" s="419">
        <f>ROUND(+(R1588*C1588)*S1588,4)</f>
        <v>0</v>
      </c>
      <c r="U1588" s="419">
        <f>ROUND(+J1588+M1588+T1588,4)</f>
        <v>0</v>
      </c>
      <c r="V1588" s="235"/>
    </row>
    <row r="1589" spans="1:22" ht="15.75" x14ac:dyDescent="0.25">
      <c r="A1589" s="231"/>
      <c r="B1589" s="232"/>
      <c r="C1589" s="400"/>
      <c r="D1589" s="233"/>
      <c r="E1589" s="405"/>
      <c r="F1589" s="405"/>
      <c r="G1589" s="405"/>
      <c r="H1589" s="408">
        <f>ROUND(+E1589+F1589+G1589,4)</f>
        <v>0</v>
      </c>
      <c r="I1589" s="234"/>
      <c r="J1589" s="411"/>
      <c r="K1589" s="411"/>
      <c r="L1589" s="414">
        <v>0.1</v>
      </c>
      <c r="M1589" s="414">
        <f>ROUND(+L1589*C1589,4)</f>
        <v>0</v>
      </c>
      <c r="N1589" s="414"/>
      <c r="O1589" s="414"/>
      <c r="P1589" s="414"/>
      <c r="Q1589" s="419">
        <f>ROUND(+N1589+O1589+P1589,4)</f>
        <v>0</v>
      </c>
      <c r="R1589" s="419">
        <f>ROUND(IF(+Q1589-H1589&lt;=0,0,Q1589-H1589),4)</f>
        <v>0</v>
      </c>
      <c r="S1589" s="423">
        <v>0.5</v>
      </c>
      <c r="T1589" s="419">
        <f>ROUND(+(R1589*C1589)*S1589,4)</f>
        <v>0</v>
      </c>
      <c r="U1589" s="419">
        <f>ROUND(+J1589+M1589+T1589,4)</f>
        <v>0</v>
      </c>
      <c r="V1589" s="235"/>
    </row>
    <row r="1590" spans="1:22" ht="15.75" x14ac:dyDescent="0.25">
      <c r="A1590" s="231"/>
      <c r="B1590" s="232"/>
      <c r="C1590" s="400"/>
      <c r="D1590" s="233"/>
      <c r="E1590" s="405"/>
      <c r="F1590" s="405"/>
      <c r="G1590" s="405"/>
      <c r="H1590" s="408">
        <f>ROUND(+E1590+F1590+G1590,4)</f>
        <v>0</v>
      </c>
      <c r="I1590" s="234"/>
      <c r="J1590" s="411"/>
      <c r="K1590" s="411"/>
      <c r="L1590" s="414">
        <v>0.1</v>
      </c>
      <c r="M1590" s="414">
        <f>ROUND(+L1590*C1590,4)</f>
        <v>0</v>
      </c>
      <c r="N1590" s="414"/>
      <c r="O1590" s="414"/>
      <c r="P1590" s="414"/>
      <c r="Q1590" s="419">
        <f>ROUND(+N1590+O1590+P1590,4)</f>
        <v>0</v>
      </c>
      <c r="R1590" s="419">
        <f>ROUND(IF(+Q1590-H1590&lt;=0,0,Q1590-H1590),4)</f>
        <v>0</v>
      </c>
      <c r="S1590" s="423">
        <v>0.5</v>
      </c>
      <c r="T1590" s="419">
        <f>ROUND(+(R1590*C1590)*S1590,4)</f>
        <v>0</v>
      </c>
      <c r="U1590" s="419">
        <f>ROUND(+J1590+M1590+T1590,4)</f>
        <v>0</v>
      </c>
      <c r="V1590" s="235"/>
    </row>
    <row r="1591" spans="1:22" ht="15.75" x14ac:dyDescent="0.25">
      <c r="A1591" s="231"/>
      <c r="B1591" s="232"/>
      <c r="C1591" s="400"/>
      <c r="D1591" s="233"/>
      <c r="E1591" s="405"/>
      <c r="F1591" s="405"/>
      <c r="G1591" s="405"/>
      <c r="H1591" s="408">
        <f>ROUND(+E1591+F1591+G1591,4)</f>
        <v>0</v>
      </c>
      <c r="I1591" s="234"/>
      <c r="J1591" s="411"/>
      <c r="K1591" s="411"/>
      <c r="L1591" s="414">
        <v>0.1</v>
      </c>
      <c r="M1591" s="414">
        <f>ROUND(+L1591*C1591,4)</f>
        <v>0</v>
      </c>
      <c r="N1591" s="414"/>
      <c r="O1591" s="414"/>
      <c r="P1591" s="414"/>
      <c r="Q1591" s="419">
        <f>ROUND(+N1591+O1591+P1591,4)</f>
        <v>0</v>
      </c>
      <c r="R1591" s="419">
        <f>ROUND(IF(+Q1591-H1591&lt;=0,0,Q1591-H1591),4)</f>
        <v>0</v>
      </c>
      <c r="S1591" s="423">
        <v>0.5</v>
      </c>
      <c r="T1591" s="419">
        <f>ROUND(+(R1591*C1591)*S1591,4)</f>
        <v>0</v>
      </c>
      <c r="U1591" s="419">
        <f>ROUND(+J1591+M1591+T1591,4)</f>
        <v>0</v>
      </c>
      <c r="V1591" s="235"/>
    </row>
    <row r="1592" spans="1:22" ht="15.75" x14ac:dyDescent="0.25">
      <c r="A1592" s="231"/>
      <c r="B1592" s="232"/>
      <c r="C1592" s="400"/>
      <c r="D1592" s="233"/>
      <c r="E1592" s="405"/>
      <c r="F1592" s="405"/>
      <c r="G1592" s="405"/>
      <c r="H1592" s="408">
        <f>ROUND(+E1592+F1592+G1592,4)</f>
        <v>0</v>
      </c>
      <c r="I1592" s="234"/>
      <c r="J1592" s="411"/>
      <c r="K1592" s="411"/>
      <c r="L1592" s="414">
        <v>0.1</v>
      </c>
      <c r="M1592" s="414">
        <f>ROUND(+L1592*C1592,4)</f>
        <v>0</v>
      </c>
      <c r="N1592" s="414"/>
      <c r="O1592" s="414"/>
      <c r="P1592" s="414"/>
      <c r="Q1592" s="419">
        <f>ROUND(+N1592+O1592+P1592,4)</f>
        <v>0</v>
      </c>
      <c r="R1592" s="419">
        <f>ROUND(IF(+Q1592-H1592&lt;=0,0,Q1592-H1592),4)</f>
        <v>0</v>
      </c>
      <c r="S1592" s="423">
        <v>0.5</v>
      </c>
      <c r="T1592" s="419">
        <f>ROUND(+(R1592*C1592)*S1592,4)</f>
        <v>0</v>
      </c>
      <c r="U1592" s="419">
        <f>ROUND(+J1592+M1592+T1592,4)</f>
        <v>0</v>
      </c>
      <c r="V1592" s="235"/>
    </row>
    <row r="1593" spans="1:22" ht="15.75" x14ac:dyDescent="0.25">
      <c r="A1593" s="231"/>
      <c r="B1593" s="232"/>
      <c r="C1593" s="400"/>
      <c r="D1593" s="233"/>
      <c r="E1593" s="405"/>
      <c r="F1593" s="405"/>
      <c r="G1593" s="405"/>
      <c r="H1593" s="408">
        <f>ROUND(+E1593+F1593+G1593,4)</f>
        <v>0</v>
      </c>
      <c r="I1593" s="234"/>
      <c r="J1593" s="411"/>
      <c r="K1593" s="411"/>
      <c r="L1593" s="414">
        <v>0.1</v>
      </c>
      <c r="M1593" s="414">
        <f>ROUND(+L1593*C1593,4)</f>
        <v>0</v>
      </c>
      <c r="N1593" s="414"/>
      <c r="O1593" s="414"/>
      <c r="P1593" s="414"/>
      <c r="Q1593" s="419">
        <f>ROUND(+N1593+O1593+P1593,4)</f>
        <v>0</v>
      </c>
      <c r="R1593" s="419">
        <f>ROUND(IF(+Q1593-H1593&lt;=0,0,Q1593-H1593),4)</f>
        <v>0</v>
      </c>
      <c r="S1593" s="423">
        <v>0.5</v>
      </c>
      <c r="T1593" s="419">
        <f>ROUND(+(R1593*C1593)*S1593,4)</f>
        <v>0</v>
      </c>
      <c r="U1593" s="419">
        <f>ROUND(+J1593+M1593+T1593,4)</f>
        <v>0</v>
      </c>
      <c r="V1593" s="235"/>
    </row>
    <row r="1594" spans="1:22" ht="15.75" x14ac:dyDescent="0.25">
      <c r="A1594" s="231"/>
      <c r="B1594" s="232"/>
      <c r="C1594" s="400"/>
      <c r="D1594" s="233"/>
      <c r="E1594" s="405"/>
      <c r="F1594" s="405"/>
      <c r="G1594" s="405"/>
      <c r="H1594" s="408">
        <f>ROUND(+E1594+F1594+G1594,4)</f>
        <v>0</v>
      </c>
      <c r="I1594" s="234"/>
      <c r="J1594" s="411"/>
      <c r="K1594" s="411"/>
      <c r="L1594" s="414">
        <v>0.1</v>
      </c>
      <c r="M1594" s="414">
        <f>ROUND(+L1594*C1594,4)</f>
        <v>0</v>
      </c>
      <c r="N1594" s="414"/>
      <c r="O1594" s="414"/>
      <c r="P1594" s="414"/>
      <c r="Q1594" s="419">
        <f>ROUND(+N1594+O1594+P1594,4)</f>
        <v>0</v>
      </c>
      <c r="R1594" s="419">
        <f>ROUND(IF(+Q1594-H1594&lt;=0,0,Q1594-H1594),4)</f>
        <v>0</v>
      </c>
      <c r="S1594" s="423">
        <v>0.5</v>
      </c>
      <c r="T1594" s="419">
        <f>ROUND(+(R1594*C1594)*S1594,4)</f>
        <v>0</v>
      </c>
      <c r="U1594" s="419">
        <f>ROUND(+J1594+M1594+T1594,4)</f>
        <v>0</v>
      </c>
      <c r="V1594" s="235"/>
    </row>
    <row r="1595" spans="1:22" ht="15.75" x14ac:dyDescent="0.25">
      <c r="A1595" s="231"/>
      <c r="B1595" s="232"/>
      <c r="C1595" s="400"/>
      <c r="D1595" s="233"/>
      <c r="E1595" s="405"/>
      <c r="F1595" s="405"/>
      <c r="G1595" s="405"/>
      <c r="H1595" s="408">
        <f>ROUND(+E1595+F1595+G1595,4)</f>
        <v>0</v>
      </c>
      <c r="I1595" s="234"/>
      <c r="J1595" s="411"/>
      <c r="K1595" s="411"/>
      <c r="L1595" s="414">
        <v>0.1</v>
      </c>
      <c r="M1595" s="414">
        <f>ROUND(+L1595*C1595,4)</f>
        <v>0</v>
      </c>
      <c r="N1595" s="414"/>
      <c r="O1595" s="414"/>
      <c r="P1595" s="414"/>
      <c r="Q1595" s="419">
        <f>ROUND(+N1595+O1595+P1595,4)</f>
        <v>0</v>
      </c>
      <c r="R1595" s="419">
        <f>ROUND(IF(+Q1595-H1595&lt;=0,0,Q1595-H1595),4)</f>
        <v>0</v>
      </c>
      <c r="S1595" s="423">
        <v>0.5</v>
      </c>
      <c r="T1595" s="419">
        <f>ROUND(+(R1595*C1595)*S1595,4)</f>
        <v>0</v>
      </c>
      <c r="U1595" s="419">
        <f>ROUND(+J1595+M1595+T1595,4)</f>
        <v>0</v>
      </c>
      <c r="V1595" s="235"/>
    </row>
    <row r="1596" spans="1:22" ht="15.75" x14ac:dyDescent="0.25">
      <c r="A1596" s="231"/>
      <c r="B1596" s="232"/>
      <c r="C1596" s="400"/>
      <c r="D1596" s="233"/>
      <c r="E1596" s="405"/>
      <c r="F1596" s="405"/>
      <c r="G1596" s="405"/>
      <c r="H1596" s="408">
        <f>ROUND(+E1596+F1596+G1596,4)</f>
        <v>0</v>
      </c>
      <c r="I1596" s="234"/>
      <c r="J1596" s="411"/>
      <c r="K1596" s="411"/>
      <c r="L1596" s="414">
        <v>0.1</v>
      </c>
      <c r="M1596" s="414">
        <f>ROUND(+L1596*C1596,4)</f>
        <v>0</v>
      </c>
      <c r="N1596" s="414"/>
      <c r="O1596" s="414"/>
      <c r="P1596" s="414"/>
      <c r="Q1596" s="419">
        <f>ROUND(+N1596+O1596+P1596,4)</f>
        <v>0</v>
      </c>
      <c r="R1596" s="419">
        <f>ROUND(IF(+Q1596-H1596&lt;=0,0,Q1596-H1596),4)</f>
        <v>0</v>
      </c>
      <c r="S1596" s="423">
        <v>0.5</v>
      </c>
      <c r="T1596" s="419">
        <f>ROUND(+(R1596*C1596)*S1596,4)</f>
        <v>0</v>
      </c>
      <c r="U1596" s="419">
        <f>ROUND(+J1596+M1596+T1596,4)</f>
        <v>0</v>
      </c>
      <c r="V1596" s="235"/>
    </row>
    <row r="1597" spans="1:22" ht="15.75" x14ac:dyDescent="0.25">
      <c r="A1597" s="231"/>
      <c r="B1597" s="232"/>
      <c r="C1597" s="400"/>
      <c r="D1597" s="233"/>
      <c r="E1597" s="405"/>
      <c r="F1597" s="405"/>
      <c r="G1597" s="405"/>
      <c r="H1597" s="408">
        <f>ROUND(+E1597+F1597+G1597,4)</f>
        <v>0</v>
      </c>
      <c r="I1597" s="234"/>
      <c r="J1597" s="411"/>
      <c r="K1597" s="411"/>
      <c r="L1597" s="414">
        <v>0.1</v>
      </c>
      <c r="M1597" s="414">
        <f>ROUND(+L1597*C1597,4)</f>
        <v>0</v>
      </c>
      <c r="N1597" s="414"/>
      <c r="O1597" s="414"/>
      <c r="P1597" s="414"/>
      <c r="Q1597" s="419">
        <f>ROUND(+N1597+O1597+P1597,4)</f>
        <v>0</v>
      </c>
      <c r="R1597" s="419">
        <f>ROUND(IF(+Q1597-H1597&lt;=0,0,Q1597-H1597),4)</f>
        <v>0</v>
      </c>
      <c r="S1597" s="423">
        <v>0.5</v>
      </c>
      <c r="T1597" s="419">
        <f>ROUND(+(R1597*C1597)*S1597,4)</f>
        <v>0</v>
      </c>
      <c r="U1597" s="419">
        <f>ROUND(+J1597+M1597+T1597,4)</f>
        <v>0</v>
      </c>
      <c r="V1597" s="235"/>
    </row>
    <row r="1598" spans="1:22" ht="15.75" x14ac:dyDescent="0.25">
      <c r="A1598" s="231"/>
      <c r="B1598" s="232"/>
      <c r="C1598" s="400"/>
      <c r="D1598" s="233"/>
      <c r="E1598" s="405"/>
      <c r="F1598" s="405"/>
      <c r="G1598" s="405"/>
      <c r="H1598" s="408">
        <f>ROUND(+E1598+F1598+G1598,4)</f>
        <v>0</v>
      </c>
      <c r="I1598" s="234"/>
      <c r="J1598" s="411"/>
      <c r="K1598" s="411"/>
      <c r="L1598" s="414">
        <v>0.1</v>
      </c>
      <c r="M1598" s="414">
        <f>ROUND(+L1598*C1598,4)</f>
        <v>0</v>
      </c>
      <c r="N1598" s="414"/>
      <c r="O1598" s="414"/>
      <c r="P1598" s="414"/>
      <c r="Q1598" s="419">
        <f>ROUND(+N1598+O1598+P1598,4)</f>
        <v>0</v>
      </c>
      <c r="R1598" s="419">
        <f>ROUND(IF(+Q1598-H1598&lt;=0,0,Q1598-H1598),4)</f>
        <v>0</v>
      </c>
      <c r="S1598" s="423">
        <v>0.5</v>
      </c>
      <c r="T1598" s="419">
        <f>ROUND(+(R1598*C1598)*S1598,4)</f>
        <v>0</v>
      </c>
      <c r="U1598" s="419">
        <f>ROUND(+J1598+M1598+T1598,4)</f>
        <v>0</v>
      </c>
      <c r="V1598" s="235"/>
    </row>
    <row r="1599" spans="1:22" ht="15.75" x14ac:dyDescent="0.25">
      <c r="A1599" s="231"/>
      <c r="B1599" s="232"/>
      <c r="C1599" s="400"/>
      <c r="D1599" s="233"/>
      <c r="E1599" s="405"/>
      <c r="F1599" s="405"/>
      <c r="G1599" s="405"/>
      <c r="H1599" s="408">
        <f>ROUND(+E1599+F1599+G1599,4)</f>
        <v>0</v>
      </c>
      <c r="I1599" s="234"/>
      <c r="J1599" s="411"/>
      <c r="K1599" s="411"/>
      <c r="L1599" s="414">
        <v>0.1</v>
      </c>
      <c r="M1599" s="414">
        <f>ROUND(+L1599*C1599,4)</f>
        <v>0</v>
      </c>
      <c r="N1599" s="414"/>
      <c r="O1599" s="414"/>
      <c r="P1599" s="414"/>
      <c r="Q1599" s="419">
        <f>ROUND(+N1599+O1599+P1599,4)</f>
        <v>0</v>
      </c>
      <c r="R1599" s="419">
        <f>ROUND(IF(+Q1599-H1599&lt;=0,0,Q1599-H1599),4)</f>
        <v>0</v>
      </c>
      <c r="S1599" s="423">
        <v>0.5</v>
      </c>
      <c r="T1599" s="419">
        <f>ROUND(+(R1599*C1599)*S1599,4)</f>
        <v>0</v>
      </c>
      <c r="U1599" s="419">
        <f>ROUND(+J1599+M1599+T1599,4)</f>
        <v>0</v>
      </c>
      <c r="V1599" s="235"/>
    </row>
    <row r="1600" spans="1:22" ht="15.75" x14ac:dyDescent="0.25">
      <c r="A1600" s="231"/>
      <c r="B1600" s="232"/>
      <c r="C1600" s="400"/>
      <c r="D1600" s="233"/>
      <c r="E1600" s="405"/>
      <c r="F1600" s="405"/>
      <c r="G1600" s="405"/>
      <c r="H1600" s="408">
        <f>ROUND(+E1600+F1600+G1600,4)</f>
        <v>0</v>
      </c>
      <c r="I1600" s="234"/>
      <c r="J1600" s="411"/>
      <c r="K1600" s="411"/>
      <c r="L1600" s="414">
        <v>0.1</v>
      </c>
      <c r="M1600" s="414">
        <f>ROUND(+L1600*C1600,4)</f>
        <v>0</v>
      </c>
      <c r="N1600" s="414"/>
      <c r="O1600" s="414"/>
      <c r="P1600" s="414"/>
      <c r="Q1600" s="419">
        <f>ROUND(+N1600+O1600+P1600,4)</f>
        <v>0</v>
      </c>
      <c r="R1600" s="419">
        <f>ROUND(IF(+Q1600-H1600&lt;=0,0,Q1600-H1600),4)</f>
        <v>0</v>
      </c>
      <c r="S1600" s="423">
        <v>0.5</v>
      </c>
      <c r="T1600" s="419">
        <f>ROUND(+(R1600*C1600)*S1600,4)</f>
        <v>0</v>
      </c>
      <c r="U1600" s="419">
        <f>ROUND(+J1600+M1600+T1600,4)</f>
        <v>0</v>
      </c>
      <c r="V1600" s="235"/>
    </row>
    <row r="1601" spans="1:22" ht="15.75" x14ac:dyDescent="0.25">
      <c r="A1601" s="231"/>
      <c r="B1601" s="232"/>
      <c r="C1601" s="400"/>
      <c r="D1601" s="233"/>
      <c r="E1601" s="405"/>
      <c r="F1601" s="405"/>
      <c r="G1601" s="405"/>
      <c r="H1601" s="408">
        <f>ROUND(+E1601+F1601+G1601,4)</f>
        <v>0</v>
      </c>
      <c r="I1601" s="234"/>
      <c r="J1601" s="411"/>
      <c r="K1601" s="411"/>
      <c r="L1601" s="414">
        <v>0.1</v>
      </c>
      <c r="M1601" s="414">
        <f>ROUND(+L1601*C1601,4)</f>
        <v>0</v>
      </c>
      <c r="N1601" s="414"/>
      <c r="O1601" s="414"/>
      <c r="P1601" s="414"/>
      <c r="Q1601" s="419">
        <f>ROUND(+N1601+O1601+P1601,4)</f>
        <v>0</v>
      </c>
      <c r="R1601" s="419">
        <f>ROUND(IF(+Q1601-H1601&lt;=0,0,Q1601-H1601),4)</f>
        <v>0</v>
      </c>
      <c r="S1601" s="423">
        <v>0.5</v>
      </c>
      <c r="T1601" s="419">
        <f>ROUND(+(R1601*C1601)*S1601,4)</f>
        <v>0</v>
      </c>
      <c r="U1601" s="419">
        <f>ROUND(+J1601+M1601+T1601,4)</f>
        <v>0</v>
      </c>
      <c r="V1601" s="235"/>
    </row>
    <row r="1602" spans="1:22" ht="15.75" x14ac:dyDescent="0.25">
      <c r="A1602" s="231"/>
      <c r="B1602" s="232"/>
      <c r="C1602" s="400"/>
      <c r="D1602" s="233"/>
      <c r="E1602" s="405"/>
      <c r="F1602" s="405"/>
      <c r="G1602" s="405"/>
      <c r="H1602" s="408">
        <f>ROUND(+E1602+F1602+G1602,4)</f>
        <v>0</v>
      </c>
      <c r="I1602" s="234"/>
      <c r="J1602" s="411"/>
      <c r="K1602" s="411"/>
      <c r="L1602" s="414">
        <v>0.1</v>
      </c>
      <c r="M1602" s="414">
        <f>ROUND(+L1602*C1602,4)</f>
        <v>0</v>
      </c>
      <c r="N1602" s="414"/>
      <c r="O1602" s="414"/>
      <c r="P1602" s="414"/>
      <c r="Q1602" s="419">
        <f>ROUND(+N1602+O1602+P1602,4)</f>
        <v>0</v>
      </c>
      <c r="R1602" s="419">
        <f>ROUND(IF(+Q1602-H1602&lt;=0,0,Q1602-H1602),4)</f>
        <v>0</v>
      </c>
      <c r="S1602" s="423">
        <v>0.5</v>
      </c>
      <c r="T1602" s="419">
        <f>ROUND(+(R1602*C1602)*S1602,4)</f>
        <v>0</v>
      </c>
      <c r="U1602" s="419">
        <f>ROUND(+J1602+M1602+T1602,4)</f>
        <v>0</v>
      </c>
      <c r="V1602" s="235"/>
    </row>
    <row r="1603" spans="1:22" ht="15.75" x14ac:dyDescent="0.25">
      <c r="A1603" s="231"/>
      <c r="B1603" s="232"/>
      <c r="C1603" s="400"/>
      <c r="D1603" s="233"/>
      <c r="E1603" s="405"/>
      <c r="F1603" s="405"/>
      <c r="G1603" s="405"/>
      <c r="H1603" s="408">
        <f>ROUND(+E1603+F1603+G1603,4)</f>
        <v>0</v>
      </c>
      <c r="I1603" s="234"/>
      <c r="J1603" s="411"/>
      <c r="K1603" s="411"/>
      <c r="L1603" s="414">
        <v>0.1</v>
      </c>
      <c r="M1603" s="414">
        <f>ROUND(+L1603*C1603,4)</f>
        <v>0</v>
      </c>
      <c r="N1603" s="414"/>
      <c r="O1603" s="414"/>
      <c r="P1603" s="414"/>
      <c r="Q1603" s="419">
        <f>ROUND(+N1603+O1603+P1603,4)</f>
        <v>0</v>
      </c>
      <c r="R1603" s="419">
        <f>ROUND(IF(+Q1603-H1603&lt;=0,0,Q1603-H1603),4)</f>
        <v>0</v>
      </c>
      <c r="S1603" s="423">
        <v>0.5</v>
      </c>
      <c r="T1603" s="419">
        <f>ROUND(+(R1603*C1603)*S1603,4)</f>
        <v>0</v>
      </c>
      <c r="U1603" s="419">
        <f>ROUND(+J1603+M1603+T1603,4)</f>
        <v>0</v>
      </c>
      <c r="V1603" s="235"/>
    </row>
    <row r="1604" spans="1:22" ht="15.75" x14ac:dyDescent="0.25">
      <c r="A1604" s="231"/>
      <c r="B1604" s="232"/>
      <c r="C1604" s="400"/>
      <c r="D1604" s="233"/>
      <c r="E1604" s="405"/>
      <c r="F1604" s="405"/>
      <c r="G1604" s="405"/>
      <c r="H1604" s="408">
        <f>ROUND(+E1604+F1604+G1604,4)</f>
        <v>0</v>
      </c>
      <c r="I1604" s="234"/>
      <c r="J1604" s="411"/>
      <c r="K1604" s="411"/>
      <c r="L1604" s="414">
        <v>0.1</v>
      </c>
      <c r="M1604" s="414">
        <f>ROUND(+L1604*C1604,4)</f>
        <v>0</v>
      </c>
      <c r="N1604" s="414"/>
      <c r="O1604" s="414"/>
      <c r="P1604" s="414"/>
      <c r="Q1604" s="419">
        <f>ROUND(+N1604+O1604+P1604,4)</f>
        <v>0</v>
      </c>
      <c r="R1604" s="419">
        <f>ROUND(IF(+Q1604-H1604&lt;=0,0,Q1604-H1604),4)</f>
        <v>0</v>
      </c>
      <c r="S1604" s="423">
        <v>0.5</v>
      </c>
      <c r="T1604" s="419">
        <f>ROUND(+(R1604*C1604)*S1604,4)</f>
        <v>0</v>
      </c>
      <c r="U1604" s="419">
        <f>ROUND(+J1604+M1604+T1604,4)</f>
        <v>0</v>
      </c>
      <c r="V1604" s="235"/>
    </row>
    <row r="1605" spans="1:22" ht="15.75" x14ac:dyDescent="0.25">
      <c r="A1605" s="231"/>
      <c r="B1605" s="232"/>
      <c r="C1605" s="400"/>
      <c r="D1605" s="233"/>
      <c r="E1605" s="405"/>
      <c r="F1605" s="405"/>
      <c r="G1605" s="405"/>
      <c r="H1605" s="408">
        <f>ROUND(+E1605+F1605+G1605,4)</f>
        <v>0</v>
      </c>
      <c r="I1605" s="234"/>
      <c r="J1605" s="411"/>
      <c r="K1605" s="411"/>
      <c r="L1605" s="414">
        <v>0.1</v>
      </c>
      <c r="M1605" s="414">
        <f>ROUND(+L1605*C1605,4)</f>
        <v>0</v>
      </c>
      <c r="N1605" s="414"/>
      <c r="O1605" s="414"/>
      <c r="P1605" s="414"/>
      <c r="Q1605" s="419">
        <f>ROUND(+N1605+O1605+P1605,4)</f>
        <v>0</v>
      </c>
      <c r="R1605" s="419">
        <f>ROUND(IF(+Q1605-H1605&lt;=0,0,Q1605-H1605),4)</f>
        <v>0</v>
      </c>
      <c r="S1605" s="423">
        <v>0.5</v>
      </c>
      <c r="T1605" s="419">
        <f>ROUND(+(R1605*C1605)*S1605,4)</f>
        <v>0</v>
      </c>
      <c r="U1605" s="419">
        <f>ROUND(+J1605+M1605+T1605,4)</f>
        <v>0</v>
      </c>
      <c r="V1605" s="235"/>
    </row>
    <row r="1606" spans="1:22" ht="15.75" x14ac:dyDescent="0.25">
      <c r="A1606" s="231"/>
      <c r="B1606" s="232"/>
      <c r="C1606" s="400"/>
      <c r="D1606" s="233"/>
      <c r="E1606" s="405"/>
      <c r="F1606" s="405"/>
      <c r="G1606" s="405"/>
      <c r="H1606" s="408">
        <f>ROUND(+E1606+F1606+G1606,4)</f>
        <v>0</v>
      </c>
      <c r="I1606" s="234"/>
      <c r="J1606" s="411"/>
      <c r="K1606" s="411"/>
      <c r="L1606" s="414">
        <v>0.1</v>
      </c>
      <c r="M1606" s="414">
        <f>ROUND(+L1606*C1606,4)</f>
        <v>0</v>
      </c>
      <c r="N1606" s="414"/>
      <c r="O1606" s="414"/>
      <c r="P1606" s="414"/>
      <c r="Q1606" s="419">
        <f>ROUND(+N1606+O1606+P1606,4)</f>
        <v>0</v>
      </c>
      <c r="R1606" s="419">
        <f>ROUND(IF(+Q1606-H1606&lt;=0,0,Q1606-H1606),4)</f>
        <v>0</v>
      </c>
      <c r="S1606" s="423">
        <v>0.5</v>
      </c>
      <c r="T1606" s="419">
        <f>ROUND(+(R1606*C1606)*S1606,4)</f>
        <v>0</v>
      </c>
      <c r="U1606" s="419">
        <f>ROUND(+J1606+M1606+T1606,4)</f>
        <v>0</v>
      </c>
      <c r="V1606" s="235"/>
    </row>
    <row r="1607" spans="1:22" ht="15.75" x14ac:dyDescent="0.25">
      <c r="A1607" s="231"/>
      <c r="B1607" s="232"/>
      <c r="C1607" s="400"/>
      <c r="D1607" s="233"/>
      <c r="E1607" s="405"/>
      <c r="F1607" s="405"/>
      <c r="G1607" s="405"/>
      <c r="H1607" s="408">
        <f>ROUND(+E1607+F1607+G1607,4)</f>
        <v>0</v>
      </c>
      <c r="I1607" s="234"/>
      <c r="J1607" s="411"/>
      <c r="K1607" s="411"/>
      <c r="L1607" s="414">
        <v>0.1</v>
      </c>
      <c r="M1607" s="414">
        <f>ROUND(+L1607*C1607,4)</f>
        <v>0</v>
      </c>
      <c r="N1607" s="414"/>
      <c r="O1607" s="414"/>
      <c r="P1607" s="414"/>
      <c r="Q1607" s="419">
        <f>ROUND(+N1607+O1607+P1607,4)</f>
        <v>0</v>
      </c>
      <c r="R1607" s="419">
        <f>ROUND(IF(+Q1607-H1607&lt;=0,0,Q1607-H1607),4)</f>
        <v>0</v>
      </c>
      <c r="S1607" s="423">
        <v>0.5</v>
      </c>
      <c r="T1607" s="419">
        <f>ROUND(+(R1607*C1607)*S1607,4)</f>
        <v>0</v>
      </c>
      <c r="U1607" s="419">
        <f>ROUND(+J1607+M1607+T1607,4)</f>
        <v>0</v>
      </c>
      <c r="V1607" s="235"/>
    </row>
    <row r="1608" spans="1:22" ht="15.75" x14ac:dyDescent="0.25">
      <c r="A1608" s="231"/>
      <c r="B1608" s="232"/>
      <c r="C1608" s="400"/>
      <c r="D1608" s="233"/>
      <c r="E1608" s="405"/>
      <c r="F1608" s="405"/>
      <c r="G1608" s="405"/>
      <c r="H1608" s="408">
        <f>ROUND(+E1608+F1608+G1608,4)</f>
        <v>0</v>
      </c>
      <c r="I1608" s="234"/>
      <c r="J1608" s="411"/>
      <c r="K1608" s="411"/>
      <c r="L1608" s="414">
        <v>0.1</v>
      </c>
      <c r="M1608" s="414">
        <f>ROUND(+L1608*C1608,4)</f>
        <v>0</v>
      </c>
      <c r="N1608" s="414"/>
      <c r="O1608" s="414"/>
      <c r="P1608" s="414"/>
      <c r="Q1608" s="419">
        <f>ROUND(+N1608+O1608+P1608,4)</f>
        <v>0</v>
      </c>
      <c r="R1608" s="419">
        <f>ROUND(IF(+Q1608-H1608&lt;=0,0,Q1608-H1608),4)</f>
        <v>0</v>
      </c>
      <c r="S1608" s="423">
        <v>0.5</v>
      </c>
      <c r="T1608" s="419">
        <f>ROUND(+(R1608*C1608)*S1608,4)</f>
        <v>0</v>
      </c>
      <c r="U1608" s="419">
        <f>ROUND(+J1608+M1608+T1608,4)</f>
        <v>0</v>
      </c>
      <c r="V1608" s="235"/>
    </row>
    <row r="1609" spans="1:22" ht="15.75" x14ac:dyDescent="0.25">
      <c r="A1609" s="231"/>
      <c r="B1609" s="232"/>
      <c r="C1609" s="400"/>
      <c r="D1609" s="233"/>
      <c r="E1609" s="405"/>
      <c r="F1609" s="405"/>
      <c r="G1609" s="405"/>
      <c r="H1609" s="408">
        <f>ROUND(+E1609+F1609+G1609,4)</f>
        <v>0</v>
      </c>
      <c r="I1609" s="234"/>
      <c r="J1609" s="411"/>
      <c r="K1609" s="411"/>
      <c r="L1609" s="414">
        <v>0.1</v>
      </c>
      <c r="M1609" s="414">
        <f>ROUND(+L1609*C1609,4)</f>
        <v>0</v>
      </c>
      <c r="N1609" s="414"/>
      <c r="O1609" s="414"/>
      <c r="P1609" s="414"/>
      <c r="Q1609" s="419">
        <f>ROUND(+N1609+O1609+P1609,4)</f>
        <v>0</v>
      </c>
      <c r="R1609" s="419">
        <f>ROUND(IF(+Q1609-H1609&lt;=0,0,Q1609-H1609),4)</f>
        <v>0</v>
      </c>
      <c r="S1609" s="423">
        <v>0.5</v>
      </c>
      <c r="T1609" s="419">
        <f>ROUND(+(R1609*C1609)*S1609,4)</f>
        <v>0</v>
      </c>
      <c r="U1609" s="419">
        <f>ROUND(+J1609+M1609+T1609,4)</f>
        <v>0</v>
      </c>
      <c r="V1609" s="235"/>
    </row>
    <row r="1610" spans="1:22" ht="15.75" x14ac:dyDescent="0.25">
      <c r="A1610" s="231"/>
      <c r="B1610" s="232"/>
      <c r="C1610" s="400"/>
      <c r="D1610" s="233"/>
      <c r="E1610" s="405"/>
      <c r="F1610" s="405"/>
      <c r="G1610" s="405"/>
      <c r="H1610" s="408">
        <f>ROUND(+E1610+F1610+G1610,4)</f>
        <v>0</v>
      </c>
      <c r="I1610" s="234"/>
      <c r="J1610" s="411"/>
      <c r="K1610" s="411"/>
      <c r="L1610" s="414">
        <v>0.1</v>
      </c>
      <c r="M1610" s="414">
        <f>ROUND(+L1610*C1610,4)</f>
        <v>0</v>
      </c>
      <c r="N1610" s="414"/>
      <c r="O1610" s="414"/>
      <c r="P1610" s="414"/>
      <c r="Q1610" s="419">
        <f>ROUND(+N1610+O1610+P1610,4)</f>
        <v>0</v>
      </c>
      <c r="R1610" s="419">
        <f>ROUND(IF(+Q1610-H1610&lt;=0,0,Q1610-H1610),4)</f>
        <v>0</v>
      </c>
      <c r="S1610" s="423">
        <v>0.5</v>
      </c>
      <c r="T1610" s="419">
        <f>ROUND(+(R1610*C1610)*S1610,4)</f>
        <v>0</v>
      </c>
      <c r="U1610" s="419">
        <f>ROUND(+J1610+M1610+T1610,4)</f>
        <v>0</v>
      </c>
      <c r="V1610" s="235"/>
    </row>
    <row r="1611" spans="1:22" ht="15.75" x14ac:dyDescent="0.25">
      <c r="A1611" s="231"/>
      <c r="B1611" s="232"/>
      <c r="C1611" s="400"/>
      <c r="D1611" s="233"/>
      <c r="E1611" s="405"/>
      <c r="F1611" s="405"/>
      <c r="G1611" s="405"/>
      <c r="H1611" s="408">
        <f>ROUND(+E1611+F1611+G1611,4)</f>
        <v>0</v>
      </c>
      <c r="I1611" s="234"/>
      <c r="J1611" s="411"/>
      <c r="K1611" s="411"/>
      <c r="L1611" s="414">
        <v>0.1</v>
      </c>
      <c r="M1611" s="414">
        <f>ROUND(+L1611*C1611,4)</f>
        <v>0</v>
      </c>
      <c r="N1611" s="414"/>
      <c r="O1611" s="414"/>
      <c r="P1611" s="414"/>
      <c r="Q1611" s="419">
        <f>ROUND(+N1611+O1611+P1611,4)</f>
        <v>0</v>
      </c>
      <c r="R1611" s="419">
        <f>ROUND(IF(+Q1611-H1611&lt;=0,0,Q1611-H1611),4)</f>
        <v>0</v>
      </c>
      <c r="S1611" s="423">
        <v>0.5</v>
      </c>
      <c r="T1611" s="419">
        <f>ROUND(+(R1611*C1611)*S1611,4)</f>
        <v>0</v>
      </c>
      <c r="U1611" s="419">
        <f>ROUND(+J1611+M1611+T1611,4)</f>
        <v>0</v>
      </c>
      <c r="V1611" s="235"/>
    </row>
    <row r="1612" spans="1:22" ht="15.75" x14ac:dyDescent="0.25">
      <c r="A1612" s="231"/>
      <c r="B1612" s="232"/>
      <c r="C1612" s="400"/>
      <c r="D1612" s="233"/>
      <c r="E1612" s="405"/>
      <c r="F1612" s="405"/>
      <c r="G1612" s="405"/>
      <c r="H1612" s="408">
        <f>ROUND(+E1612+F1612+G1612,4)</f>
        <v>0</v>
      </c>
      <c r="I1612" s="234"/>
      <c r="J1612" s="411"/>
      <c r="K1612" s="411"/>
      <c r="L1612" s="414">
        <v>0.1</v>
      </c>
      <c r="M1612" s="414">
        <f>ROUND(+L1612*C1612,4)</f>
        <v>0</v>
      </c>
      <c r="N1612" s="414"/>
      <c r="O1612" s="414"/>
      <c r="P1612" s="414"/>
      <c r="Q1612" s="419">
        <f>ROUND(+N1612+O1612+P1612,4)</f>
        <v>0</v>
      </c>
      <c r="R1612" s="419">
        <f>ROUND(IF(+Q1612-H1612&lt;=0,0,Q1612-H1612),4)</f>
        <v>0</v>
      </c>
      <c r="S1612" s="423">
        <v>0.5</v>
      </c>
      <c r="T1612" s="419">
        <f>ROUND(+(R1612*C1612)*S1612,4)</f>
        <v>0</v>
      </c>
      <c r="U1612" s="419">
        <f>ROUND(+J1612+M1612+T1612,4)</f>
        <v>0</v>
      </c>
      <c r="V1612" s="235"/>
    </row>
    <row r="1613" spans="1:22" ht="15.75" x14ac:dyDescent="0.25">
      <c r="A1613" s="231"/>
      <c r="B1613" s="232"/>
      <c r="C1613" s="400"/>
      <c r="D1613" s="233"/>
      <c r="E1613" s="405"/>
      <c r="F1613" s="405"/>
      <c r="G1613" s="405"/>
      <c r="H1613" s="408">
        <f>ROUND(+E1613+F1613+G1613,4)</f>
        <v>0</v>
      </c>
      <c r="I1613" s="234"/>
      <c r="J1613" s="411"/>
      <c r="K1613" s="411"/>
      <c r="L1613" s="414">
        <v>0.1</v>
      </c>
      <c r="M1613" s="414">
        <f>ROUND(+L1613*C1613,4)</f>
        <v>0</v>
      </c>
      <c r="N1613" s="414"/>
      <c r="O1613" s="414"/>
      <c r="P1613" s="414"/>
      <c r="Q1613" s="419">
        <f>ROUND(+N1613+O1613+P1613,4)</f>
        <v>0</v>
      </c>
      <c r="R1613" s="419">
        <f>ROUND(IF(+Q1613-H1613&lt;=0,0,Q1613-H1613),4)</f>
        <v>0</v>
      </c>
      <c r="S1613" s="423">
        <v>0.5</v>
      </c>
      <c r="T1613" s="419">
        <f>ROUND(+(R1613*C1613)*S1613,4)</f>
        <v>0</v>
      </c>
      <c r="U1613" s="419">
        <f>ROUND(+J1613+M1613+T1613,4)</f>
        <v>0</v>
      </c>
      <c r="V1613" s="235"/>
    </row>
    <row r="1614" spans="1:22" ht="15.75" x14ac:dyDescent="0.25">
      <c r="A1614" s="231"/>
      <c r="B1614" s="232"/>
      <c r="C1614" s="400"/>
      <c r="D1614" s="233"/>
      <c r="E1614" s="405"/>
      <c r="F1614" s="405"/>
      <c r="G1614" s="405"/>
      <c r="H1614" s="408">
        <f>ROUND(+E1614+F1614+G1614,4)</f>
        <v>0</v>
      </c>
      <c r="I1614" s="234"/>
      <c r="J1614" s="411"/>
      <c r="K1614" s="411"/>
      <c r="L1614" s="414">
        <v>0.1</v>
      </c>
      <c r="M1614" s="414">
        <f>ROUND(+L1614*C1614,4)</f>
        <v>0</v>
      </c>
      <c r="N1614" s="414"/>
      <c r="O1614" s="414"/>
      <c r="P1614" s="414"/>
      <c r="Q1614" s="419">
        <f>ROUND(+N1614+O1614+P1614,4)</f>
        <v>0</v>
      </c>
      <c r="R1614" s="419">
        <f>ROUND(IF(+Q1614-H1614&lt;=0,0,Q1614-H1614),4)</f>
        <v>0</v>
      </c>
      <c r="S1614" s="423">
        <v>0.5</v>
      </c>
      <c r="T1614" s="419">
        <f>ROUND(+(R1614*C1614)*S1614,4)</f>
        <v>0</v>
      </c>
      <c r="U1614" s="419">
        <f>ROUND(+J1614+M1614+T1614,4)</f>
        <v>0</v>
      </c>
      <c r="V1614" s="235"/>
    </row>
    <row r="1615" spans="1:22" ht="15.75" x14ac:dyDescent="0.25">
      <c r="A1615" s="231"/>
      <c r="B1615" s="232"/>
      <c r="C1615" s="400"/>
      <c r="D1615" s="233"/>
      <c r="E1615" s="405"/>
      <c r="F1615" s="405"/>
      <c r="G1615" s="405"/>
      <c r="H1615" s="408">
        <f>ROUND(+E1615+F1615+G1615,4)</f>
        <v>0</v>
      </c>
      <c r="I1615" s="234"/>
      <c r="J1615" s="411"/>
      <c r="K1615" s="411"/>
      <c r="L1615" s="414">
        <v>0.1</v>
      </c>
      <c r="M1615" s="414">
        <f>ROUND(+L1615*C1615,4)</f>
        <v>0</v>
      </c>
      <c r="N1615" s="414"/>
      <c r="O1615" s="414"/>
      <c r="P1615" s="414"/>
      <c r="Q1615" s="419">
        <f>ROUND(+N1615+O1615+P1615,4)</f>
        <v>0</v>
      </c>
      <c r="R1615" s="419">
        <f>ROUND(IF(+Q1615-H1615&lt;=0,0,Q1615-H1615),4)</f>
        <v>0</v>
      </c>
      <c r="S1615" s="423">
        <v>0.5</v>
      </c>
      <c r="T1615" s="419">
        <f>ROUND(+(R1615*C1615)*S1615,4)</f>
        <v>0</v>
      </c>
      <c r="U1615" s="419">
        <f>ROUND(+J1615+M1615+T1615,4)</f>
        <v>0</v>
      </c>
      <c r="V1615" s="235"/>
    </row>
    <row r="1616" spans="1:22" ht="15.75" x14ac:dyDescent="0.25">
      <c r="A1616" s="231"/>
      <c r="B1616" s="232"/>
      <c r="C1616" s="400"/>
      <c r="D1616" s="233"/>
      <c r="E1616" s="405"/>
      <c r="F1616" s="405"/>
      <c r="G1616" s="405"/>
      <c r="H1616" s="408">
        <f>ROUND(+E1616+F1616+G1616,4)</f>
        <v>0</v>
      </c>
      <c r="I1616" s="234"/>
      <c r="J1616" s="411"/>
      <c r="K1616" s="411"/>
      <c r="L1616" s="414">
        <v>0.1</v>
      </c>
      <c r="M1616" s="414">
        <f>ROUND(+L1616*C1616,4)</f>
        <v>0</v>
      </c>
      <c r="N1616" s="414"/>
      <c r="O1616" s="414"/>
      <c r="P1616" s="414"/>
      <c r="Q1616" s="419">
        <f>ROUND(+N1616+O1616+P1616,4)</f>
        <v>0</v>
      </c>
      <c r="R1616" s="419">
        <f>ROUND(IF(+Q1616-H1616&lt;=0,0,Q1616-H1616),4)</f>
        <v>0</v>
      </c>
      <c r="S1616" s="423">
        <v>0.5</v>
      </c>
      <c r="T1616" s="419">
        <f>ROUND(+(R1616*C1616)*S1616,4)</f>
        <v>0</v>
      </c>
      <c r="U1616" s="419">
        <f>ROUND(+J1616+M1616+T1616,4)</f>
        <v>0</v>
      </c>
      <c r="V1616" s="235"/>
    </row>
    <row r="1617" spans="1:22" ht="15.75" x14ac:dyDescent="0.25">
      <c r="A1617" s="231"/>
      <c r="B1617" s="232"/>
      <c r="C1617" s="400"/>
      <c r="D1617" s="233"/>
      <c r="E1617" s="405"/>
      <c r="F1617" s="405"/>
      <c r="G1617" s="405"/>
      <c r="H1617" s="408">
        <f>ROUND(+E1617+F1617+G1617,4)</f>
        <v>0</v>
      </c>
      <c r="I1617" s="234"/>
      <c r="J1617" s="411"/>
      <c r="K1617" s="411"/>
      <c r="L1617" s="414">
        <v>0.1</v>
      </c>
      <c r="M1617" s="414">
        <f>ROUND(+L1617*C1617,4)</f>
        <v>0</v>
      </c>
      <c r="N1617" s="414"/>
      <c r="O1617" s="414"/>
      <c r="P1617" s="414"/>
      <c r="Q1617" s="419">
        <f>ROUND(+N1617+O1617+P1617,4)</f>
        <v>0</v>
      </c>
      <c r="R1617" s="419">
        <f>ROUND(IF(+Q1617-H1617&lt;=0,0,Q1617-H1617),4)</f>
        <v>0</v>
      </c>
      <c r="S1617" s="423">
        <v>0.5</v>
      </c>
      <c r="T1617" s="419">
        <f>ROUND(+(R1617*C1617)*S1617,4)</f>
        <v>0</v>
      </c>
      <c r="U1617" s="419">
        <f>ROUND(+J1617+M1617+T1617,4)</f>
        <v>0</v>
      </c>
      <c r="V1617" s="235"/>
    </row>
    <row r="1618" spans="1:22" ht="15.75" x14ac:dyDescent="0.25">
      <c r="A1618" s="231"/>
      <c r="B1618" s="232"/>
      <c r="C1618" s="400"/>
      <c r="D1618" s="233"/>
      <c r="E1618" s="405"/>
      <c r="F1618" s="405"/>
      <c r="G1618" s="405"/>
      <c r="H1618" s="408">
        <f>ROUND(+E1618+F1618+G1618,4)</f>
        <v>0</v>
      </c>
      <c r="I1618" s="234"/>
      <c r="J1618" s="411"/>
      <c r="K1618" s="411"/>
      <c r="L1618" s="414">
        <v>0.1</v>
      </c>
      <c r="M1618" s="414">
        <f>ROUND(+L1618*C1618,4)</f>
        <v>0</v>
      </c>
      <c r="N1618" s="414"/>
      <c r="O1618" s="414"/>
      <c r="P1618" s="414"/>
      <c r="Q1618" s="419">
        <f>ROUND(+N1618+O1618+P1618,4)</f>
        <v>0</v>
      </c>
      <c r="R1618" s="419">
        <f>ROUND(IF(+Q1618-H1618&lt;=0,0,Q1618-H1618),4)</f>
        <v>0</v>
      </c>
      <c r="S1618" s="423">
        <v>0.5</v>
      </c>
      <c r="T1618" s="419">
        <f>ROUND(+(R1618*C1618)*S1618,4)</f>
        <v>0</v>
      </c>
      <c r="U1618" s="419">
        <f>ROUND(+J1618+M1618+T1618,4)</f>
        <v>0</v>
      </c>
      <c r="V1618" s="235"/>
    </row>
    <row r="1619" spans="1:22" ht="15.75" x14ac:dyDescent="0.25">
      <c r="A1619" s="231"/>
      <c r="B1619" s="232"/>
      <c r="C1619" s="400"/>
      <c r="D1619" s="233"/>
      <c r="E1619" s="405"/>
      <c r="F1619" s="405"/>
      <c r="G1619" s="405"/>
      <c r="H1619" s="408">
        <f>ROUND(+E1619+F1619+G1619,4)</f>
        <v>0</v>
      </c>
      <c r="I1619" s="234"/>
      <c r="J1619" s="411"/>
      <c r="K1619" s="411"/>
      <c r="L1619" s="414">
        <v>0.1</v>
      </c>
      <c r="M1619" s="414">
        <f>ROUND(+L1619*C1619,4)</f>
        <v>0</v>
      </c>
      <c r="N1619" s="414"/>
      <c r="O1619" s="414"/>
      <c r="P1619" s="414"/>
      <c r="Q1619" s="419">
        <f>ROUND(+N1619+O1619+P1619,4)</f>
        <v>0</v>
      </c>
      <c r="R1619" s="419">
        <f>ROUND(IF(+Q1619-H1619&lt;=0,0,Q1619-H1619),4)</f>
        <v>0</v>
      </c>
      <c r="S1619" s="423">
        <v>0.5</v>
      </c>
      <c r="T1619" s="419">
        <f>ROUND(+(R1619*C1619)*S1619,4)</f>
        <v>0</v>
      </c>
      <c r="U1619" s="419">
        <f>ROUND(+J1619+M1619+T1619,4)</f>
        <v>0</v>
      </c>
      <c r="V1619" s="235"/>
    </row>
    <row r="1620" spans="1:22" ht="15.75" x14ac:dyDescent="0.25">
      <c r="A1620" s="231"/>
      <c r="B1620" s="232"/>
      <c r="C1620" s="400"/>
      <c r="D1620" s="233"/>
      <c r="E1620" s="405"/>
      <c r="F1620" s="405"/>
      <c r="G1620" s="405"/>
      <c r="H1620" s="408">
        <f>ROUND(+E1620+F1620+G1620,4)</f>
        <v>0</v>
      </c>
      <c r="I1620" s="234"/>
      <c r="J1620" s="411"/>
      <c r="K1620" s="411"/>
      <c r="L1620" s="414">
        <v>0.1</v>
      </c>
      <c r="M1620" s="414">
        <f>ROUND(+L1620*C1620,4)</f>
        <v>0</v>
      </c>
      <c r="N1620" s="414"/>
      <c r="O1620" s="414"/>
      <c r="P1620" s="414"/>
      <c r="Q1620" s="419">
        <f>ROUND(+N1620+O1620+P1620,4)</f>
        <v>0</v>
      </c>
      <c r="R1620" s="419">
        <f>ROUND(IF(+Q1620-H1620&lt;=0,0,Q1620-H1620),4)</f>
        <v>0</v>
      </c>
      <c r="S1620" s="423">
        <v>0.5</v>
      </c>
      <c r="T1620" s="419">
        <f>ROUND(+(R1620*C1620)*S1620,4)</f>
        <v>0</v>
      </c>
      <c r="U1620" s="419">
        <f>ROUND(+J1620+M1620+T1620,4)</f>
        <v>0</v>
      </c>
      <c r="V1620" s="235"/>
    </row>
    <row r="1621" spans="1:22" ht="15.75" x14ac:dyDescent="0.25">
      <c r="A1621" s="231"/>
      <c r="B1621" s="232"/>
      <c r="C1621" s="400"/>
      <c r="D1621" s="233"/>
      <c r="E1621" s="405"/>
      <c r="F1621" s="405"/>
      <c r="G1621" s="405"/>
      <c r="H1621" s="408">
        <f>ROUND(+E1621+F1621+G1621,4)</f>
        <v>0</v>
      </c>
      <c r="I1621" s="234"/>
      <c r="J1621" s="411"/>
      <c r="K1621" s="411"/>
      <c r="L1621" s="414">
        <v>0.1</v>
      </c>
      <c r="M1621" s="414">
        <f>ROUND(+L1621*C1621,4)</f>
        <v>0</v>
      </c>
      <c r="N1621" s="414"/>
      <c r="O1621" s="414"/>
      <c r="P1621" s="414"/>
      <c r="Q1621" s="419">
        <f>ROUND(+N1621+O1621+P1621,4)</f>
        <v>0</v>
      </c>
      <c r="R1621" s="419">
        <f>ROUND(IF(+Q1621-H1621&lt;=0,0,Q1621-H1621),4)</f>
        <v>0</v>
      </c>
      <c r="S1621" s="423">
        <v>0.5</v>
      </c>
      <c r="T1621" s="419">
        <f>ROUND(+(R1621*C1621)*S1621,4)</f>
        <v>0</v>
      </c>
      <c r="U1621" s="419">
        <f>ROUND(+J1621+M1621+T1621,4)</f>
        <v>0</v>
      </c>
      <c r="V1621" s="235"/>
    </row>
    <row r="1622" spans="1:22" ht="15.75" x14ac:dyDescent="0.25">
      <c r="A1622" s="231"/>
      <c r="B1622" s="232"/>
      <c r="C1622" s="400"/>
      <c r="D1622" s="233"/>
      <c r="E1622" s="405"/>
      <c r="F1622" s="405"/>
      <c r="G1622" s="405"/>
      <c r="H1622" s="408">
        <f>ROUND(+E1622+F1622+G1622,4)</f>
        <v>0</v>
      </c>
      <c r="I1622" s="234"/>
      <c r="J1622" s="411"/>
      <c r="K1622" s="411"/>
      <c r="L1622" s="414">
        <v>0.1</v>
      </c>
      <c r="M1622" s="414">
        <f>ROUND(+L1622*C1622,4)</f>
        <v>0</v>
      </c>
      <c r="N1622" s="414"/>
      <c r="O1622" s="414"/>
      <c r="P1622" s="414"/>
      <c r="Q1622" s="419">
        <f>ROUND(+N1622+O1622+P1622,4)</f>
        <v>0</v>
      </c>
      <c r="R1622" s="419">
        <f>ROUND(IF(+Q1622-H1622&lt;=0,0,Q1622-H1622),4)</f>
        <v>0</v>
      </c>
      <c r="S1622" s="423">
        <v>0.5</v>
      </c>
      <c r="T1622" s="419">
        <f>ROUND(+(R1622*C1622)*S1622,4)</f>
        <v>0</v>
      </c>
      <c r="U1622" s="419">
        <f>ROUND(+J1622+M1622+T1622,4)</f>
        <v>0</v>
      </c>
      <c r="V1622" s="235"/>
    </row>
    <row r="1623" spans="1:22" ht="15.75" x14ac:dyDescent="0.25">
      <c r="A1623" s="231"/>
      <c r="B1623" s="232"/>
      <c r="C1623" s="400"/>
      <c r="D1623" s="233"/>
      <c r="E1623" s="405"/>
      <c r="F1623" s="405"/>
      <c r="G1623" s="405"/>
      <c r="H1623" s="408">
        <f>ROUND(+E1623+F1623+G1623,4)</f>
        <v>0</v>
      </c>
      <c r="I1623" s="234"/>
      <c r="J1623" s="411"/>
      <c r="K1623" s="411"/>
      <c r="L1623" s="414">
        <v>0.1</v>
      </c>
      <c r="M1623" s="414">
        <f>ROUND(+L1623*C1623,4)</f>
        <v>0</v>
      </c>
      <c r="N1623" s="414"/>
      <c r="O1623" s="414"/>
      <c r="P1623" s="414"/>
      <c r="Q1623" s="419">
        <f>ROUND(+N1623+O1623+P1623,4)</f>
        <v>0</v>
      </c>
      <c r="R1623" s="419">
        <f>ROUND(IF(+Q1623-H1623&lt;=0,0,Q1623-H1623),4)</f>
        <v>0</v>
      </c>
      <c r="S1623" s="423">
        <v>0.5</v>
      </c>
      <c r="T1623" s="419">
        <f>ROUND(+(R1623*C1623)*S1623,4)</f>
        <v>0</v>
      </c>
      <c r="U1623" s="419">
        <f>ROUND(+J1623+M1623+T1623,4)</f>
        <v>0</v>
      </c>
      <c r="V1623" s="235"/>
    </row>
    <row r="1624" spans="1:22" ht="15.75" x14ac:dyDescent="0.25">
      <c r="A1624" s="231"/>
      <c r="B1624" s="232"/>
      <c r="C1624" s="400"/>
      <c r="D1624" s="233"/>
      <c r="E1624" s="405"/>
      <c r="F1624" s="405"/>
      <c r="G1624" s="405"/>
      <c r="H1624" s="408">
        <f>ROUND(+E1624+F1624+G1624,4)</f>
        <v>0</v>
      </c>
      <c r="I1624" s="234"/>
      <c r="J1624" s="411"/>
      <c r="K1624" s="411"/>
      <c r="L1624" s="414">
        <v>0.1</v>
      </c>
      <c r="M1624" s="414">
        <f>ROUND(+L1624*C1624,4)</f>
        <v>0</v>
      </c>
      <c r="N1624" s="414"/>
      <c r="O1624" s="414"/>
      <c r="P1624" s="414"/>
      <c r="Q1624" s="419">
        <f>ROUND(+N1624+O1624+P1624,4)</f>
        <v>0</v>
      </c>
      <c r="R1624" s="419">
        <f>ROUND(IF(+Q1624-H1624&lt;=0,0,Q1624-H1624),4)</f>
        <v>0</v>
      </c>
      <c r="S1624" s="423">
        <v>0.5</v>
      </c>
      <c r="T1624" s="419">
        <f>ROUND(+(R1624*C1624)*S1624,4)</f>
        <v>0</v>
      </c>
      <c r="U1624" s="419">
        <f>ROUND(+J1624+M1624+T1624,4)</f>
        <v>0</v>
      </c>
      <c r="V1624" s="235"/>
    </row>
    <row r="1625" spans="1:22" ht="15.75" x14ac:dyDescent="0.25">
      <c r="A1625" s="231"/>
      <c r="B1625" s="232"/>
      <c r="C1625" s="400"/>
      <c r="D1625" s="233"/>
      <c r="E1625" s="405"/>
      <c r="F1625" s="405"/>
      <c r="G1625" s="405"/>
      <c r="H1625" s="408">
        <f>ROUND(+E1625+F1625+G1625,4)</f>
        <v>0</v>
      </c>
      <c r="I1625" s="234"/>
      <c r="J1625" s="411"/>
      <c r="K1625" s="411"/>
      <c r="L1625" s="414">
        <v>0.1</v>
      </c>
      <c r="M1625" s="414">
        <f>ROUND(+L1625*C1625,4)</f>
        <v>0</v>
      </c>
      <c r="N1625" s="414"/>
      <c r="O1625" s="414"/>
      <c r="P1625" s="414"/>
      <c r="Q1625" s="419">
        <f>ROUND(+N1625+O1625+P1625,4)</f>
        <v>0</v>
      </c>
      <c r="R1625" s="419">
        <f>ROUND(IF(+Q1625-H1625&lt;=0,0,Q1625-H1625),4)</f>
        <v>0</v>
      </c>
      <c r="S1625" s="423">
        <v>0.5</v>
      </c>
      <c r="T1625" s="419">
        <f>ROUND(+(R1625*C1625)*S1625,4)</f>
        <v>0</v>
      </c>
      <c r="U1625" s="419">
        <f>ROUND(+J1625+M1625+T1625,4)</f>
        <v>0</v>
      </c>
      <c r="V1625" s="235"/>
    </row>
    <row r="1626" spans="1:22" ht="15.75" x14ac:dyDescent="0.25">
      <c r="A1626" s="231"/>
      <c r="B1626" s="232"/>
      <c r="C1626" s="400"/>
      <c r="D1626" s="233"/>
      <c r="E1626" s="405"/>
      <c r="F1626" s="405"/>
      <c r="G1626" s="405"/>
      <c r="H1626" s="408">
        <f>ROUND(+E1626+F1626+G1626,4)</f>
        <v>0</v>
      </c>
      <c r="I1626" s="234"/>
      <c r="J1626" s="411"/>
      <c r="K1626" s="411"/>
      <c r="L1626" s="414">
        <v>0.1</v>
      </c>
      <c r="M1626" s="414">
        <f>ROUND(+L1626*C1626,4)</f>
        <v>0</v>
      </c>
      <c r="N1626" s="414"/>
      <c r="O1626" s="414"/>
      <c r="P1626" s="414"/>
      <c r="Q1626" s="419">
        <f>ROUND(+N1626+O1626+P1626,4)</f>
        <v>0</v>
      </c>
      <c r="R1626" s="419">
        <f>ROUND(IF(+Q1626-H1626&lt;=0,0,Q1626-H1626),4)</f>
        <v>0</v>
      </c>
      <c r="S1626" s="423">
        <v>0.5</v>
      </c>
      <c r="T1626" s="419">
        <f>ROUND(+(R1626*C1626)*S1626,4)</f>
        <v>0</v>
      </c>
      <c r="U1626" s="419">
        <f>ROUND(+J1626+M1626+T1626,4)</f>
        <v>0</v>
      </c>
      <c r="V1626" s="235"/>
    </row>
    <row r="1627" spans="1:22" ht="15.75" x14ac:dyDescent="0.25">
      <c r="A1627" s="231"/>
      <c r="B1627" s="232"/>
      <c r="C1627" s="400"/>
      <c r="D1627" s="233"/>
      <c r="E1627" s="405"/>
      <c r="F1627" s="405"/>
      <c r="G1627" s="405"/>
      <c r="H1627" s="408">
        <f>ROUND(+E1627+F1627+G1627,4)</f>
        <v>0</v>
      </c>
      <c r="I1627" s="234"/>
      <c r="J1627" s="411"/>
      <c r="K1627" s="411"/>
      <c r="L1627" s="414">
        <v>0.1</v>
      </c>
      <c r="M1627" s="414">
        <f>ROUND(+L1627*C1627,4)</f>
        <v>0</v>
      </c>
      <c r="N1627" s="414"/>
      <c r="O1627" s="414"/>
      <c r="P1627" s="414"/>
      <c r="Q1627" s="419">
        <f>ROUND(+N1627+O1627+P1627,4)</f>
        <v>0</v>
      </c>
      <c r="R1627" s="419">
        <f>ROUND(IF(+Q1627-H1627&lt;=0,0,Q1627-H1627),4)</f>
        <v>0</v>
      </c>
      <c r="S1627" s="423">
        <v>0.5</v>
      </c>
      <c r="T1627" s="419">
        <f>ROUND(+(R1627*C1627)*S1627,4)</f>
        <v>0</v>
      </c>
      <c r="U1627" s="419">
        <f>ROUND(+J1627+M1627+T1627,4)</f>
        <v>0</v>
      </c>
      <c r="V1627" s="235"/>
    </row>
    <row r="1628" spans="1:22" ht="15.75" x14ac:dyDescent="0.25">
      <c r="A1628" s="231"/>
      <c r="B1628" s="232"/>
      <c r="C1628" s="400"/>
      <c r="D1628" s="233"/>
      <c r="E1628" s="405"/>
      <c r="F1628" s="405"/>
      <c r="G1628" s="405"/>
      <c r="H1628" s="408">
        <f>ROUND(+E1628+F1628+G1628,4)</f>
        <v>0</v>
      </c>
      <c r="I1628" s="234"/>
      <c r="J1628" s="411"/>
      <c r="K1628" s="411"/>
      <c r="L1628" s="414">
        <v>0.1</v>
      </c>
      <c r="M1628" s="414">
        <f>ROUND(+L1628*C1628,4)</f>
        <v>0</v>
      </c>
      <c r="N1628" s="414"/>
      <c r="O1628" s="414"/>
      <c r="P1628" s="414"/>
      <c r="Q1628" s="419">
        <f>ROUND(+N1628+O1628+P1628,4)</f>
        <v>0</v>
      </c>
      <c r="R1628" s="419">
        <f>ROUND(IF(+Q1628-H1628&lt;=0,0,Q1628-H1628),4)</f>
        <v>0</v>
      </c>
      <c r="S1628" s="423">
        <v>0.5</v>
      </c>
      <c r="T1628" s="419">
        <f>ROUND(+(R1628*C1628)*S1628,4)</f>
        <v>0</v>
      </c>
      <c r="U1628" s="419">
        <f>ROUND(+J1628+M1628+T1628,4)</f>
        <v>0</v>
      </c>
      <c r="V1628" s="235"/>
    </row>
    <row r="1629" spans="1:22" ht="15.75" x14ac:dyDescent="0.25">
      <c r="A1629" s="231"/>
      <c r="B1629" s="232"/>
      <c r="C1629" s="400"/>
      <c r="D1629" s="233"/>
      <c r="E1629" s="405"/>
      <c r="F1629" s="405"/>
      <c r="G1629" s="405"/>
      <c r="H1629" s="408">
        <f>ROUND(+E1629+F1629+G1629,4)</f>
        <v>0</v>
      </c>
      <c r="I1629" s="234"/>
      <c r="J1629" s="411"/>
      <c r="K1629" s="411"/>
      <c r="L1629" s="414">
        <v>0.1</v>
      </c>
      <c r="M1629" s="414">
        <f>ROUND(+L1629*C1629,4)</f>
        <v>0</v>
      </c>
      <c r="N1629" s="414"/>
      <c r="O1629" s="414"/>
      <c r="P1629" s="414"/>
      <c r="Q1629" s="419">
        <f>ROUND(+N1629+O1629+P1629,4)</f>
        <v>0</v>
      </c>
      <c r="R1629" s="419">
        <f>ROUND(IF(+Q1629-H1629&lt;=0,0,Q1629-H1629),4)</f>
        <v>0</v>
      </c>
      <c r="S1629" s="423">
        <v>0.5</v>
      </c>
      <c r="T1629" s="419">
        <f>ROUND(+(R1629*C1629)*S1629,4)</f>
        <v>0</v>
      </c>
      <c r="U1629" s="419">
        <f>ROUND(+J1629+M1629+T1629,4)</f>
        <v>0</v>
      </c>
      <c r="V1629" s="235"/>
    </row>
    <row r="1630" spans="1:22" ht="15.75" x14ac:dyDescent="0.25">
      <c r="A1630" s="231"/>
      <c r="B1630" s="232"/>
      <c r="C1630" s="400"/>
      <c r="D1630" s="233"/>
      <c r="E1630" s="405"/>
      <c r="F1630" s="405"/>
      <c r="G1630" s="405"/>
      <c r="H1630" s="408">
        <f>ROUND(+E1630+F1630+G1630,4)</f>
        <v>0</v>
      </c>
      <c r="I1630" s="234"/>
      <c r="J1630" s="411"/>
      <c r="K1630" s="411"/>
      <c r="L1630" s="414">
        <v>0.1</v>
      </c>
      <c r="M1630" s="414">
        <f>ROUND(+L1630*C1630,4)</f>
        <v>0</v>
      </c>
      <c r="N1630" s="414"/>
      <c r="O1630" s="414"/>
      <c r="P1630" s="414"/>
      <c r="Q1630" s="419">
        <f>ROUND(+N1630+O1630+P1630,4)</f>
        <v>0</v>
      </c>
      <c r="R1630" s="419">
        <f>ROUND(IF(+Q1630-H1630&lt;=0,0,Q1630-H1630),4)</f>
        <v>0</v>
      </c>
      <c r="S1630" s="423">
        <v>0.5</v>
      </c>
      <c r="T1630" s="419">
        <f>ROUND(+(R1630*C1630)*S1630,4)</f>
        <v>0</v>
      </c>
      <c r="U1630" s="419">
        <f>ROUND(+J1630+M1630+T1630,4)</f>
        <v>0</v>
      </c>
      <c r="V1630" s="235"/>
    </row>
    <row r="1631" spans="1:22" ht="15.75" x14ac:dyDescent="0.25">
      <c r="A1631" s="231"/>
      <c r="B1631" s="232"/>
      <c r="C1631" s="400"/>
      <c r="D1631" s="233"/>
      <c r="E1631" s="405"/>
      <c r="F1631" s="405"/>
      <c r="G1631" s="405"/>
      <c r="H1631" s="408">
        <f>ROUND(+E1631+F1631+G1631,4)</f>
        <v>0</v>
      </c>
      <c r="I1631" s="234"/>
      <c r="J1631" s="411"/>
      <c r="K1631" s="411"/>
      <c r="L1631" s="414">
        <v>0.1</v>
      </c>
      <c r="M1631" s="414">
        <f>ROUND(+L1631*C1631,4)</f>
        <v>0</v>
      </c>
      <c r="N1631" s="414"/>
      <c r="O1631" s="414"/>
      <c r="P1631" s="414"/>
      <c r="Q1631" s="419">
        <f>ROUND(+N1631+O1631+P1631,4)</f>
        <v>0</v>
      </c>
      <c r="R1631" s="419">
        <f>ROUND(IF(+Q1631-H1631&lt;=0,0,Q1631-H1631),4)</f>
        <v>0</v>
      </c>
      <c r="S1631" s="423">
        <v>0.5</v>
      </c>
      <c r="T1631" s="419">
        <f>ROUND(+(R1631*C1631)*S1631,4)</f>
        <v>0</v>
      </c>
      <c r="U1631" s="419">
        <f>ROUND(+J1631+M1631+T1631,4)</f>
        <v>0</v>
      </c>
      <c r="V1631" s="235"/>
    </row>
    <row r="1632" spans="1:22" ht="15.75" x14ac:dyDescent="0.25">
      <c r="A1632" s="231"/>
      <c r="B1632" s="232"/>
      <c r="C1632" s="400"/>
      <c r="D1632" s="233"/>
      <c r="E1632" s="405"/>
      <c r="F1632" s="405"/>
      <c r="G1632" s="405"/>
      <c r="H1632" s="408">
        <f>ROUND(+E1632+F1632+G1632,4)</f>
        <v>0</v>
      </c>
      <c r="I1632" s="234"/>
      <c r="J1632" s="411"/>
      <c r="K1632" s="411"/>
      <c r="L1632" s="414">
        <v>0.1</v>
      </c>
      <c r="M1632" s="414">
        <f>ROUND(+L1632*C1632,4)</f>
        <v>0</v>
      </c>
      <c r="N1632" s="414"/>
      <c r="O1632" s="414"/>
      <c r="P1632" s="414"/>
      <c r="Q1632" s="419">
        <f>ROUND(+N1632+O1632+P1632,4)</f>
        <v>0</v>
      </c>
      <c r="R1632" s="419">
        <f>ROUND(IF(+Q1632-H1632&lt;=0,0,Q1632-H1632),4)</f>
        <v>0</v>
      </c>
      <c r="S1632" s="423">
        <v>0.5</v>
      </c>
      <c r="T1632" s="419">
        <f>ROUND(+(R1632*C1632)*S1632,4)</f>
        <v>0</v>
      </c>
      <c r="U1632" s="419">
        <f>ROUND(+J1632+M1632+T1632,4)</f>
        <v>0</v>
      </c>
      <c r="V1632" s="235"/>
    </row>
    <row r="1633" spans="1:22" ht="15.75" x14ac:dyDescent="0.25">
      <c r="A1633" s="231"/>
      <c r="B1633" s="232"/>
      <c r="C1633" s="400"/>
      <c r="D1633" s="233"/>
      <c r="E1633" s="405"/>
      <c r="F1633" s="405"/>
      <c r="G1633" s="405"/>
      <c r="H1633" s="408">
        <f>ROUND(+E1633+F1633+G1633,4)</f>
        <v>0</v>
      </c>
      <c r="I1633" s="234"/>
      <c r="J1633" s="411"/>
      <c r="K1633" s="411"/>
      <c r="L1633" s="414">
        <v>0.1</v>
      </c>
      <c r="M1633" s="414">
        <f>ROUND(+L1633*C1633,4)</f>
        <v>0</v>
      </c>
      <c r="N1633" s="414"/>
      <c r="O1633" s="414"/>
      <c r="P1633" s="414"/>
      <c r="Q1633" s="419">
        <f>ROUND(+N1633+O1633+P1633,4)</f>
        <v>0</v>
      </c>
      <c r="R1633" s="419">
        <f>ROUND(IF(+Q1633-H1633&lt;=0,0,Q1633-H1633),4)</f>
        <v>0</v>
      </c>
      <c r="S1633" s="423">
        <v>0.5</v>
      </c>
      <c r="T1633" s="419">
        <f>ROUND(+(R1633*C1633)*S1633,4)</f>
        <v>0</v>
      </c>
      <c r="U1633" s="419">
        <f>ROUND(+J1633+M1633+T1633,4)</f>
        <v>0</v>
      </c>
      <c r="V1633" s="235"/>
    </row>
    <row r="1634" spans="1:22" ht="15.75" x14ac:dyDescent="0.25">
      <c r="A1634" s="231"/>
      <c r="B1634" s="232"/>
      <c r="C1634" s="400"/>
      <c r="D1634" s="233"/>
      <c r="E1634" s="405"/>
      <c r="F1634" s="405"/>
      <c r="G1634" s="405"/>
      <c r="H1634" s="408">
        <f>ROUND(+E1634+F1634+G1634,4)</f>
        <v>0</v>
      </c>
      <c r="I1634" s="234"/>
      <c r="J1634" s="411"/>
      <c r="K1634" s="411"/>
      <c r="L1634" s="414">
        <v>0.1</v>
      </c>
      <c r="M1634" s="414">
        <f>ROUND(+L1634*C1634,4)</f>
        <v>0</v>
      </c>
      <c r="N1634" s="414"/>
      <c r="O1634" s="414"/>
      <c r="P1634" s="414"/>
      <c r="Q1634" s="419">
        <f>ROUND(+N1634+O1634+P1634,4)</f>
        <v>0</v>
      </c>
      <c r="R1634" s="419">
        <f>ROUND(IF(+Q1634-H1634&lt;=0,0,Q1634-H1634),4)</f>
        <v>0</v>
      </c>
      <c r="S1634" s="423">
        <v>0.5</v>
      </c>
      <c r="T1634" s="419">
        <f>ROUND(+(R1634*C1634)*S1634,4)</f>
        <v>0</v>
      </c>
      <c r="U1634" s="419">
        <f>ROUND(+J1634+M1634+T1634,4)</f>
        <v>0</v>
      </c>
      <c r="V1634" s="235"/>
    </row>
    <row r="1635" spans="1:22" ht="15.75" x14ac:dyDescent="0.25">
      <c r="A1635" s="231"/>
      <c r="B1635" s="232"/>
      <c r="C1635" s="400"/>
      <c r="D1635" s="233"/>
      <c r="E1635" s="405"/>
      <c r="F1635" s="405"/>
      <c r="G1635" s="405"/>
      <c r="H1635" s="408">
        <f>ROUND(+E1635+F1635+G1635,4)</f>
        <v>0</v>
      </c>
      <c r="I1635" s="234"/>
      <c r="J1635" s="411"/>
      <c r="K1635" s="411"/>
      <c r="L1635" s="414">
        <v>0.1</v>
      </c>
      <c r="M1635" s="414">
        <f>ROUND(+L1635*C1635,4)</f>
        <v>0</v>
      </c>
      <c r="N1635" s="414"/>
      <c r="O1635" s="414"/>
      <c r="P1635" s="414"/>
      <c r="Q1635" s="419">
        <f>ROUND(+N1635+O1635+P1635,4)</f>
        <v>0</v>
      </c>
      <c r="R1635" s="419">
        <f>ROUND(IF(+Q1635-H1635&lt;=0,0,Q1635-H1635),4)</f>
        <v>0</v>
      </c>
      <c r="S1635" s="423">
        <v>0.5</v>
      </c>
      <c r="T1635" s="419">
        <f>ROUND(+(R1635*C1635)*S1635,4)</f>
        <v>0</v>
      </c>
      <c r="U1635" s="419">
        <f>ROUND(+J1635+M1635+T1635,4)</f>
        <v>0</v>
      </c>
      <c r="V1635" s="235"/>
    </row>
    <row r="1636" spans="1:22" ht="15.75" x14ac:dyDescent="0.25">
      <c r="A1636" s="231"/>
      <c r="B1636" s="232"/>
      <c r="C1636" s="400"/>
      <c r="D1636" s="233"/>
      <c r="E1636" s="405"/>
      <c r="F1636" s="405"/>
      <c r="G1636" s="405"/>
      <c r="H1636" s="408">
        <f>ROUND(+E1636+F1636+G1636,4)</f>
        <v>0</v>
      </c>
      <c r="I1636" s="234"/>
      <c r="J1636" s="411"/>
      <c r="K1636" s="411"/>
      <c r="L1636" s="414">
        <v>0.1</v>
      </c>
      <c r="M1636" s="414">
        <f>ROUND(+L1636*C1636,4)</f>
        <v>0</v>
      </c>
      <c r="N1636" s="414"/>
      <c r="O1636" s="414"/>
      <c r="P1636" s="414"/>
      <c r="Q1636" s="419">
        <f>ROUND(+N1636+O1636+P1636,4)</f>
        <v>0</v>
      </c>
      <c r="R1636" s="419">
        <f>ROUND(IF(+Q1636-H1636&lt;=0,0,Q1636-H1636),4)</f>
        <v>0</v>
      </c>
      <c r="S1636" s="423">
        <v>0.5</v>
      </c>
      <c r="T1636" s="419">
        <f>ROUND(+(R1636*C1636)*S1636,4)</f>
        <v>0</v>
      </c>
      <c r="U1636" s="419">
        <f>ROUND(+J1636+M1636+T1636,4)</f>
        <v>0</v>
      </c>
      <c r="V1636" s="235"/>
    </row>
    <row r="1637" spans="1:22" ht="15.75" x14ac:dyDescent="0.25">
      <c r="A1637" s="231"/>
      <c r="B1637" s="232"/>
      <c r="C1637" s="400"/>
      <c r="D1637" s="233"/>
      <c r="E1637" s="405"/>
      <c r="F1637" s="405"/>
      <c r="G1637" s="405"/>
      <c r="H1637" s="408">
        <f>ROUND(+E1637+F1637+G1637,4)</f>
        <v>0</v>
      </c>
      <c r="I1637" s="234"/>
      <c r="J1637" s="411"/>
      <c r="K1637" s="411"/>
      <c r="L1637" s="414">
        <v>0.1</v>
      </c>
      <c r="M1637" s="414">
        <f>ROUND(+L1637*C1637,4)</f>
        <v>0</v>
      </c>
      <c r="N1637" s="414"/>
      <c r="O1637" s="414"/>
      <c r="P1637" s="414"/>
      <c r="Q1637" s="419">
        <f>ROUND(+N1637+O1637+P1637,4)</f>
        <v>0</v>
      </c>
      <c r="R1637" s="419">
        <f>ROUND(IF(+Q1637-H1637&lt;=0,0,Q1637-H1637),4)</f>
        <v>0</v>
      </c>
      <c r="S1637" s="423">
        <v>0.5</v>
      </c>
      <c r="T1637" s="419">
        <f>ROUND(+(R1637*C1637)*S1637,4)</f>
        <v>0</v>
      </c>
      <c r="U1637" s="419">
        <f>ROUND(+J1637+M1637+T1637,4)</f>
        <v>0</v>
      </c>
      <c r="V1637" s="235"/>
    </row>
    <row r="1638" spans="1:22" ht="15.75" x14ac:dyDescent="0.25">
      <c r="A1638" s="231"/>
      <c r="B1638" s="232"/>
      <c r="C1638" s="400"/>
      <c r="D1638" s="233"/>
      <c r="E1638" s="405"/>
      <c r="F1638" s="405"/>
      <c r="G1638" s="405"/>
      <c r="H1638" s="408">
        <f>ROUND(+E1638+F1638+G1638,4)</f>
        <v>0</v>
      </c>
      <c r="I1638" s="234"/>
      <c r="J1638" s="411"/>
      <c r="K1638" s="411"/>
      <c r="L1638" s="414">
        <v>0.1</v>
      </c>
      <c r="M1638" s="414">
        <f>ROUND(+L1638*C1638,4)</f>
        <v>0</v>
      </c>
      <c r="N1638" s="414"/>
      <c r="O1638" s="414"/>
      <c r="P1638" s="414"/>
      <c r="Q1638" s="419">
        <f>ROUND(+N1638+O1638+P1638,4)</f>
        <v>0</v>
      </c>
      <c r="R1638" s="419">
        <f>ROUND(IF(+Q1638-H1638&lt;=0,0,Q1638-H1638),4)</f>
        <v>0</v>
      </c>
      <c r="S1638" s="423">
        <v>0.5</v>
      </c>
      <c r="T1638" s="419">
        <f>ROUND(+(R1638*C1638)*S1638,4)</f>
        <v>0</v>
      </c>
      <c r="U1638" s="419">
        <f>ROUND(+J1638+M1638+T1638,4)</f>
        <v>0</v>
      </c>
      <c r="V1638" s="235"/>
    </row>
    <row r="1639" spans="1:22" ht="15.75" x14ac:dyDescent="0.25">
      <c r="A1639" s="231"/>
      <c r="B1639" s="232"/>
      <c r="C1639" s="400"/>
      <c r="D1639" s="233"/>
      <c r="E1639" s="405"/>
      <c r="F1639" s="405"/>
      <c r="G1639" s="405"/>
      <c r="H1639" s="408">
        <f>ROUND(+E1639+F1639+G1639,4)</f>
        <v>0</v>
      </c>
      <c r="I1639" s="234"/>
      <c r="J1639" s="411"/>
      <c r="K1639" s="411"/>
      <c r="L1639" s="414">
        <v>0.1</v>
      </c>
      <c r="M1639" s="414">
        <f>ROUND(+L1639*C1639,4)</f>
        <v>0</v>
      </c>
      <c r="N1639" s="414"/>
      <c r="O1639" s="414"/>
      <c r="P1639" s="414"/>
      <c r="Q1639" s="419">
        <f>ROUND(+N1639+O1639+P1639,4)</f>
        <v>0</v>
      </c>
      <c r="R1639" s="419">
        <f>ROUND(IF(+Q1639-H1639&lt;=0,0,Q1639-H1639),4)</f>
        <v>0</v>
      </c>
      <c r="S1639" s="423">
        <v>0.5</v>
      </c>
      <c r="T1639" s="419">
        <f>ROUND(+(R1639*C1639)*S1639,4)</f>
        <v>0</v>
      </c>
      <c r="U1639" s="419">
        <f>ROUND(+J1639+M1639+T1639,4)</f>
        <v>0</v>
      </c>
      <c r="V1639" s="235"/>
    </row>
    <row r="1640" spans="1:22" ht="15.75" x14ac:dyDescent="0.25">
      <c r="A1640" s="231"/>
      <c r="B1640" s="232"/>
      <c r="C1640" s="400"/>
      <c r="D1640" s="233"/>
      <c r="E1640" s="405"/>
      <c r="F1640" s="405"/>
      <c r="G1640" s="405"/>
      <c r="H1640" s="408">
        <f>ROUND(+E1640+F1640+G1640,4)</f>
        <v>0</v>
      </c>
      <c r="I1640" s="234"/>
      <c r="J1640" s="411"/>
      <c r="K1640" s="411"/>
      <c r="L1640" s="414">
        <v>0.1</v>
      </c>
      <c r="M1640" s="414">
        <f>ROUND(+L1640*C1640,4)</f>
        <v>0</v>
      </c>
      <c r="N1640" s="414"/>
      <c r="O1640" s="414"/>
      <c r="P1640" s="414"/>
      <c r="Q1640" s="419">
        <f>ROUND(+N1640+O1640+P1640,4)</f>
        <v>0</v>
      </c>
      <c r="R1640" s="419">
        <f>ROUND(IF(+Q1640-H1640&lt;=0,0,Q1640-H1640),4)</f>
        <v>0</v>
      </c>
      <c r="S1640" s="423">
        <v>0.5</v>
      </c>
      <c r="T1640" s="419">
        <f>ROUND(+(R1640*C1640)*S1640,4)</f>
        <v>0</v>
      </c>
      <c r="U1640" s="419">
        <f>ROUND(+J1640+M1640+T1640,4)</f>
        <v>0</v>
      </c>
      <c r="V1640" s="235"/>
    </row>
    <row r="1641" spans="1:22" ht="15.75" x14ac:dyDescent="0.25">
      <c r="A1641" s="231"/>
      <c r="B1641" s="232"/>
      <c r="C1641" s="400"/>
      <c r="D1641" s="233"/>
      <c r="E1641" s="405"/>
      <c r="F1641" s="405"/>
      <c r="G1641" s="405"/>
      <c r="H1641" s="408">
        <f>ROUND(+E1641+F1641+G1641,4)</f>
        <v>0</v>
      </c>
      <c r="I1641" s="234"/>
      <c r="J1641" s="411"/>
      <c r="K1641" s="411"/>
      <c r="L1641" s="414">
        <v>0.1</v>
      </c>
      <c r="M1641" s="414">
        <f>ROUND(+L1641*C1641,4)</f>
        <v>0</v>
      </c>
      <c r="N1641" s="414"/>
      <c r="O1641" s="414"/>
      <c r="P1641" s="414"/>
      <c r="Q1641" s="419">
        <f>ROUND(+N1641+O1641+P1641,4)</f>
        <v>0</v>
      </c>
      <c r="R1641" s="419">
        <f>ROUND(IF(+Q1641-H1641&lt;=0,0,Q1641-H1641),4)</f>
        <v>0</v>
      </c>
      <c r="S1641" s="423">
        <v>0.5</v>
      </c>
      <c r="T1641" s="419">
        <f>ROUND(+(R1641*C1641)*S1641,4)</f>
        <v>0</v>
      </c>
      <c r="U1641" s="419">
        <f>ROUND(+J1641+M1641+T1641,4)</f>
        <v>0</v>
      </c>
      <c r="V1641" s="235"/>
    </row>
    <row r="1642" spans="1:22" ht="15.75" x14ac:dyDescent="0.25">
      <c r="A1642" s="231"/>
      <c r="B1642" s="232"/>
      <c r="C1642" s="400"/>
      <c r="D1642" s="233"/>
      <c r="E1642" s="405"/>
      <c r="F1642" s="405"/>
      <c r="G1642" s="405"/>
      <c r="H1642" s="408">
        <f>ROUND(+E1642+F1642+G1642,4)</f>
        <v>0</v>
      </c>
      <c r="I1642" s="234"/>
      <c r="J1642" s="411"/>
      <c r="K1642" s="411"/>
      <c r="L1642" s="414">
        <v>0.1</v>
      </c>
      <c r="M1642" s="414">
        <f>ROUND(+L1642*C1642,4)</f>
        <v>0</v>
      </c>
      <c r="N1642" s="414"/>
      <c r="O1642" s="414"/>
      <c r="P1642" s="414"/>
      <c r="Q1642" s="419">
        <f>ROUND(+N1642+O1642+P1642,4)</f>
        <v>0</v>
      </c>
      <c r="R1642" s="419">
        <f>ROUND(IF(+Q1642-H1642&lt;=0,0,Q1642-H1642),4)</f>
        <v>0</v>
      </c>
      <c r="S1642" s="423">
        <v>0.5</v>
      </c>
      <c r="T1642" s="419">
        <f>ROUND(+(R1642*C1642)*S1642,4)</f>
        <v>0</v>
      </c>
      <c r="U1642" s="419">
        <f>ROUND(+J1642+M1642+T1642,4)</f>
        <v>0</v>
      </c>
      <c r="V1642" s="235"/>
    </row>
    <row r="1643" spans="1:22" ht="15.75" x14ac:dyDescent="0.25">
      <c r="A1643" s="231"/>
      <c r="B1643" s="232"/>
      <c r="C1643" s="400"/>
      <c r="D1643" s="233"/>
      <c r="E1643" s="405"/>
      <c r="F1643" s="405"/>
      <c r="G1643" s="405"/>
      <c r="H1643" s="408">
        <f>ROUND(+E1643+F1643+G1643,4)</f>
        <v>0</v>
      </c>
      <c r="I1643" s="234"/>
      <c r="J1643" s="411"/>
      <c r="K1643" s="411"/>
      <c r="L1643" s="414">
        <v>0.1</v>
      </c>
      <c r="M1643" s="414">
        <f>ROUND(+L1643*C1643,4)</f>
        <v>0</v>
      </c>
      <c r="N1643" s="414"/>
      <c r="O1643" s="414"/>
      <c r="P1643" s="414"/>
      <c r="Q1643" s="419">
        <f>ROUND(+N1643+O1643+P1643,4)</f>
        <v>0</v>
      </c>
      <c r="R1643" s="419">
        <f>ROUND(IF(+Q1643-H1643&lt;=0,0,Q1643-H1643),4)</f>
        <v>0</v>
      </c>
      <c r="S1643" s="423">
        <v>0.5</v>
      </c>
      <c r="T1643" s="419">
        <f>ROUND(+(R1643*C1643)*S1643,4)</f>
        <v>0</v>
      </c>
      <c r="U1643" s="419">
        <f>ROUND(+J1643+M1643+T1643,4)</f>
        <v>0</v>
      </c>
      <c r="V1643" s="235"/>
    </row>
    <row r="1644" spans="1:22" ht="15.75" x14ac:dyDescent="0.25">
      <c r="A1644" s="231"/>
      <c r="B1644" s="232"/>
      <c r="C1644" s="400"/>
      <c r="D1644" s="233"/>
      <c r="E1644" s="405"/>
      <c r="F1644" s="405"/>
      <c r="G1644" s="405"/>
      <c r="H1644" s="408">
        <f>ROUND(+E1644+F1644+G1644,4)</f>
        <v>0</v>
      </c>
      <c r="I1644" s="234"/>
      <c r="J1644" s="411"/>
      <c r="K1644" s="411"/>
      <c r="L1644" s="414">
        <v>0.1</v>
      </c>
      <c r="M1644" s="414">
        <f>ROUND(+L1644*C1644,4)</f>
        <v>0</v>
      </c>
      <c r="N1644" s="414"/>
      <c r="O1644" s="414"/>
      <c r="P1644" s="414"/>
      <c r="Q1644" s="419">
        <f>ROUND(+N1644+O1644+P1644,4)</f>
        <v>0</v>
      </c>
      <c r="R1644" s="419">
        <f>ROUND(IF(+Q1644-H1644&lt;=0,0,Q1644-H1644),4)</f>
        <v>0</v>
      </c>
      <c r="S1644" s="423">
        <v>0.5</v>
      </c>
      <c r="T1644" s="419">
        <f>ROUND(+(R1644*C1644)*S1644,4)</f>
        <v>0</v>
      </c>
      <c r="U1644" s="419">
        <f>ROUND(+J1644+M1644+T1644,4)</f>
        <v>0</v>
      </c>
      <c r="V1644" s="235"/>
    </row>
    <row r="1645" spans="1:22" ht="15.75" x14ac:dyDescent="0.25">
      <c r="A1645" s="231"/>
      <c r="B1645" s="232"/>
      <c r="C1645" s="400"/>
      <c r="D1645" s="233"/>
      <c r="E1645" s="405"/>
      <c r="F1645" s="405"/>
      <c r="G1645" s="405"/>
      <c r="H1645" s="408">
        <f>ROUND(+E1645+F1645+G1645,4)</f>
        <v>0</v>
      </c>
      <c r="I1645" s="234"/>
      <c r="J1645" s="411"/>
      <c r="K1645" s="411"/>
      <c r="L1645" s="414">
        <v>0.1</v>
      </c>
      <c r="M1645" s="414">
        <f>ROUND(+L1645*C1645,4)</f>
        <v>0</v>
      </c>
      <c r="N1645" s="414"/>
      <c r="O1645" s="414"/>
      <c r="P1645" s="414"/>
      <c r="Q1645" s="419">
        <f>ROUND(+N1645+O1645+P1645,4)</f>
        <v>0</v>
      </c>
      <c r="R1645" s="419">
        <f>ROUND(IF(+Q1645-H1645&lt;=0,0,Q1645-H1645),4)</f>
        <v>0</v>
      </c>
      <c r="S1645" s="423">
        <v>0.5</v>
      </c>
      <c r="T1645" s="419">
        <f>ROUND(+(R1645*C1645)*S1645,4)</f>
        <v>0</v>
      </c>
      <c r="U1645" s="419">
        <f>ROUND(+J1645+M1645+T1645,4)</f>
        <v>0</v>
      </c>
      <c r="V1645" s="235"/>
    </row>
    <row r="1646" spans="1:22" ht="15.75" x14ac:dyDescent="0.25">
      <c r="A1646" s="231"/>
      <c r="B1646" s="232"/>
      <c r="C1646" s="400"/>
      <c r="D1646" s="233"/>
      <c r="E1646" s="405"/>
      <c r="F1646" s="405"/>
      <c r="G1646" s="405"/>
      <c r="H1646" s="408">
        <f>ROUND(+E1646+F1646+G1646,4)</f>
        <v>0</v>
      </c>
      <c r="I1646" s="234"/>
      <c r="J1646" s="411"/>
      <c r="K1646" s="411"/>
      <c r="L1646" s="414">
        <v>0.1</v>
      </c>
      <c r="M1646" s="414">
        <f>ROUND(+L1646*C1646,4)</f>
        <v>0</v>
      </c>
      <c r="N1646" s="414"/>
      <c r="O1646" s="414"/>
      <c r="P1646" s="414"/>
      <c r="Q1646" s="419">
        <f>ROUND(+N1646+O1646+P1646,4)</f>
        <v>0</v>
      </c>
      <c r="R1646" s="419">
        <f>ROUND(IF(+Q1646-H1646&lt;=0,0,Q1646-H1646),4)</f>
        <v>0</v>
      </c>
      <c r="S1646" s="423">
        <v>0.5</v>
      </c>
      <c r="T1646" s="419">
        <f>ROUND(+(R1646*C1646)*S1646,4)</f>
        <v>0</v>
      </c>
      <c r="U1646" s="419">
        <f>ROUND(+J1646+M1646+T1646,4)</f>
        <v>0</v>
      </c>
      <c r="V1646" s="235"/>
    </row>
    <row r="1647" spans="1:22" ht="15.75" x14ac:dyDescent="0.25">
      <c r="A1647" s="231"/>
      <c r="B1647" s="232"/>
      <c r="C1647" s="400"/>
      <c r="D1647" s="233"/>
      <c r="E1647" s="405"/>
      <c r="F1647" s="405"/>
      <c r="G1647" s="405"/>
      <c r="H1647" s="408">
        <f>ROUND(+E1647+F1647+G1647,4)</f>
        <v>0</v>
      </c>
      <c r="I1647" s="234"/>
      <c r="J1647" s="411"/>
      <c r="K1647" s="411"/>
      <c r="L1647" s="414">
        <v>0.1</v>
      </c>
      <c r="M1647" s="414">
        <f>ROUND(+L1647*C1647,4)</f>
        <v>0</v>
      </c>
      <c r="N1647" s="414"/>
      <c r="O1647" s="414"/>
      <c r="P1647" s="414"/>
      <c r="Q1647" s="419">
        <f>ROUND(+N1647+O1647+P1647,4)</f>
        <v>0</v>
      </c>
      <c r="R1647" s="419">
        <f>ROUND(IF(+Q1647-H1647&lt;=0,0,Q1647-H1647),4)</f>
        <v>0</v>
      </c>
      <c r="S1647" s="423">
        <v>0.5</v>
      </c>
      <c r="T1647" s="419">
        <f>ROUND(+(R1647*C1647)*S1647,4)</f>
        <v>0</v>
      </c>
      <c r="U1647" s="419">
        <f>ROUND(+J1647+M1647+T1647,4)</f>
        <v>0</v>
      </c>
      <c r="V1647" s="235"/>
    </row>
    <row r="1648" spans="1:22" ht="15.75" x14ac:dyDescent="0.25">
      <c r="A1648" s="231"/>
      <c r="B1648" s="232"/>
      <c r="C1648" s="400"/>
      <c r="D1648" s="233"/>
      <c r="E1648" s="405"/>
      <c r="F1648" s="405"/>
      <c r="G1648" s="405"/>
      <c r="H1648" s="408">
        <f>ROUND(+E1648+F1648+G1648,4)</f>
        <v>0</v>
      </c>
      <c r="I1648" s="234"/>
      <c r="J1648" s="411"/>
      <c r="K1648" s="411"/>
      <c r="L1648" s="414">
        <v>0.1</v>
      </c>
      <c r="M1648" s="414">
        <f>ROUND(+L1648*C1648,4)</f>
        <v>0</v>
      </c>
      <c r="N1648" s="414"/>
      <c r="O1648" s="414"/>
      <c r="P1648" s="414"/>
      <c r="Q1648" s="419">
        <f>ROUND(+N1648+O1648+P1648,4)</f>
        <v>0</v>
      </c>
      <c r="R1648" s="419">
        <f>ROUND(IF(+Q1648-H1648&lt;=0,0,Q1648-H1648),4)</f>
        <v>0</v>
      </c>
      <c r="S1648" s="423">
        <v>0.5</v>
      </c>
      <c r="T1648" s="419">
        <f>ROUND(+(R1648*C1648)*S1648,4)</f>
        <v>0</v>
      </c>
      <c r="U1648" s="419">
        <f>ROUND(+J1648+M1648+T1648,4)</f>
        <v>0</v>
      </c>
      <c r="V1648" s="235"/>
    </row>
    <row r="1649" spans="1:22" ht="15.75" x14ac:dyDescent="0.25">
      <c r="A1649" s="231"/>
      <c r="B1649" s="232"/>
      <c r="C1649" s="400"/>
      <c r="D1649" s="233"/>
      <c r="E1649" s="405"/>
      <c r="F1649" s="405"/>
      <c r="G1649" s="405"/>
      <c r="H1649" s="408">
        <f>ROUND(+E1649+F1649+G1649,4)</f>
        <v>0</v>
      </c>
      <c r="I1649" s="234"/>
      <c r="J1649" s="411"/>
      <c r="K1649" s="411"/>
      <c r="L1649" s="414">
        <v>0.1</v>
      </c>
      <c r="M1649" s="414">
        <f>ROUND(+L1649*C1649,4)</f>
        <v>0</v>
      </c>
      <c r="N1649" s="414"/>
      <c r="O1649" s="414"/>
      <c r="P1649" s="414"/>
      <c r="Q1649" s="419">
        <f>ROUND(+N1649+O1649+P1649,4)</f>
        <v>0</v>
      </c>
      <c r="R1649" s="419">
        <f>ROUND(IF(+Q1649-H1649&lt;=0,0,Q1649-H1649),4)</f>
        <v>0</v>
      </c>
      <c r="S1649" s="423">
        <v>0.5</v>
      </c>
      <c r="T1649" s="419">
        <f>ROUND(+(R1649*C1649)*S1649,4)</f>
        <v>0</v>
      </c>
      <c r="U1649" s="419">
        <f>ROUND(+J1649+M1649+T1649,4)</f>
        <v>0</v>
      </c>
      <c r="V1649" s="235"/>
    </row>
    <row r="1650" spans="1:22" ht="15.75" x14ac:dyDescent="0.25">
      <c r="A1650" s="231"/>
      <c r="B1650" s="232"/>
      <c r="C1650" s="400"/>
      <c r="D1650" s="233"/>
      <c r="E1650" s="405"/>
      <c r="F1650" s="405"/>
      <c r="G1650" s="405"/>
      <c r="H1650" s="408">
        <f>ROUND(+E1650+F1650+G1650,4)</f>
        <v>0</v>
      </c>
      <c r="I1650" s="234"/>
      <c r="J1650" s="411"/>
      <c r="K1650" s="411"/>
      <c r="L1650" s="414">
        <v>0.1</v>
      </c>
      <c r="M1650" s="414">
        <f>ROUND(+L1650*C1650,4)</f>
        <v>0</v>
      </c>
      <c r="N1650" s="414"/>
      <c r="O1650" s="414"/>
      <c r="P1650" s="414"/>
      <c r="Q1650" s="419">
        <f>ROUND(+N1650+O1650+P1650,4)</f>
        <v>0</v>
      </c>
      <c r="R1650" s="419">
        <f>ROUND(IF(+Q1650-H1650&lt;=0,0,Q1650-H1650),4)</f>
        <v>0</v>
      </c>
      <c r="S1650" s="423">
        <v>0.5</v>
      </c>
      <c r="T1650" s="419">
        <f>ROUND(+(R1650*C1650)*S1650,4)</f>
        <v>0</v>
      </c>
      <c r="U1650" s="419">
        <f>ROUND(+J1650+M1650+T1650,4)</f>
        <v>0</v>
      </c>
      <c r="V1650" s="235"/>
    </row>
    <row r="1651" spans="1:22" ht="15.75" x14ac:dyDescent="0.25">
      <c r="A1651" s="231"/>
      <c r="B1651" s="232"/>
      <c r="C1651" s="400"/>
      <c r="D1651" s="233"/>
      <c r="E1651" s="405"/>
      <c r="F1651" s="405"/>
      <c r="G1651" s="405"/>
      <c r="H1651" s="408">
        <f>ROUND(+E1651+F1651+G1651,4)</f>
        <v>0</v>
      </c>
      <c r="I1651" s="234"/>
      <c r="J1651" s="411"/>
      <c r="K1651" s="411"/>
      <c r="L1651" s="414">
        <v>0.1</v>
      </c>
      <c r="M1651" s="414">
        <f>ROUND(+L1651*C1651,4)</f>
        <v>0</v>
      </c>
      <c r="N1651" s="414"/>
      <c r="O1651" s="414"/>
      <c r="P1651" s="414"/>
      <c r="Q1651" s="419">
        <f>ROUND(+N1651+O1651+P1651,4)</f>
        <v>0</v>
      </c>
      <c r="R1651" s="419">
        <f>ROUND(IF(+Q1651-H1651&lt;=0,0,Q1651-H1651),4)</f>
        <v>0</v>
      </c>
      <c r="S1651" s="423">
        <v>0.5</v>
      </c>
      <c r="T1651" s="419">
        <f>ROUND(+(R1651*C1651)*S1651,4)</f>
        <v>0</v>
      </c>
      <c r="U1651" s="419">
        <f>ROUND(+J1651+M1651+T1651,4)</f>
        <v>0</v>
      </c>
      <c r="V1651" s="235"/>
    </row>
    <row r="1652" spans="1:22" ht="15.75" x14ac:dyDescent="0.25">
      <c r="A1652" s="231"/>
      <c r="B1652" s="232"/>
      <c r="C1652" s="400"/>
      <c r="D1652" s="233"/>
      <c r="E1652" s="405"/>
      <c r="F1652" s="405"/>
      <c r="G1652" s="405"/>
      <c r="H1652" s="408">
        <f>ROUND(+E1652+F1652+G1652,4)</f>
        <v>0</v>
      </c>
      <c r="I1652" s="234"/>
      <c r="J1652" s="411"/>
      <c r="K1652" s="411"/>
      <c r="L1652" s="414">
        <v>0.1</v>
      </c>
      <c r="M1652" s="414">
        <f>ROUND(+L1652*C1652,4)</f>
        <v>0</v>
      </c>
      <c r="N1652" s="414"/>
      <c r="O1652" s="414"/>
      <c r="P1652" s="414"/>
      <c r="Q1652" s="419">
        <f>ROUND(+N1652+O1652+P1652,4)</f>
        <v>0</v>
      </c>
      <c r="R1652" s="419">
        <f>ROUND(IF(+Q1652-H1652&lt;=0,0,Q1652-H1652),4)</f>
        <v>0</v>
      </c>
      <c r="S1652" s="423">
        <v>0.5</v>
      </c>
      <c r="T1652" s="419">
        <f>ROUND(+(R1652*C1652)*S1652,4)</f>
        <v>0</v>
      </c>
      <c r="U1652" s="419">
        <f>ROUND(+J1652+M1652+T1652,4)</f>
        <v>0</v>
      </c>
      <c r="V1652" s="235"/>
    </row>
    <row r="1653" spans="1:22" ht="15.75" x14ac:dyDescent="0.25">
      <c r="A1653" s="231"/>
      <c r="B1653" s="232"/>
      <c r="C1653" s="400"/>
      <c r="D1653" s="233"/>
      <c r="E1653" s="405"/>
      <c r="F1653" s="405"/>
      <c r="G1653" s="405"/>
      <c r="H1653" s="408">
        <f>ROUND(+E1653+F1653+G1653,4)</f>
        <v>0</v>
      </c>
      <c r="I1653" s="234"/>
      <c r="J1653" s="411"/>
      <c r="K1653" s="411"/>
      <c r="L1653" s="414">
        <v>0.1</v>
      </c>
      <c r="M1653" s="414">
        <f>ROUND(+L1653*C1653,4)</f>
        <v>0</v>
      </c>
      <c r="N1653" s="414"/>
      <c r="O1653" s="414"/>
      <c r="P1653" s="414"/>
      <c r="Q1653" s="419">
        <f>ROUND(+N1653+O1653+P1653,4)</f>
        <v>0</v>
      </c>
      <c r="R1653" s="419">
        <f>ROUND(IF(+Q1653-H1653&lt;=0,0,Q1653-H1653),4)</f>
        <v>0</v>
      </c>
      <c r="S1653" s="423">
        <v>0.5</v>
      </c>
      <c r="T1653" s="419">
        <f>ROUND(+(R1653*C1653)*S1653,4)</f>
        <v>0</v>
      </c>
      <c r="U1653" s="419">
        <f>ROUND(+J1653+M1653+T1653,4)</f>
        <v>0</v>
      </c>
      <c r="V1653" s="235"/>
    </row>
    <row r="1654" spans="1:22" ht="15.75" x14ac:dyDescent="0.25">
      <c r="A1654" s="231"/>
      <c r="B1654" s="232"/>
      <c r="C1654" s="400"/>
      <c r="D1654" s="233"/>
      <c r="E1654" s="405"/>
      <c r="F1654" s="405"/>
      <c r="G1654" s="405"/>
      <c r="H1654" s="408">
        <f>ROUND(+E1654+F1654+G1654,4)</f>
        <v>0</v>
      </c>
      <c r="I1654" s="234"/>
      <c r="J1654" s="411"/>
      <c r="K1654" s="411"/>
      <c r="L1654" s="414">
        <v>0.1</v>
      </c>
      <c r="M1654" s="414">
        <f>ROUND(+L1654*C1654,4)</f>
        <v>0</v>
      </c>
      <c r="N1654" s="414"/>
      <c r="O1654" s="414"/>
      <c r="P1654" s="414"/>
      <c r="Q1654" s="419">
        <f>ROUND(+N1654+O1654+P1654,4)</f>
        <v>0</v>
      </c>
      <c r="R1654" s="419">
        <f>ROUND(IF(+Q1654-H1654&lt;=0,0,Q1654-H1654),4)</f>
        <v>0</v>
      </c>
      <c r="S1654" s="423">
        <v>0.5</v>
      </c>
      <c r="T1654" s="419">
        <f>ROUND(+(R1654*C1654)*S1654,4)</f>
        <v>0</v>
      </c>
      <c r="U1654" s="419">
        <f>ROUND(+J1654+M1654+T1654,4)</f>
        <v>0</v>
      </c>
      <c r="V1654" s="235"/>
    </row>
    <row r="1655" spans="1:22" ht="15.75" x14ac:dyDescent="0.25">
      <c r="A1655" s="231"/>
      <c r="B1655" s="232"/>
      <c r="C1655" s="400"/>
      <c r="D1655" s="233"/>
      <c r="E1655" s="405"/>
      <c r="F1655" s="405"/>
      <c r="G1655" s="405"/>
      <c r="H1655" s="408">
        <f>ROUND(+E1655+F1655+G1655,4)</f>
        <v>0</v>
      </c>
      <c r="I1655" s="234"/>
      <c r="J1655" s="411"/>
      <c r="K1655" s="411"/>
      <c r="L1655" s="414">
        <v>0.1</v>
      </c>
      <c r="M1655" s="414">
        <f>ROUND(+L1655*C1655,4)</f>
        <v>0</v>
      </c>
      <c r="N1655" s="414"/>
      <c r="O1655" s="414"/>
      <c r="P1655" s="414"/>
      <c r="Q1655" s="419">
        <f>ROUND(+N1655+O1655+P1655,4)</f>
        <v>0</v>
      </c>
      <c r="R1655" s="419">
        <f>ROUND(IF(+Q1655-H1655&lt;=0,0,Q1655-H1655),4)</f>
        <v>0</v>
      </c>
      <c r="S1655" s="423">
        <v>0.5</v>
      </c>
      <c r="T1655" s="419">
        <f>ROUND(+(R1655*C1655)*S1655,4)</f>
        <v>0</v>
      </c>
      <c r="U1655" s="419">
        <f>ROUND(+J1655+M1655+T1655,4)</f>
        <v>0</v>
      </c>
      <c r="V1655" s="235"/>
    </row>
    <row r="1656" spans="1:22" ht="15.75" x14ac:dyDescent="0.25">
      <c r="A1656" s="231"/>
      <c r="B1656" s="232"/>
      <c r="C1656" s="400"/>
      <c r="D1656" s="233"/>
      <c r="E1656" s="405"/>
      <c r="F1656" s="405"/>
      <c r="G1656" s="405"/>
      <c r="H1656" s="408">
        <f>ROUND(+E1656+F1656+G1656,4)</f>
        <v>0</v>
      </c>
      <c r="I1656" s="234"/>
      <c r="J1656" s="411"/>
      <c r="K1656" s="411"/>
      <c r="L1656" s="414">
        <v>0.1</v>
      </c>
      <c r="M1656" s="414">
        <f>ROUND(+L1656*C1656,4)</f>
        <v>0</v>
      </c>
      <c r="N1656" s="414"/>
      <c r="O1656" s="414"/>
      <c r="P1656" s="414"/>
      <c r="Q1656" s="419">
        <f>ROUND(+N1656+O1656+P1656,4)</f>
        <v>0</v>
      </c>
      <c r="R1656" s="419">
        <f>ROUND(IF(+Q1656-H1656&lt;=0,0,Q1656-H1656),4)</f>
        <v>0</v>
      </c>
      <c r="S1656" s="423">
        <v>0.5</v>
      </c>
      <c r="T1656" s="419">
        <f>ROUND(+(R1656*C1656)*S1656,4)</f>
        <v>0</v>
      </c>
      <c r="U1656" s="419">
        <f>ROUND(+J1656+M1656+T1656,4)</f>
        <v>0</v>
      </c>
      <c r="V1656" s="235"/>
    </row>
    <row r="1657" spans="1:22" ht="15.75" x14ac:dyDescent="0.25">
      <c r="A1657" s="231"/>
      <c r="B1657" s="232"/>
      <c r="C1657" s="400"/>
      <c r="D1657" s="233"/>
      <c r="E1657" s="405"/>
      <c r="F1657" s="405"/>
      <c r="G1657" s="405"/>
      <c r="H1657" s="408">
        <f>ROUND(+E1657+F1657+G1657,4)</f>
        <v>0</v>
      </c>
      <c r="I1657" s="234"/>
      <c r="J1657" s="411"/>
      <c r="K1657" s="411"/>
      <c r="L1657" s="414">
        <v>0.1</v>
      </c>
      <c r="M1657" s="414">
        <f>ROUND(+L1657*C1657,4)</f>
        <v>0</v>
      </c>
      <c r="N1657" s="414"/>
      <c r="O1657" s="414"/>
      <c r="P1657" s="414"/>
      <c r="Q1657" s="419">
        <f>ROUND(+N1657+O1657+P1657,4)</f>
        <v>0</v>
      </c>
      <c r="R1657" s="419">
        <f>ROUND(IF(+Q1657-H1657&lt;=0,0,Q1657-H1657),4)</f>
        <v>0</v>
      </c>
      <c r="S1657" s="423">
        <v>0.5</v>
      </c>
      <c r="T1657" s="419">
        <f>ROUND(+(R1657*C1657)*S1657,4)</f>
        <v>0</v>
      </c>
      <c r="U1657" s="419">
        <f>ROUND(+J1657+M1657+T1657,4)</f>
        <v>0</v>
      </c>
      <c r="V1657" s="235"/>
    </row>
    <row r="1658" spans="1:22" ht="15.75" x14ac:dyDescent="0.25">
      <c r="A1658" s="231"/>
      <c r="B1658" s="232"/>
      <c r="C1658" s="400"/>
      <c r="D1658" s="233"/>
      <c r="E1658" s="405"/>
      <c r="F1658" s="405"/>
      <c r="G1658" s="405"/>
      <c r="H1658" s="408">
        <f>ROUND(+E1658+F1658+G1658,4)</f>
        <v>0</v>
      </c>
      <c r="I1658" s="234"/>
      <c r="J1658" s="411"/>
      <c r="K1658" s="411"/>
      <c r="L1658" s="414">
        <v>0.1</v>
      </c>
      <c r="M1658" s="414">
        <f>ROUND(+L1658*C1658,4)</f>
        <v>0</v>
      </c>
      <c r="N1658" s="414"/>
      <c r="O1658" s="414"/>
      <c r="P1658" s="414"/>
      <c r="Q1658" s="419">
        <f>ROUND(+N1658+O1658+P1658,4)</f>
        <v>0</v>
      </c>
      <c r="R1658" s="419">
        <f>ROUND(IF(+Q1658-H1658&lt;=0,0,Q1658-H1658),4)</f>
        <v>0</v>
      </c>
      <c r="S1658" s="423">
        <v>0.5</v>
      </c>
      <c r="T1658" s="419">
        <f>ROUND(+(R1658*C1658)*S1658,4)</f>
        <v>0</v>
      </c>
      <c r="U1658" s="419">
        <f>ROUND(+J1658+M1658+T1658,4)</f>
        <v>0</v>
      </c>
      <c r="V1658" s="235"/>
    </row>
    <row r="1659" spans="1:22" ht="15.75" x14ac:dyDescent="0.25">
      <c r="A1659" s="231"/>
      <c r="B1659" s="232"/>
      <c r="C1659" s="400"/>
      <c r="D1659" s="233"/>
      <c r="E1659" s="405"/>
      <c r="F1659" s="405"/>
      <c r="G1659" s="405"/>
      <c r="H1659" s="408">
        <f>ROUND(+E1659+F1659+G1659,4)</f>
        <v>0</v>
      </c>
      <c r="I1659" s="234"/>
      <c r="J1659" s="411"/>
      <c r="K1659" s="411"/>
      <c r="L1659" s="414">
        <v>0.1</v>
      </c>
      <c r="M1659" s="414">
        <f>ROUND(+L1659*C1659,4)</f>
        <v>0</v>
      </c>
      <c r="N1659" s="414"/>
      <c r="O1659" s="414"/>
      <c r="P1659" s="414"/>
      <c r="Q1659" s="419">
        <f>ROUND(+N1659+O1659+P1659,4)</f>
        <v>0</v>
      </c>
      <c r="R1659" s="419">
        <f>ROUND(IF(+Q1659-H1659&lt;=0,0,Q1659-H1659),4)</f>
        <v>0</v>
      </c>
      <c r="S1659" s="423">
        <v>0.5</v>
      </c>
      <c r="T1659" s="419">
        <f>ROUND(+(R1659*C1659)*S1659,4)</f>
        <v>0</v>
      </c>
      <c r="U1659" s="419">
        <f>ROUND(+J1659+M1659+T1659,4)</f>
        <v>0</v>
      </c>
      <c r="V1659" s="235"/>
    </row>
    <row r="1660" spans="1:22" ht="15.75" x14ac:dyDescent="0.25">
      <c r="A1660" s="231"/>
      <c r="B1660" s="232"/>
      <c r="C1660" s="400"/>
      <c r="D1660" s="233"/>
      <c r="E1660" s="405"/>
      <c r="F1660" s="405"/>
      <c r="G1660" s="405"/>
      <c r="H1660" s="408">
        <f>ROUND(+E1660+F1660+G1660,4)</f>
        <v>0</v>
      </c>
      <c r="I1660" s="234"/>
      <c r="J1660" s="411"/>
      <c r="K1660" s="411"/>
      <c r="L1660" s="414">
        <v>0.1</v>
      </c>
      <c r="M1660" s="414">
        <f>ROUND(+L1660*C1660,4)</f>
        <v>0</v>
      </c>
      <c r="N1660" s="414"/>
      <c r="O1660" s="414"/>
      <c r="P1660" s="414"/>
      <c r="Q1660" s="419">
        <f>ROUND(+N1660+O1660+P1660,4)</f>
        <v>0</v>
      </c>
      <c r="R1660" s="419">
        <f>ROUND(IF(+Q1660-H1660&lt;=0,0,Q1660-H1660),4)</f>
        <v>0</v>
      </c>
      <c r="S1660" s="423">
        <v>0.5</v>
      </c>
      <c r="T1660" s="419">
        <f>ROUND(+(R1660*C1660)*S1660,4)</f>
        <v>0</v>
      </c>
      <c r="U1660" s="419">
        <f>ROUND(+J1660+M1660+T1660,4)</f>
        <v>0</v>
      </c>
      <c r="V1660" s="235"/>
    </row>
    <row r="1661" spans="1:22" ht="15.75" x14ac:dyDescent="0.25">
      <c r="A1661" s="231"/>
      <c r="B1661" s="232"/>
      <c r="C1661" s="400"/>
      <c r="D1661" s="233"/>
      <c r="E1661" s="405"/>
      <c r="F1661" s="405"/>
      <c r="G1661" s="405"/>
      <c r="H1661" s="408">
        <f>ROUND(+E1661+F1661+G1661,4)</f>
        <v>0</v>
      </c>
      <c r="I1661" s="234"/>
      <c r="J1661" s="411"/>
      <c r="K1661" s="411"/>
      <c r="L1661" s="414">
        <v>0.1</v>
      </c>
      <c r="M1661" s="414">
        <f>ROUND(+L1661*C1661,4)</f>
        <v>0</v>
      </c>
      <c r="N1661" s="414"/>
      <c r="O1661" s="414"/>
      <c r="P1661" s="414"/>
      <c r="Q1661" s="419">
        <f>ROUND(+N1661+O1661+P1661,4)</f>
        <v>0</v>
      </c>
      <c r="R1661" s="419">
        <f>ROUND(IF(+Q1661-H1661&lt;=0,0,Q1661-H1661),4)</f>
        <v>0</v>
      </c>
      <c r="S1661" s="423">
        <v>0.5</v>
      </c>
      <c r="T1661" s="419">
        <f>ROUND(+(R1661*C1661)*S1661,4)</f>
        <v>0</v>
      </c>
      <c r="U1661" s="419">
        <f>ROUND(+J1661+M1661+T1661,4)</f>
        <v>0</v>
      </c>
      <c r="V1661" s="235"/>
    </row>
    <row r="1662" spans="1:22" ht="15.75" x14ac:dyDescent="0.25">
      <c r="A1662" s="231"/>
      <c r="B1662" s="232"/>
      <c r="C1662" s="400"/>
      <c r="D1662" s="233"/>
      <c r="E1662" s="405"/>
      <c r="F1662" s="405"/>
      <c r="G1662" s="405"/>
      <c r="H1662" s="408">
        <f>ROUND(+E1662+F1662+G1662,4)</f>
        <v>0</v>
      </c>
      <c r="I1662" s="234"/>
      <c r="J1662" s="411"/>
      <c r="K1662" s="411"/>
      <c r="L1662" s="414">
        <v>0.1</v>
      </c>
      <c r="M1662" s="414">
        <f>ROUND(+L1662*C1662,4)</f>
        <v>0</v>
      </c>
      <c r="N1662" s="414"/>
      <c r="O1662" s="414"/>
      <c r="P1662" s="414"/>
      <c r="Q1662" s="419">
        <f>ROUND(+N1662+O1662+P1662,4)</f>
        <v>0</v>
      </c>
      <c r="R1662" s="419">
        <f>ROUND(IF(+Q1662-H1662&lt;=0,0,Q1662-H1662),4)</f>
        <v>0</v>
      </c>
      <c r="S1662" s="423">
        <v>0.5</v>
      </c>
      <c r="T1662" s="419">
        <f>ROUND(+(R1662*C1662)*S1662,4)</f>
        <v>0</v>
      </c>
      <c r="U1662" s="419">
        <f>ROUND(+J1662+M1662+T1662,4)</f>
        <v>0</v>
      </c>
      <c r="V1662" s="235"/>
    </row>
    <row r="1663" spans="1:22" ht="15.75" x14ac:dyDescent="0.25">
      <c r="A1663" s="231"/>
      <c r="B1663" s="232"/>
      <c r="C1663" s="400"/>
      <c r="D1663" s="233"/>
      <c r="E1663" s="405"/>
      <c r="F1663" s="405"/>
      <c r="G1663" s="405"/>
      <c r="H1663" s="408">
        <f>ROUND(+E1663+F1663+G1663,4)</f>
        <v>0</v>
      </c>
      <c r="I1663" s="234"/>
      <c r="J1663" s="411"/>
      <c r="K1663" s="411"/>
      <c r="L1663" s="414">
        <v>0.1</v>
      </c>
      <c r="M1663" s="414">
        <f>ROUND(+L1663*C1663,4)</f>
        <v>0</v>
      </c>
      <c r="N1663" s="414"/>
      <c r="O1663" s="414"/>
      <c r="P1663" s="414"/>
      <c r="Q1663" s="419">
        <f>ROUND(+N1663+O1663+P1663,4)</f>
        <v>0</v>
      </c>
      <c r="R1663" s="419">
        <f>ROUND(IF(+Q1663-H1663&lt;=0,0,Q1663-H1663),4)</f>
        <v>0</v>
      </c>
      <c r="S1663" s="423">
        <v>0.5</v>
      </c>
      <c r="T1663" s="419">
        <f>ROUND(+(R1663*C1663)*S1663,4)</f>
        <v>0</v>
      </c>
      <c r="U1663" s="419">
        <f>ROUND(+J1663+M1663+T1663,4)</f>
        <v>0</v>
      </c>
      <c r="V1663" s="235"/>
    </row>
    <row r="1664" spans="1:22" ht="15.75" x14ac:dyDescent="0.25">
      <c r="A1664" s="231"/>
      <c r="B1664" s="232"/>
      <c r="C1664" s="400"/>
      <c r="D1664" s="233"/>
      <c r="E1664" s="405"/>
      <c r="F1664" s="405"/>
      <c r="G1664" s="405"/>
      <c r="H1664" s="408">
        <f>ROUND(+E1664+F1664+G1664,4)</f>
        <v>0</v>
      </c>
      <c r="I1664" s="234"/>
      <c r="J1664" s="411"/>
      <c r="K1664" s="411"/>
      <c r="L1664" s="414">
        <v>0.1</v>
      </c>
      <c r="M1664" s="414">
        <f>ROUND(+L1664*C1664,4)</f>
        <v>0</v>
      </c>
      <c r="N1664" s="414"/>
      <c r="O1664" s="414"/>
      <c r="P1664" s="414"/>
      <c r="Q1664" s="419">
        <f>ROUND(+N1664+O1664+P1664,4)</f>
        <v>0</v>
      </c>
      <c r="R1664" s="419">
        <f>ROUND(IF(+Q1664-H1664&lt;=0,0,Q1664-H1664),4)</f>
        <v>0</v>
      </c>
      <c r="S1664" s="423">
        <v>0.5</v>
      </c>
      <c r="T1664" s="419">
        <f>ROUND(+(R1664*C1664)*S1664,4)</f>
        <v>0</v>
      </c>
      <c r="U1664" s="419">
        <f>ROUND(+J1664+M1664+T1664,4)</f>
        <v>0</v>
      </c>
      <c r="V1664" s="235"/>
    </row>
    <row r="1665" spans="1:22" ht="15.75" x14ac:dyDescent="0.25">
      <c r="A1665" s="231"/>
      <c r="B1665" s="232"/>
      <c r="C1665" s="400"/>
      <c r="D1665" s="233"/>
      <c r="E1665" s="405"/>
      <c r="F1665" s="405"/>
      <c r="G1665" s="405"/>
      <c r="H1665" s="408">
        <f>ROUND(+E1665+F1665+G1665,4)</f>
        <v>0</v>
      </c>
      <c r="I1665" s="234"/>
      <c r="J1665" s="411"/>
      <c r="K1665" s="411"/>
      <c r="L1665" s="414">
        <v>0.1</v>
      </c>
      <c r="M1665" s="414">
        <f>ROUND(+L1665*C1665,4)</f>
        <v>0</v>
      </c>
      <c r="N1665" s="414"/>
      <c r="O1665" s="414"/>
      <c r="P1665" s="414"/>
      <c r="Q1665" s="419">
        <f>ROUND(+N1665+O1665+P1665,4)</f>
        <v>0</v>
      </c>
      <c r="R1665" s="419">
        <f>ROUND(IF(+Q1665-H1665&lt;=0,0,Q1665-H1665),4)</f>
        <v>0</v>
      </c>
      <c r="S1665" s="423">
        <v>0.5</v>
      </c>
      <c r="T1665" s="419">
        <f>ROUND(+(R1665*C1665)*S1665,4)</f>
        <v>0</v>
      </c>
      <c r="U1665" s="419">
        <f>ROUND(+J1665+M1665+T1665,4)</f>
        <v>0</v>
      </c>
      <c r="V1665" s="235"/>
    </row>
    <row r="1666" spans="1:22" ht="15.75" x14ac:dyDescent="0.25">
      <c r="A1666" s="231"/>
      <c r="B1666" s="232"/>
      <c r="C1666" s="400"/>
      <c r="D1666" s="233"/>
      <c r="E1666" s="405"/>
      <c r="F1666" s="405"/>
      <c r="G1666" s="405"/>
      <c r="H1666" s="408">
        <f>ROUND(+E1666+F1666+G1666,4)</f>
        <v>0</v>
      </c>
      <c r="I1666" s="234"/>
      <c r="J1666" s="411"/>
      <c r="K1666" s="411"/>
      <c r="L1666" s="414">
        <v>0.1</v>
      </c>
      <c r="M1666" s="414">
        <f>ROUND(+L1666*C1666,4)</f>
        <v>0</v>
      </c>
      <c r="N1666" s="414"/>
      <c r="O1666" s="414"/>
      <c r="P1666" s="414"/>
      <c r="Q1666" s="419">
        <f>ROUND(+N1666+O1666+P1666,4)</f>
        <v>0</v>
      </c>
      <c r="R1666" s="419">
        <f>ROUND(IF(+Q1666-H1666&lt;=0,0,Q1666-H1666),4)</f>
        <v>0</v>
      </c>
      <c r="S1666" s="423">
        <v>0.5</v>
      </c>
      <c r="T1666" s="419">
        <f>ROUND(+(R1666*C1666)*S1666,4)</f>
        <v>0</v>
      </c>
      <c r="U1666" s="419">
        <f>ROUND(+J1666+M1666+T1666,4)</f>
        <v>0</v>
      </c>
      <c r="V1666" s="235"/>
    </row>
    <row r="1667" spans="1:22" ht="15.75" x14ac:dyDescent="0.25">
      <c r="A1667" s="231"/>
      <c r="B1667" s="232"/>
      <c r="C1667" s="400"/>
      <c r="D1667" s="233"/>
      <c r="E1667" s="405"/>
      <c r="F1667" s="405"/>
      <c r="G1667" s="405"/>
      <c r="H1667" s="408">
        <f>ROUND(+E1667+F1667+G1667,4)</f>
        <v>0</v>
      </c>
      <c r="I1667" s="234"/>
      <c r="J1667" s="411"/>
      <c r="K1667" s="411"/>
      <c r="L1667" s="414">
        <v>0.1</v>
      </c>
      <c r="M1667" s="414">
        <f>ROUND(+L1667*C1667,4)</f>
        <v>0</v>
      </c>
      <c r="N1667" s="414"/>
      <c r="O1667" s="414"/>
      <c r="P1667" s="414"/>
      <c r="Q1667" s="419">
        <f>ROUND(+N1667+O1667+P1667,4)</f>
        <v>0</v>
      </c>
      <c r="R1667" s="419">
        <f>ROUND(IF(+Q1667-H1667&lt;=0,0,Q1667-H1667),4)</f>
        <v>0</v>
      </c>
      <c r="S1667" s="423">
        <v>0.5</v>
      </c>
      <c r="T1667" s="419">
        <f>ROUND(+(R1667*C1667)*S1667,4)</f>
        <v>0</v>
      </c>
      <c r="U1667" s="419">
        <f>ROUND(+J1667+M1667+T1667,4)</f>
        <v>0</v>
      </c>
      <c r="V1667" s="235"/>
    </row>
    <row r="1668" spans="1:22" ht="15.75" x14ac:dyDescent="0.25">
      <c r="A1668" s="231"/>
      <c r="B1668" s="232"/>
      <c r="C1668" s="400"/>
      <c r="D1668" s="233"/>
      <c r="E1668" s="405"/>
      <c r="F1668" s="405"/>
      <c r="G1668" s="405"/>
      <c r="H1668" s="408">
        <f>ROUND(+E1668+F1668+G1668,4)</f>
        <v>0</v>
      </c>
      <c r="I1668" s="234"/>
      <c r="J1668" s="411"/>
      <c r="K1668" s="411"/>
      <c r="L1668" s="414">
        <v>0.1</v>
      </c>
      <c r="M1668" s="414">
        <f>ROUND(+L1668*C1668,4)</f>
        <v>0</v>
      </c>
      <c r="N1668" s="414"/>
      <c r="O1668" s="414"/>
      <c r="P1668" s="414"/>
      <c r="Q1668" s="419">
        <f>ROUND(+N1668+O1668+P1668,4)</f>
        <v>0</v>
      </c>
      <c r="R1668" s="419">
        <f>ROUND(IF(+Q1668-H1668&lt;=0,0,Q1668-H1668),4)</f>
        <v>0</v>
      </c>
      <c r="S1668" s="423">
        <v>0.5</v>
      </c>
      <c r="T1668" s="419">
        <f>ROUND(+(R1668*C1668)*S1668,4)</f>
        <v>0</v>
      </c>
      <c r="U1668" s="419">
        <f>ROUND(+J1668+M1668+T1668,4)</f>
        <v>0</v>
      </c>
      <c r="V1668" s="235"/>
    </row>
    <row r="1669" spans="1:22" ht="15.75" x14ac:dyDescent="0.25">
      <c r="A1669" s="231"/>
      <c r="B1669" s="232"/>
      <c r="C1669" s="400"/>
      <c r="D1669" s="233"/>
      <c r="E1669" s="405"/>
      <c r="F1669" s="405"/>
      <c r="G1669" s="405"/>
      <c r="H1669" s="408">
        <f>ROUND(+E1669+F1669+G1669,4)</f>
        <v>0</v>
      </c>
      <c r="I1669" s="234"/>
      <c r="J1669" s="411"/>
      <c r="K1669" s="411"/>
      <c r="L1669" s="414">
        <v>0.1</v>
      </c>
      <c r="M1669" s="414">
        <f>ROUND(+L1669*C1669,4)</f>
        <v>0</v>
      </c>
      <c r="N1669" s="414"/>
      <c r="O1669" s="414"/>
      <c r="P1669" s="414"/>
      <c r="Q1669" s="419">
        <f>ROUND(+N1669+O1669+P1669,4)</f>
        <v>0</v>
      </c>
      <c r="R1669" s="419">
        <f>ROUND(IF(+Q1669-H1669&lt;=0,0,Q1669-H1669),4)</f>
        <v>0</v>
      </c>
      <c r="S1669" s="423">
        <v>0.5</v>
      </c>
      <c r="T1669" s="419">
        <f>ROUND(+(R1669*C1669)*S1669,4)</f>
        <v>0</v>
      </c>
      <c r="U1669" s="419">
        <f>ROUND(+J1669+M1669+T1669,4)</f>
        <v>0</v>
      </c>
      <c r="V1669" s="235"/>
    </row>
    <row r="1670" spans="1:22" ht="15.75" x14ac:dyDescent="0.25">
      <c r="A1670" s="231"/>
      <c r="B1670" s="232"/>
      <c r="C1670" s="400"/>
      <c r="D1670" s="233"/>
      <c r="E1670" s="405"/>
      <c r="F1670" s="405"/>
      <c r="G1670" s="405"/>
      <c r="H1670" s="408">
        <f>ROUND(+E1670+F1670+G1670,4)</f>
        <v>0</v>
      </c>
      <c r="I1670" s="234"/>
      <c r="J1670" s="411"/>
      <c r="K1670" s="411"/>
      <c r="L1670" s="414">
        <v>0.1</v>
      </c>
      <c r="M1670" s="414">
        <f>ROUND(+L1670*C1670,4)</f>
        <v>0</v>
      </c>
      <c r="N1670" s="414"/>
      <c r="O1670" s="414"/>
      <c r="P1670" s="414"/>
      <c r="Q1670" s="419">
        <f>ROUND(+N1670+O1670+P1670,4)</f>
        <v>0</v>
      </c>
      <c r="R1670" s="419">
        <f>ROUND(IF(+Q1670-H1670&lt;=0,0,Q1670-H1670),4)</f>
        <v>0</v>
      </c>
      <c r="S1670" s="423">
        <v>0.5</v>
      </c>
      <c r="T1670" s="419">
        <f>ROUND(+(R1670*C1670)*S1670,4)</f>
        <v>0</v>
      </c>
      <c r="U1670" s="419">
        <f>ROUND(+J1670+M1670+T1670,4)</f>
        <v>0</v>
      </c>
      <c r="V1670" s="235"/>
    </row>
    <row r="1671" spans="1:22" ht="15.75" x14ac:dyDescent="0.25">
      <c r="A1671" s="231"/>
      <c r="B1671" s="232"/>
      <c r="C1671" s="400"/>
      <c r="D1671" s="233"/>
      <c r="E1671" s="405"/>
      <c r="F1671" s="405"/>
      <c r="G1671" s="405"/>
      <c r="H1671" s="408">
        <f>ROUND(+E1671+F1671+G1671,4)</f>
        <v>0</v>
      </c>
      <c r="I1671" s="234"/>
      <c r="J1671" s="411"/>
      <c r="K1671" s="411"/>
      <c r="L1671" s="414">
        <v>0.1</v>
      </c>
      <c r="M1671" s="414">
        <f>ROUND(+L1671*C1671,4)</f>
        <v>0</v>
      </c>
      <c r="N1671" s="414"/>
      <c r="O1671" s="414"/>
      <c r="P1671" s="414"/>
      <c r="Q1671" s="419">
        <f>ROUND(+N1671+O1671+P1671,4)</f>
        <v>0</v>
      </c>
      <c r="R1671" s="419">
        <f>ROUND(IF(+Q1671-H1671&lt;=0,0,Q1671-H1671),4)</f>
        <v>0</v>
      </c>
      <c r="S1671" s="423">
        <v>0.5</v>
      </c>
      <c r="T1671" s="419">
        <f>ROUND(+(R1671*C1671)*S1671,4)</f>
        <v>0</v>
      </c>
      <c r="U1671" s="419">
        <f>ROUND(+J1671+M1671+T1671,4)</f>
        <v>0</v>
      </c>
      <c r="V1671" s="235"/>
    </row>
    <row r="1672" spans="1:22" ht="15.75" x14ac:dyDescent="0.25">
      <c r="A1672" s="231"/>
      <c r="B1672" s="232"/>
      <c r="C1672" s="400"/>
      <c r="D1672" s="233"/>
      <c r="E1672" s="405"/>
      <c r="F1672" s="405"/>
      <c r="G1672" s="405"/>
      <c r="H1672" s="408">
        <f>ROUND(+E1672+F1672+G1672,4)</f>
        <v>0</v>
      </c>
      <c r="I1672" s="234"/>
      <c r="J1672" s="411"/>
      <c r="K1672" s="411"/>
      <c r="L1672" s="414">
        <v>0.1</v>
      </c>
      <c r="M1672" s="414">
        <f>ROUND(+L1672*C1672,4)</f>
        <v>0</v>
      </c>
      <c r="N1672" s="414"/>
      <c r="O1672" s="414"/>
      <c r="P1672" s="414"/>
      <c r="Q1672" s="419">
        <f>ROUND(+N1672+O1672+P1672,4)</f>
        <v>0</v>
      </c>
      <c r="R1672" s="419">
        <f>ROUND(IF(+Q1672-H1672&lt;=0,0,Q1672-H1672),4)</f>
        <v>0</v>
      </c>
      <c r="S1672" s="423">
        <v>0.5</v>
      </c>
      <c r="T1672" s="419">
        <f>ROUND(+(R1672*C1672)*S1672,4)</f>
        <v>0</v>
      </c>
      <c r="U1672" s="419">
        <f>ROUND(+J1672+M1672+T1672,4)</f>
        <v>0</v>
      </c>
      <c r="V1672" s="235"/>
    </row>
    <row r="1673" spans="1:22" ht="15.75" x14ac:dyDescent="0.25">
      <c r="A1673" s="231"/>
      <c r="B1673" s="232"/>
      <c r="C1673" s="400"/>
      <c r="D1673" s="233"/>
      <c r="E1673" s="405"/>
      <c r="F1673" s="405"/>
      <c r="G1673" s="405"/>
      <c r="H1673" s="408">
        <f>ROUND(+E1673+F1673+G1673,4)</f>
        <v>0</v>
      </c>
      <c r="I1673" s="234"/>
      <c r="J1673" s="411"/>
      <c r="K1673" s="411"/>
      <c r="L1673" s="414">
        <v>0.1</v>
      </c>
      <c r="M1673" s="414">
        <f>ROUND(+L1673*C1673,4)</f>
        <v>0</v>
      </c>
      <c r="N1673" s="414"/>
      <c r="O1673" s="414"/>
      <c r="P1673" s="414"/>
      <c r="Q1673" s="419">
        <f>ROUND(+N1673+O1673+P1673,4)</f>
        <v>0</v>
      </c>
      <c r="R1673" s="419">
        <f>ROUND(IF(+Q1673-H1673&lt;=0,0,Q1673-H1673),4)</f>
        <v>0</v>
      </c>
      <c r="S1673" s="423">
        <v>0.5</v>
      </c>
      <c r="T1673" s="419">
        <f>ROUND(+(R1673*C1673)*S1673,4)</f>
        <v>0</v>
      </c>
      <c r="U1673" s="419">
        <f>ROUND(+J1673+M1673+T1673,4)</f>
        <v>0</v>
      </c>
      <c r="V1673" s="235"/>
    </row>
    <row r="1674" spans="1:22" ht="15.75" x14ac:dyDescent="0.25">
      <c r="A1674" s="231"/>
      <c r="B1674" s="232"/>
      <c r="C1674" s="400"/>
      <c r="D1674" s="233"/>
      <c r="E1674" s="405"/>
      <c r="F1674" s="405"/>
      <c r="G1674" s="405"/>
      <c r="H1674" s="408">
        <f>ROUND(+E1674+F1674+G1674,4)</f>
        <v>0</v>
      </c>
      <c r="I1674" s="234"/>
      <c r="J1674" s="411"/>
      <c r="K1674" s="411"/>
      <c r="L1674" s="414">
        <v>0.1</v>
      </c>
      <c r="M1674" s="414">
        <f>ROUND(+L1674*C1674,4)</f>
        <v>0</v>
      </c>
      <c r="N1674" s="414"/>
      <c r="O1674" s="414"/>
      <c r="P1674" s="414"/>
      <c r="Q1674" s="419">
        <f>ROUND(+N1674+O1674+P1674,4)</f>
        <v>0</v>
      </c>
      <c r="R1674" s="419">
        <f>ROUND(IF(+Q1674-H1674&lt;=0,0,Q1674-H1674),4)</f>
        <v>0</v>
      </c>
      <c r="S1674" s="423">
        <v>0.5</v>
      </c>
      <c r="T1674" s="419">
        <f>ROUND(+(R1674*C1674)*S1674,4)</f>
        <v>0</v>
      </c>
      <c r="U1674" s="419">
        <f>ROUND(+J1674+M1674+T1674,4)</f>
        <v>0</v>
      </c>
      <c r="V1674" s="235"/>
    </row>
    <row r="1675" spans="1:22" ht="15.75" x14ac:dyDescent="0.25">
      <c r="A1675" s="231"/>
      <c r="B1675" s="232"/>
      <c r="C1675" s="400"/>
      <c r="D1675" s="233"/>
      <c r="E1675" s="405"/>
      <c r="F1675" s="405"/>
      <c r="G1675" s="405"/>
      <c r="H1675" s="408">
        <f>ROUND(+E1675+F1675+G1675,4)</f>
        <v>0</v>
      </c>
      <c r="I1675" s="234"/>
      <c r="J1675" s="411"/>
      <c r="K1675" s="411"/>
      <c r="L1675" s="414">
        <v>0.1</v>
      </c>
      <c r="M1675" s="414">
        <f>ROUND(+L1675*C1675,4)</f>
        <v>0</v>
      </c>
      <c r="N1675" s="414"/>
      <c r="O1675" s="414"/>
      <c r="P1675" s="414"/>
      <c r="Q1675" s="419">
        <f>ROUND(+N1675+O1675+P1675,4)</f>
        <v>0</v>
      </c>
      <c r="R1675" s="419">
        <f>ROUND(IF(+Q1675-H1675&lt;=0,0,Q1675-H1675),4)</f>
        <v>0</v>
      </c>
      <c r="S1675" s="423">
        <v>0.5</v>
      </c>
      <c r="T1675" s="419">
        <f>ROUND(+(R1675*C1675)*S1675,4)</f>
        <v>0</v>
      </c>
      <c r="U1675" s="419">
        <f>ROUND(+J1675+M1675+T1675,4)</f>
        <v>0</v>
      </c>
      <c r="V1675" s="235"/>
    </row>
    <row r="1676" spans="1:22" ht="15.75" x14ac:dyDescent="0.25">
      <c r="A1676" s="231"/>
      <c r="B1676" s="232"/>
      <c r="C1676" s="400"/>
      <c r="D1676" s="233"/>
      <c r="E1676" s="405"/>
      <c r="F1676" s="405"/>
      <c r="G1676" s="405"/>
      <c r="H1676" s="408">
        <f>ROUND(+E1676+F1676+G1676,4)</f>
        <v>0</v>
      </c>
      <c r="I1676" s="234"/>
      <c r="J1676" s="411"/>
      <c r="K1676" s="411"/>
      <c r="L1676" s="414">
        <v>0.1</v>
      </c>
      <c r="M1676" s="414">
        <f>ROUND(+L1676*C1676,4)</f>
        <v>0</v>
      </c>
      <c r="N1676" s="414"/>
      <c r="O1676" s="414"/>
      <c r="P1676" s="414"/>
      <c r="Q1676" s="419">
        <f>ROUND(+N1676+O1676+P1676,4)</f>
        <v>0</v>
      </c>
      <c r="R1676" s="419">
        <f>ROUND(IF(+Q1676-H1676&lt;=0,0,Q1676-H1676),4)</f>
        <v>0</v>
      </c>
      <c r="S1676" s="423">
        <v>0.5</v>
      </c>
      <c r="T1676" s="419">
        <f>ROUND(+(R1676*C1676)*S1676,4)</f>
        <v>0</v>
      </c>
      <c r="U1676" s="419">
        <f>ROUND(+J1676+M1676+T1676,4)</f>
        <v>0</v>
      </c>
      <c r="V1676" s="235"/>
    </row>
    <row r="1677" spans="1:22" ht="15.75" x14ac:dyDescent="0.25">
      <c r="A1677" s="231"/>
      <c r="B1677" s="232"/>
      <c r="C1677" s="400"/>
      <c r="D1677" s="233"/>
      <c r="E1677" s="405"/>
      <c r="F1677" s="405"/>
      <c r="G1677" s="405"/>
      <c r="H1677" s="408">
        <f>ROUND(+E1677+F1677+G1677,4)</f>
        <v>0</v>
      </c>
      <c r="I1677" s="234"/>
      <c r="J1677" s="411"/>
      <c r="K1677" s="411"/>
      <c r="L1677" s="414">
        <v>0.1</v>
      </c>
      <c r="M1677" s="414">
        <f>ROUND(+L1677*C1677,4)</f>
        <v>0</v>
      </c>
      <c r="N1677" s="414"/>
      <c r="O1677" s="414"/>
      <c r="P1677" s="414"/>
      <c r="Q1677" s="419">
        <f>ROUND(+N1677+O1677+P1677,4)</f>
        <v>0</v>
      </c>
      <c r="R1677" s="419">
        <f>ROUND(IF(+Q1677-H1677&lt;=0,0,Q1677-H1677),4)</f>
        <v>0</v>
      </c>
      <c r="S1677" s="423">
        <v>0.5</v>
      </c>
      <c r="T1677" s="419">
        <f>ROUND(+(R1677*C1677)*S1677,4)</f>
        <v>0</v>
      </c>
      <c r="U1677" s="419">
        <f>ROUND(+J1677+M1677+T1677,4)</f>
        <v>0</v>
      </c>
      <c r="V1677" s="235"/>
    </row>
    <row r="1678" spans="1:22" ht="15.75" x14ac:dyDescent="0.25">
      <c r="A1678" s="231"/>
      <c r="B1678" s="232"/>
      <c r="C1678" s="400"/>
      <c r="D1678" s="233"/>
      <c r="E1678" s="405"/>
      <c r="F1678" s="405"/>
      <c r="G1678" s="405"/>
      <c r="H1678" s="408">
        <f>ROUND(+E1678+F1678+G1678,4)</f>
        <v>0</v>
      </c>
      <c r="I1678" s="234"/>
      <c r="J1678" s="411"/>
      <c r="K1678" s="411"/>
      <c r="L1678" s="414">
        <v>0.1</v>
      </c>
      <c r="M1678" s="414">
        <f>ROUND(+L1678*C1678,4)</f>
        <v>0</v>
      </c>
      <c r="N1678" s="414"/>
      <c r="O1678" s="414"/>
      <c r="P1678" s="414"/>
      <c r="Q1678" s="419">
        <f>ROUND(+N1678+O1678+P1678,4)</f>
        <v>0</v>
      </c>
      <c r="R1678" s="419">
        <f>ROUND(IF(+Q1678-H1678&lt;=0,0,Q1678-H1678),4)</f>
        <v>0</v>
      </c>
      <c r="S1678" s="423">
        <v>0.5</v>
      </c>
      <c r="T1678" s="419">
        <f>ROUND(+(R1678*C1678)*S1678,4)</f>
        <v>0</v>
      </c>
      <c r="U1678" s="419">
        <f>ROUND(+J1678+M1678+T1678,4)</f>
        <v>0</v>
      </c>
      <c r="V1678" s="235"/>
    </row>
    <row r="1679" spans="1:22" ht="15.75" x14ac:dyDescent="0.25">
      <c r="A1679" s="231"/>
      <c r="B1679" s="232"/>
      <c r="C1679" s="400"/>
      <c r="D1679" s="233"/>
      <c r="E1679" s="405"/>
      <c r="F1679" s="405"/>
      <c r="G1679" s="405"/>
      <c r="H1679" s="408">
        <f>ROUND(+E1679+F1679+G1679,4)</f>
        <v>0</v>
      </c>
      <c r="I1679" s="234"/>
      <c r="J1679" s="411"/>
      <c r="K1679" s="411"/>
      <c r="L1679" s="414">
        <v>0.1</v>
      </c>
      <c r="M1679" s="414">
        <f>ROUND(+L1679*C1679,4)</f>
        <v>0</v>
      </c>
      <c r="N1679" s="414"/>
      <c r="O1679" s="414"/>
      <c r="P1679" s="414"/>
      <c r="Q1679" s="419">
        <f>ROUND(+N1679+O1679+P1679,4)</f>
        <v>0</v>
      </c>
      <c r="R1679" s="419">
        <f>ROUND(IF(+Q1679-H1679&lt;=0,0,Q1679-H1679),4)</f>
        <v>0</v>
      </c>
      <c r="S1679" s="423">
        <v>0.5</v>
      </c>
      <c r="T1679" s="419">
        <f>ROUND(+(R1679*C1679)*S1679,4)</f>
        <v>0</v>
      </c>
      <c r="U1679" s="419">
        <f>ROUND(+J1679+M1679+T1679,4)</f>
        <v>0</v>
      </c>
      <c r="V1679" s="235"/>
    </row>
    <row r="1680" spans="1:22" ht="15.75" x14ac:dyDescent="0.25">
      <c r="A1680" s="231"/>
      <c r="B1680" s="232"/>
      <c r="C1680" s="400"/>
      <c r="D1680" s="233"/>
      <c r="E1680" s="405"/>
      <c r="F1680" s="405"/>
      <c r="G1680" s="405"/>
      <c r="H1680" s="408">
        <f>ROUND(+E1680+F1680+G1680,4)</f>
        <v>0</v>
      </c>
      <c r="I1680" s="234"/>
      <c r="J1680" s="411"/>
      <c r="K1680" s="411"/>
      <c r="L1680" s="414">
        <v>0.1</v>
      </c>
      <c r="M1680" s="414">
        <f>ROUND(+L1680*C1680,4)</f>
        <v>0</v>
      </c>
      <c r="N1680" s="414"/>
      <c r="O1680" s="414"/>
      <c r="P1680" s="414"/>
      <c r="Q1680" s="419">
        <f>ROUND(+N1680+O1680+P1680,4)</f>
        <v>0</v>
      </c>
      <c r="R1680" s="419">
        <f>ROUND(IF(+Q1680-H1680&lt;=0,0,Q1680-H1680),4)</f>
        <v>0</v>
      </c>
      <c r="S1680" s="423">
        <v>0.5</v>
      </c>
      <c r="T1680" s="419">
        <f>ROUND(+(R1680*C1680)*S1680,4)</f>
        <v>0</v>
      </c>
      <c r="U1680" s="419">
        <f>ROUND(+J1680+M1680+T1680,4)</f>
        <v>0</v>
      </c>
      <c r="V1680" s="235"/>
    </row>
    <row r="1681" spans="1:22" ht="15.75" x14ac:dyDescent="0.25">
      <c r="A1681" s="231"/>
      <c r="B1681" s="232"/>
      <c r="C1681" s="400"/>
      <c r="D1681" s="233"/>
      <c r="E1681" s="405"/>
      <c r="F1681" s="405"/>
      <c r="G1681" s="405"/>
      <c r="H1681" s="408">
        <f>ROUND(+E1681+F1681+G1681,4)</f>
        <v>0</v>
      </c>
      <c r="I1681" s="234"/>
      <c r="J1681" s="411"/>
      <c r="K1681" s="411"/>
      <c r="L1681" s="414">
        <v>0.1</v>
      </c>
      <c r="M1681" s="414">
        <f>ROUND(+L1681*C1681,4)</f>
        <v>0</v>
      </c>
      <c r="N1681" s="414"/>
      <c r="O1681" s="414"/>
      <c r="P1681" s="414"/>
      <c r="Q1681" s="419">
        <f>ROUND(+N1681+O1681+P1681,4)</f>
        <v>0</v>
      </c>
      <c r="R1681" s="419">
        <f>ROUND(IF(+Q1681-H1681&lt;=0,0,Q1681-H1681),4)</f>
        <v>0</v>
      </c>
      <c r="S1681" s="423">
        <v>0.5</v>
      </c>
      <c r="T1681" s="419">
        <f>ROUND(+(R1681*C1681)*S1681,4)</f>
        <v>0</v>
      </c>
      <c r="U1681" s="419">
        <f>ROUND(+J1681+M1681+T1681,4)</f>
        <v>0</v>
      </c>
      <c r="V1681" s="235"/>
    </row>
    <row r="1682" spans="1:22" ht="15.75" x14ac:dyDescent="0.25">
      <c r="A1682" s="231"/>
      <c r="B1682" s="232"/>
      <c r="C1682" s="400"/>
      <c r="D1682" s="233"/>
      <c r="E1682" s="405"/>
      <c r="F1682" s="405"/>
      <c r="G1682" s="405"/>
      <c r="H1682" s="408">
        <f>ROUND(+E1682+F1682+G1682,4)</f>
        <v>0</v>
      </c>
      <c r="I1682" s="234"/>
      <c r="J1682" s="411"/>
      <c r="K1682" s="411"/>
      <c r="L1682" s="414">
        <v>0.1</v>
      </c>
      <c r="M1682" s="414">
        <f>ROUND(+L1682*C1682,4)</f>
        <v>0</v>
      </c>
      <c r="N1682" s="414"/>
      <c r="O1682" s="414"/>
      <c r="P1682" s="414"/>
      <c r="Q1682" s="419">
        <f>ROUND(+N1682+O1682+P1682,4)</f>
        <v>0</v>
      </c>
      <c r="R1682" s="419">
        <f>ROUND(IF(+Q1682-H1682&lt;=0,0,Q1682-H1682),4)</f>
        <v>0</v>
      </c>
      <c r="S1682" s="423">
        <v>0.5</v>
      </c>
      <c r="T1682" s="419">
        <f>ROUND(+(R1682*C1682)*S1682,4)</f>
        <v>0</v>
      </c>
      <c r="U1682" s="419">
        <f>ROUND(+J1682+M1682+T1682,4)</f>
        <v>0</v>
      </c>
      <c r="V1682" s="235"/>
    </row>
    <row r="1683" spans="1:22" ht="15.75" x14ac:dyDescent="0.25">
      <c r="A1683" s="231"/>
      <c r="B1683" s="232"/>
      <c r="C1683" s="400"/>
      <c r="D1683" s="233"/>
      <c r="E1683" s="405"/>
      <c r="F1683" s="405"/>
      <c r="G1683" s="405"/>
      <c r="H1683" s="408">
        <f>ROUND(+E1683+F1683+G1683,4)</f>
        <v>0</v>
      </c>
      <c r="I1683" s="234"/>
      <c r="J1683" s="411"/>
      <c r="K1683" s="411"/>
      <c r="L1683" s="414">
        <v>0.1</v>
      </c>
      <c r="M1683" s="414">
        <f>ROUND(+L1683*C1683,4)</f>
        <v>0</v>
      </c>
      <c r="N1683" s="414"/>
      <c r="O1683" s="414"/>
      <c r="P1683" s="414"/>
      <c r="Q1683" s="419">
        <f>ROUND(+N1683+O1683+P1683,4)</f>
        <v>0</v>
      </c>
      <c r="R1683" s="419">
        <f>ROUND(IF(+Q1683-H1683&lt;=0,0,Q1683-H1683),4)</f>
        <v>0</v>
      </c>
      <c r="S1683" s="423">
        <v>0.5</v>
      </c>
      <c r="T1683" s="419">
        <f>ROUND(+(R1683*C1683)*S1683,4)</f>
        <v>0</v>
      </c>
      <c r="U1683" s="419">
        <f>ROUND(+J1683+M1683+T1683,4)</f>
        <v>0</v>
      </c>
      <c r="V1683" s="235"/>
    </row>
    <row r="1684" spans="1:22" ht="15.75" x14ac:dyDescent="0.25">
      <c r="A1684" s="231"/>
      <c r="B1684" s="232"/>
      <c r="C1684" s="400"/>
      <c r="D1684" s="233"/>
      <c r="E1684" s="405"/>
      <c r="F1684" s="405"/>
      <c r="G1684" s="405"/>
      <c r="H1684" s="408">
        <f>ROUND(+E1684+F1684+G1684,4)</f>
        <v>0</v>
      </c>
      <c r="I1684" s="234"/>
      <c r="J1684" s="411"/>
      <c r="K1684" s="411"/>
      <c r="L1684" s="414">
        <v>0.1</v>
      </c>
      <c r="M1684" s="414">
        <f>ROUND(+L1684*C1684,4)</f>
        <v>0</v>
      </c>
      <c r="N1684" s="414"/>
      <c r="O1684" s="414"/>
      <c r="P1684" s="414"/>
      <c r="Q1684" s="419">
        <f>ROUND(+N1684+O1684+P1684,4)</f>
        <v>0</v>
      </c>
      <c r="R1684" s="419">
        <f>ROUND(IF(+Q1684-H1684&lt;=0,0,Q1684-H1684),4)</f>
        <v>0</v>
      </c>
      <c r="S1684" s="423">
        <v>0.5</v>
      </c>
      <c r="T1684" s="419">
        <f>ROUND(+(R1684*C1684)*S1684,4)</f>
        <v>0</v>
      </c>
      <c r="U1684" s="419">
        <f>ROUND(+J1684+M1684+T1684,4)</f>
        <v>0</v>
      </c>
      <c r="V1684" s="235"/>
    </row>
    <row r="1685" spans="1:22" ht="15.75" x14ac:dyDescent="0.25">
      <c r="A1685" s="231"/>
      <c r="B1685" s="232"/>
      <c r="C1685" s="400"/>
      <c r="D1685" s="233"/>
      <c r="E1685" s="405"/>
      <c r="F1685" s="405"/>
      <c r="G1685" s="405"/>
      <c r="H1685" s="408">
        <f>ROUND(+E1685+F1685+G1685,4)</f>
        <v>0</v>
      </c>
      <c r="I1685" s="234"/>
      <c r="J1685" s="411"/>
      <c r="K1685" s="411"/>
      <c r="L1685" s="414">
        <v>0.1</v>
      </c>
      <c r="M1685" s="414">
        <f>ROUND(+L1685*C1685,4)</f>
        <v>0</v>
      </c>
      <c r="N1685" s="414"/>
      <c r="O1685" s="414"/>
      <c r="P1685" s="414"/>
      <c r="Q1685" s="419">
        <f>ROUND(+N1685+O1685+P1685,4)</f>
        <v>0</v>
      </c>
      <c r="R1685" s="419">
        <f>ROUND(IF(+Q1685-H1685&lt;=0,0,Q1685-H1685),4)</f>
        <v>0</v>
      </c>
      <c r="S1685" s="423">
        <v>0.5</v>
      </c>
      <c r="T1685" s="419">
        <f>ROUND(+(R1685*C1685)*S1685,4)</f>
        <v>0</v>
      </c>
      <c r="U1685" s="419">
        <f>ROUND(+J1685+M1685+T1685,4)</f>
        <v>0</v>
      </c>
      <c r="V1685" s="235"/>
    </row>
    <row r="1686" spans="1:22" ht="15.75" x14ac:dyDescent="0.25">
      <c r="A1686" s="231"/>
      <c r="B1686" s="232"/>
      <c r="C1686" s="400"/>
      <c r="D1686" s="233"/>
      <c r="E1686" s="405"/>
      <c r="F1686" s="405"/>
      <c r="G1686" s="405"/>
      <c r="H1686" s="408">
        <f>ROUND(+E1686+F1686+G1686,4)</f>
        <v>0</v>
      </c>
      <c r="I1686" s="234"/>
      <c r="J1686" s="411"/>
      <c r="K1686" s="411"/>
      <c r="L1686" s="414">
        <v>0.1</v>
      </c>
      <c r="M1686" s="414">
        <f>ROUND(+L1686*C1686,4)</f>
        <v>0</v>
      </c>
      <c r="N1686" s="414"/>
      <c r="O1686" s="414"/>
      <c r="P1686" s="414"/>
      <c r="Q1686" s="419">
        <f>ROUND(+N1686+O1686+P1686,4)</f>
        <v>0</v>
      </c>
      <c r="R1686" s="419">
        <f>ROUND(IF(+Q1686-H1686&lt;=0,0,Q1686-H1686),4)</f>
        <v>0</v>
      </c>
      <c r="S1686" s="423">
        <v>0.5</v>
      </c>
      <c r="T1686" s="419">
        <f>ROUND(+(R1686*C1686)*S1686,4)</f>
        <v>0</v>
      </c>
      <c r="U1686" s="419">
        <f>ROUND(+J1686+M1686+T1686,4)</f>
        <v>0</v>
      </c>
      <c r="V1686" s="235"/>
    </row>
    <row r="1687" spans="1:22" ht="15.75" x14ac:dyDescent="0.25">
      <c r="A1687" s="231"/>
      <c r="B1687" s="232"/>
      <c r="C1687" s="400"/>
      <c r="D1687" s="233"/>
      <c r="E1687" s="405"/>
      <c r="F1687" s="405"/>
      <c r="G1687" s="405"/>
      <c r="H1687" s="408">
        <f>ROUND(+E1687+F1687+G1687,4)</f>
        <v>0</v>
      </c>
      <c r="I1687" s="234"/>
      <c r="J1687" s="411"/>
      <c r="K1687" s="411"/>
      <c r="L1687" s="414">
        <v>0.1</v>
      </c>
      <c r="M1687" s="414">
        <f>ROUND(+L1687*C1687,4)</f>
        <v>0</v>
      </c>
      <c r="N1687" s="414"/>
      <c r="O1687" s="414"/>
      <c r="P1687" s="414"/>
      <c r="Q1687" s="419">
        <f>ROUND(+N1687+O1687+P1687,4)</f>
        <v>0</v>
      </c>
      <c r="R1687" s="419">
        <f>ROUND(IF(+Q1687-H1687&lt;=0,0,Q1687-H1687),4)</f>
        <v>0</v>
      </c>
      <c r="S1687" s="423">
        <v>0.5</v>
      </c>
      <c r="T1687" s="419">
        <f>ROUND(+(R1687*C1687)*S1687,4)</f>
        <v>0</v>
      </c>
      <c r="U1687" s="419">
        <f>ROUND(+J1687+M1687+T1687,4)</f>
        <v>0</v>
      </c>
      <c r="V1687" s="235"/>
    </row>
    <row r="1688" spans="1:22" ht="15.75" x14ac:dyDescent="0.25">
      <c r="A1688" s="231"/>
      <c r="B1688" s="232"/>
      <c r="C1688" s="400"/>
      <c r="D1688" s="233"/>
      <c r="E1688" s="405"/>
      <c r="F1688" s="405"/>
      <c r="G1688" s="405"/>
      <c r="H1688" s="408">
        <f>ROUND(+E1688+F1688+G1688,4)</f>
        <v>0</v>
      </c>
      <c r="I1688" s="234"/>
      <c r="J1688" s="411"/>
      <c r="K1688" s="411"/>
      <c r="L1688" s="414">
        <v>0.1</v>
      </c>
      <c r="M1688" s="414">
        <f>ROUND(+L1688*C1688,4)</f>
        <v>0</v>
      </c>
      <c r="N1688" s="414"/>
      <c r="O1688" s="414"/>
      <c r="P1688" s="414"/>
      <c r="Q1688" s="419">
        <f>ROUND(+N1688+O1688+P1688,4)</f>
        <v>0</v>
      </c>
      <c r="R1688" s="419">
        <f>ROUND(IF(+Q1688-H1688&lt;=0,0,Q1688-H1688),4)</f>
        <v>0</v>
      </c>
      <c r="S1688" s="423">
        <v>0.5</v>
      </c>
      <c r="T1688" s="419">
        <f>ROUND(+(R1688*C1688)*S1688,4)</f>
        <v>0</v>
      </c>
      <c r="U1688" s="419">
        <f>ROUND(+J1688+M1688+T1688,4)</f>
        <v>0</v>
      </c>
      <c r="V1688" s="235"/>
    </row>
    <row r="1689" spans="1:22" ht="15.75" x14ac:dyDescent="0.25">
      <c r="A1689" s="231"/>
      <c r="B1689" s="232"/>
      <c r="C1689" s="400"/>
      <c r="D1689" s="233"/>
      <c r="E1689" s="405"/>
      <c r="F1689" s="405"/>
      <c r="G1689" s="405"/>
      <c r="H1689" s="408">
        <f>ROUND(+E1689+F1689+G1689,4)</f>
        <v>0</v>
      </c>
      <c r="I1689" s="234"/>
      <c r="J1689" s="411"/>
      <c r="K1689" s="411"/>
      <c r="L1689" s="414">
        <v>0.1</v>
      </c>
      <c r="M1689" s="414">
        <f>ROUND(+L1689*C1689,4)</f>
        <v>0</v>
      </c>
      <c r="N1689" s="414"/>
      <c r="O1689" s="414"/>
      <c r="P1689" s="414"/>
      <c r="Q1689" s="419">
        <f>ROUND(+N1689+O1689+P1689,4)</f>
        <v>0</v>
      </c>
      <c r="R1689" s="419">
        <f>ROUND(IF(+Q1689-H1689&lt;=0,0,Q1689-H1689),4)</f>
        <v>0</v>
      </c>
      <c r="S1689" s="423">
        <v>0.5</v>
      </c>
      <c r="T1689" s="419">
        <f>ROUND(+(R1689*C1689)*S1689,4)</f>
        <v>0</v>
      </c>
      <c r="U1689" s="419">
        <f>ROUND(+J1689+M1689+T1689,4)</f>
        <v>0</v>
      </c>
      <c r="V1689" s="235"/>
    </row>
    <row r="1690" spans="1:22" ht="15.75" x14ac:dyDescent="0.25">
      <c r="A1690" s="231"/>
      <c r="B1690" s="232"/>
      <c r="C1690" s="400"/>
      <c r="D1690" s="233"/>
      <c r="E1690" s="405"/>
      <c r="F1690" s="405"/>
      <c r="G1690" s="405"/>
      <c r="H1690" s="408">
        <f>ROUND(+E1690+F1690+G1690,4)</f>
        <v>0</v>
      </c>
      <c r="I1690" s="234"/>
      <c r="J1690" s="411"/>
      <c r="K1690" s="411"/>
      <c r="L1690" s="414">
        <v>0.1</v>
      </c>
      <c r="M1690" s="414">
        <f>ROUND(+L1690*C1690,4)</f>
        <v>0</v>
      </c>
      <c r="N1690" s="414"/>
      <c r="O1690" s="414"/>
      <c r="P1690" s="414"/>
      <c r="Q1690" s="419">
        <f>ROUND(+N1690+O1690+P1690,4)</f>
        <v>0</v>
      </c>
      <c r="R1690" s="419">
        <f>ROUND(IF(+Q1690-H1690&lt;=0,0,Q1690-H1690),4)</f>
        <v>0</v>
      </c>
      <c r="S1690" s="423">
        <v>0.5</v>
      </c>
      <c r="T1690" s="419">
        <f>ROUND(+(R1690*C1690)*S1690,4)</f>
        <v>0</v>
      </c>
      <c r="U1690" s="419">
        <f>ROUND(+J1690+M1690+T1690,4)</f>
        <v>0</v>
      </c>
      <c r="V1690" s="235"/>
    </row>
    <row r="1691" spans="1:22" ht="15.75" x14ac:dyDescent="0.25">
      <c r="A1691" s="231"/>
      <c r="B1691" s="232"/>
      <c r="C1691" s="400"/>
      <c r="D1691" s="233"/>
      <c r="E1691" s="405"/>
      <c r="F1691" s="405"/>
      <c r="G1691" s="405"/>
      <c r="H1691" s="408">
        <f>ROUND(+E1691+F1691+G1691,4)</f>
        <v>0</v>
      </c>
      <c r="I1691" s="234"/>
      <c r="J1691" s="411"/>
      <c r="K1691" s="411"/>
      <c r="L1691" s="414">
        <v>0.1</v>
      </c>
      <c r="M1691" s="414">
        <f>ROUND(+L1691*C1691,4)</f>
        <v>0</v>
      </c>
      <c r="N1691" s="414"/>
      <c r="O1691" s="414"/>
      <c r="P1691" s="414"/>
      <c r="Q1691" s="419">
        <f>ROUND(+N1691+O1691+P1691,4)</f>
        <v>0</v>
      </c>
      <c r="R1691" s="419">
        <f>ROUND(IF(+Q1691-H1691&lt;=0,0,Q1691-H1691),4)</f>
        <v>0</v>
      </c>
      <c r="S1691" s="423">
        <v>0.5</v>
      </c>
      <c r="T1691" s="419">
        <f>ROUND(+(R1691*C1691)*S1691,4)</f>
        <v>0</v>
      </c>
      <c r="U1691" s="419">
        <f>ROUND(+J1691+M1691+T1691,4)</f>
        <v>0</v>
      </c>
      <c r="V1691" s="235"/>
    </row>
    <row r="1692" spans="1:22" ht="15.75" x14ac:dyDescent="0.25">
      <c r="A1692" s="231"/>
      <c r="B1692" s="232"/>
      <c r="C1692" s="400"/>
      <c r="D1692" s="233"/>
      <c r="E1692" s="405"/>
      <c r="F1692" s="405"/>
      <c r="G1692" s="405"/>
      <c r="H1692" s="408">
        <f>ROUND(+E1692+F1692+G1692,4)</f>
        <v>0</v>
      </c>
      <c r="I1692" s="234"/>
      <c r="J1692" s="411"/>
      <c r="K1692" s="411"/>
      <c r="L1692" s="414">
        <v>0.1</v>
      </c>
      <c r="M1692" s="414">
        <f>ROUND(+L1692*C1692,4)</f>
        <v>0</v>
      </c>
      <c r="N1692" s="414"/>
      <c r="O1692" s="414"/>
      <c r="P1692" s="414"/>
      <c r="Q1692" s="419">
        <f>ROUND(+N1692+O1692+P1692,4)</f>
        <v>0</v>
      </c>
      <c r="R1692" s="419">
        <f>ROUND(IF(+Q1692-H1692&lt;=0,0,Q1692-H1692),4)</f>
        <v>0</v>
      </c>
      <c r="S1692" s="423">
        <v>0.5</v>
      </c>
      <c r="T1692" s="419">
        <f>ROUND(+(R1692*C1692)*S1692,4)</f>
        <v>0</v>
      </c>
      <c r="U1692" s="419">
        <f>ROUND(+J1692+M1692+T1692,4)</f>
        <v>0</v>
      </c>
      <c r="V1692" s="235"/>
    </row>
    <row r="1693" spans="1:22" ht="15.75" x14ac:dyDescent="0.25">
      <c r="A1693" s="231"/>
      <c r="B1693" s="232"/>
      <c r="C1693" s="400"/>
      <c r="D1693" s="233"/>
      <c r="E1693" s="405"/>
      <c r="F1693" s="405"/>
      <c r="G1693" s="405"/>
      <c r="H1693" s="408">
        <f>ROUND(+E1693+F1693+G1693,4)</f>
        <v>0</v>
      </c>
      <c r="I1693" s="234"/>
      <c r="J1693" s="411"/>
      <c r="K1693" s="411"/>
      <c r="L1693" s="414">
        <v>0.1</v>
      </c>
      <c r="M1693" s="414">
        <f>ROUND(+L1693*C1693,4)</f>
        <v>0</v>
      </c>
      <c r="N1693" s="414"/>
      <c r="O1693" s="414"/>
      <c r="P1693" s="414"/>
      <c r="Q1693" s="419">
        <f>ROUND(+N1693+O1693+P1693,4)</f>
        <v>0</v>
      </c>
      <c r="R1693" s="419">
        <f>ROUND(IF(+Q1693-H1693&lt;=0,0,Q1693-H1693),4)</f>
        <v>0</v>
      </c>
      <c r="S1693" s="423">
        <v>0.5</v>
      </c>
      <c r="T1693" s="419">
        <f>ROUND(+(R1693*C1693)*S1693,4)</f>
        <v>0</v>
      </c>
      <c r="U1693" s="419">
        <f>ROUND(+J1693+M1693+T1693,4)</f>
        <v>0</v>
      </c>
      <c r="V1693" s="235"/>
    </row>
    <row r="1694" spans="1:22" ht="15.75" x14ac:dyDescent="0.25">
      <c r="A1694" s="231"/>
      <c r="B1694" s="232"/>
      <c r="C1694" s="400"/>
      <c r="D1694" s="233"/>
      <c r="E1694" s="405"/>
      <c r="F1694" s="405"/>
      <c r="G1694" s="405"/>
      <c r="H1694" s="408">
        <f>ROUND(+E1694+F1694+G1694,4)</f>
        <v>0</v>
      </c>
      <c r="I1694" s="234"/>
      <c r="J1694" s="411"/>
      <c r="K1694" s="411"/>
      <c r="L1694" s="414">
        <v>0.1</v>
      </c>
      <c r="M1694" s="414">
        <f>ROUND(+L1694*C1694,4)</f>
        <v>0</v>
      </c>
      <c r="N1694" s="414"/>
      <c r="O1694" s="414"/>
      <c r="P1694" s="414"/>
      <c r="Q1694" s="419">
        <f>ROUND(+N1694+O1694+P1694,4)</f>
        <v>0</v>
      </c>
      <c r="R1694" s="419">
        <f>ROUND(IF(+Q1694-H1694&lt;=0,0,Q1694-H1694),4)</f>
        <v>0</v>
      </c>
      <c r="S1694" s="423">
        <v>0.5</v>
      </c>
      <c r="T1694" s="419">
        <f>ROUND(+(R1694*C1694)*S1694,4)</f>
        <v>0</v>
      </c>
      <c r="U1694" s="419">
        <f>ROUND(+J1694+M1694+T1694,4)</f>
        <v>0</v>
      </c>
      <c r="V1694" s="235"/>
    </row>
    <row r="1695" spans="1:22" ht="15.75" x14ac:dyDescent="0.25">
      <c r="A1695" s="231"/>
      <c r="B1695" s="232"/>
      <c r="C1695" s="400"/>
      <c r="D1695" s="233"/>
      <c r="E1695" s="405"/>
      <c r="F1695" s="405"/>
      <c r="G1695" s="405"/>
      <c r="H1695" s="408">
        <f>ROUND(+E1695+F1695+G1695,4)</f>
        <v>0</v>
      </c>
      <c r="I1695" s="234"/>
      <c r="J1695" s="411"/>
      <c r="K1695" s="411"/>
      <c r="L1695" s="414">
        <v>0.1</v>
      </c>
      <c r="M1695" s="414">
        <f>ROUND(+L1695*C1695,4)</f>
        <v>0</v>
      </c>
      <c r="N1695" s="414"/>
      <c r="O1695" s="414"/>
      <c r="P1695" s="414"/>
      <c r="Q1695" s="419">
        <f>ROUND(+N1695+O1695+P1695,4)</f>
        <v>0</v>
      </c>
      <c r="R1695" s="419">
        <f>ROUND(IF(+Q1695-H1695&lt;=0,0,Q1695-H1695),4)</f>
        <v>0</v>
      </c>
      <c r="S1695" s="423">
        <v>0.5</v>
      </c>
      <c r="T1695" s="419">
        <f>ROUND(+(R1695*C1695)*S1695,4)</f>
        <v>0</v>
      </c>
      <c r="U1695" s="419">
        <f>ROUND(+J1695+M1695+T1695,4)</f>
        <v>0</v>
      </c>
      <c r="V1695" s="235"/>
    </row>
    <row r="1696" spans="1:22" ht="15.75" x14ac:dyDescent="0.25">
      <c r="A1696" s="231"/>
      <c r="B1696" s="232"/>
      <c r="C1696" s="400"/>
      <c r="D1696" s="233"/>
      <c r="E1696" s="405"/>
      <c r="F1696" s="405"/>
      <c r="G1696" s="405"/>
      <c r="H1696" s="408">
        <f>ROUND(+E1696+F1696+G1696,4)</f>
        <v>0</v>
      </c>
      <c r="I1696" s="234"/>
      <c r="J1696" s="411"/>
      <c r="K1696" s="411"/>
      <c r="L1696" s="414">
        <v>0.1</v>
      </c>
      <c r="M1696" s="414">
        <f>ROUND(+L1696*C1696,4)</f>
        <v>0</v>
      </c>
      <c r="N1696" s="414"/>
      <c r="O1696" s="414"/>
      <c r="P1696" s="414"/>
      <c r="Q1696" s="419">
        <f>ROUND(+N1696+O1696+P1696,4)</f>
        <v>0</v>
      </c>
      <c r="R1696" s="419">
        <f>ROUND(IF(+Q1696-H1696&lt;=0,0,Q1696-H1696),4)</f>
        <v>0</v>
      </c>
      <c r="S1696" s="423">
        <v>0.5</v>
      </c>
      <c r="T1696" s="419">
        <f>ROUND(+(R1696*C1696)*S1696,4)</f>
        <v>0</v>
      </c>
      <c r="U1696" s="419">
        <f>ROUND(+J1696+M1696+T1696,4)</f>
        <v>0</v>
      </c>
      <c r="V1696" s="235"/>
    </row>
    <row r="1697" spans="1:22" ht="15.75" x14ac:dyDescent="0.25">
      <c r="A1697" s="231"/>
      <c r="B1697" s="232"/>
      <c r="C1697" s="400"/>
      <c r="D1697" s="233"/>
      <c r="E1697" s="405"/>
      <c r="F1697" s="405"/>
      <c r="G1697" s="405"/>
      <c r="H1697" s="408">
        <f>ROUND(+E1697+F1697+G1697,4)</f>
        <v>0</v>
      </c>
      <c r="I1697" s="234"/>
      <c r="J1697" s="411"/>
      <c r="K1697" s="411"/>
      <c r="L1697" s="414">
        <v>0.1</v>
      </c>
      <c r="M1697" s="414">
        <f>ROUND(+L1697*C1697,4)</f>
        <v>0</v>
      </c>
      <c r="N1697" s="414"/>
      <c r="O1697" s="414"/>
      <c r="P1697" s="414"/>
      <c r="Q1697" s="419">
        <f>ROUND(+N1697+O1697+P1697,4)</f>
        <v>0</v>
      </c>
      <c r="R1697" s="419">
        <f>ROUND(IF(+Q1697-H1697&lt;=0,0,Q1697-H1697),4)</f>
        <v>0</v>
      </c>
      <c r="S1697" s="423">
        <v>0.5</v>
      </c>
      <c r="T1697" s="419">
        <f>ROUND(+(R1697*C1697)*S1697,4)</f>
        <v>0</v>
      </c>
      <c r="U1697" s="419">
        <f>ROUND(+J1697+M1697+T1697,4)</f>
        <v>0</v>
      </c>
      <c r="V1697" s="235"/>
    </row>
    <row r="1698" spans="1:22" ht="15.75" x14ac:dyDescent="0.25">
      <c r="A1698" s="231"/>
      <c r="B1698" s="232"/>
      <c r="C1698" s="400"/>
      <c r="D1698" s="233"/>
      <c r="E1698" s="405"/>
      <c r="F1698" s="405"/>
      <c r="G1698" s="405"/>
      <c r="H1698" s="408">
        <f>ROUND(+E1698+F1698+G1698,4)</f>
        <v>0</v>
      </c>
      <c r="I1698" s="234"/>
      <c r="J1698" s="411"/>
      <c r="K1698" s="411"/>
      <c r="L1698" s="414">
        <v>0.1</v>
      </c>
      <c r="M1698" s="414">
        <f>ROUND(+L1698*C1698,4)</f>
        <v>0</v>
      </c>
      <c r="N1698" s="414"/>
      <c r="O1698" s="414"/>
      <c r="P1698" s="414"/>
      <c r="Q1698" s="419">
        <f>ROUND(+N1698+O1698+P1698,4)</f>
        <v>0</v>
      </c>
      <c r="R1698" s="419">
        <f>ROUND(IF(+Q1698-H1698&lt;=0,0,Q1698-H1698),4)</f>
        <v>0</v>
      </c>
      <c r="S1698" s="423">
        <v>0.5</v>
      </c>
      <c r="T1698" s="419">
        <f>ROUND(+(R1698*C1698)*S1698,4)</f>
        <v>0</v>
      </c>
      <c r="U1698" s="419">
        <f>ROUND(+J1698+M1698+T1698,4)</f>
        <v>0</v>
      </c>
      <c r="V1698" s="235"/>
    </row>
    <row r="1699" spans="1:22" ht="15.75" x14ac:dyDescent="0.25">
      <c r="A1699" s="231"/>
      <c r="B1699" s="232"/>
      <c r="C1699" s="400"/>
      <c r="D1699" s="233"/>
      <c r="E1699" s="405"/>
      <c r="F1699" s="405"/>
      <c r="G1699" s="405"/>
      <c r="H1699" s="408">
        <f>ROUND(+E1699+F1699+G1699,4)</f>
        <v>0</v>
      </c>
      <c r="I1699" s="234"/>
      <c r="J1699" s="411"/>
      <c r="K1699" s="411"/>
      <c r="L1699" s="414">
        <v>0.1</v>
      </c>
      <c r="M1699" s="414">
        <f>ROUND(+L1699*C1699,4)</f>
        <v>0</v>
      </c>
      <c r="N1699" s="414"/>
      <c r="O1699" s="414"/>
      <c r="P1699" s="414"/>
      <c r="Q1699" s="419">
        <f>ROUND(+N1699+O1699+P1699,4)</f>
        <v>0</v>
      </c>
      <c r="R1699" s="419">
        <f>ROUND(IF(+Q1699-H1699&lt;=0,0,Q1699-H1699),4)</f>
        <v>0</v>
      </c>
      <c r="S1699" s="423">
        <v>0.5</v>
      </c>
      <c r="T1699" s="419">
        <f>ROUND(+(R1699*C1699)*S1699,4)</f>
        <v>0</v>
      </c>
      <c r="U1699" s="419">
        <f>ROUND(+J1699+M1699+T1699,4)</f>
        <v>0</v>
      </c>
      <c r="V1699" s="235"/>
    </row>
    <row r="1700" spans="1:22" ht="15.75" x14ac:dyDescent="0.25">
      <c r="A1700" s="231"/>
      <c r="B1700" s="232"/>
      <c r="C1700" s="400"/>
      <c r="D1700" s="233"/>
      <c r="E1700" s="405"/>
      <c r="F1700" s="405"/>
      <c r="G1700" s="405"/>
      <c r="H1700" s="408">
        <f>ROUND(+E1700+F1700+G1700,4)</f>
        <v>0</v>
      </c>
      <c r="I1700" s="234"/>
      <c r="J1700" s="411"/>
      <c r="K1700" s="411"/>
      <c r="L1700" s="414">
        <v>0.1</v>
      </c>
      <c r="M1700" s="414">
        <f>ROUND(+L1700*C1700,4)</f>
        <v>0</v>
      </c>
      <c r="N1700" s="414"/>
      <c r="O1700" s="414"/>
      <c r="P1700" s="414"/>
      <c r="Q1700" s="419">
        <f>ROUND(+N1700+O1700+P1700,4)</f>
        <v>0</v>
      </c>
      <c r="R1700" s="419">
        <f>ROUND(IF(+Q1700-H1700&lt;=0,0,Q1700-H1700),4)</f>
        <v>0</v>
      </c>
      <c r="S1700" s="423">
        <v>0.5</v>
      </c>
      <c r="T1700" s="419">
        <f>ROUND(+(R1700*C1700)*S1700,4)</f>
        <v>0</v>
      </c>
      <c r="U1700" s="419">
        <f>ROUND(+J1700+M1700+T1700,4)</f>
        <v>0</v>
      </c>
      <c r="V1700" s="235"/>
    </row>
    <row r="1701" spans="1:22" ht="15.75" x14ac:dyDescent="0.25">
      <c r="A1701" s="231"/>
      <c r="B1701" s="232"/>
      <c r="C1701" s="400"/>
      <c r="D1701" s="233"/>
      <c r="E1701" s="405"/>
      <c r="F1701" s="405"/>
      <c r="G1701" s="405"/>
      <c r="H1701" s="408">
        <f>ROUND(+E1701+F1701+G1701,4)</f>
        <v>0</v>
      </c>
      <c r="I1701" s="234"/>
      <c r="J1701" s="411"/>
      <c r="K1701" s="411"/>
      <c r="L1701" s="414">
        <v>0.1</v>
      </c>
      <c r="M1701" s="414">
        <f>ROUND(+L1701*C1701,4)</f>
        <v>0</v>
      </c>
      <c r="N1701" s="414"/>
      <c r="O1701" s="414"/>
      <c r="P1701" s="414"/>
      <c r="Q1701" s="419">
        <f>ROUND(+N1701+O1701+P1701,4)</f>
        <v>0</v>
      </c>
      <c r="R1701" s="419">
        <f>ROUND(IF(+Q1701-H1701&lt;=0,0,Q1701-H1701),4)</f>
        <v>0</v>
      </c>
      <c r="S1701" s="423">
        <v>0.5</v>
      </c>
      <c r="T1701" s="419">
        <f>ROUND(+(R1701*C1701)*S1701,4)</f>
        <v>0</v>
      </c>
      <c r="U1701" s="419">
        <f>ROUND(+J1701+M1701+T1701,4)</f>
        <v>0</v>
      </c>
      <c r="V1701" s="235"/>
    </row>
    <row r="1702" spans="1:22" ht="15.75" x14ac:dyDescent="0.25">
      <c r="A1702" s="231"/>
      <c r="B1702" s="232"/>
      <c r="C1702" s="400"/>
      <c r="D1702" s="233"/>
      <c r="E1702" s="405"/>
      <c r="F1702" s="405"/>
      <c r="G1702" s="405"/>
      <c r="H1702" s="408">
        <f>ROUND(+E1702+F1702+G1702,4)</f>
        <v>0</v>
      </c>
      <c r="I1702" s="234"/>
      <c r="J1702" s="411"/>
      <c r="K1702" s="411"/>
      <c r="L1702" s="414">
        <v>0.1</v>
      </c>
      <c r="M1702" s="414">
        <f>ROUND(+L1702*C1702,4)</f>
        <v>0</v>
      </c>
      <c r="N1702" s="414"/>
      <c r="O1702" s="414"/>
      <c r="P1702" s="414"/>
      <c r="Q1702" s="419">
        <f>ROUND(+N1702+O1702+P1702,4)</f>
        <v>0</v>
      </c>
      <c r="R1702" s="419">
        <f>ROUND(IF(+Q1702-H1702&lt;=0,0,Q1702-H1702),4)</f>
        <v>0</v>
      </c>
      <c r="S1702" s="423">
        <v>0.5</v>
      </c>
      <c r="T1702" s="419">
        <f>ROUND(+(R1702*C1702)*S1702,4)</f>
        <v>0</v>
      </c>
      <c r="U1702" s="419">
        <f>ROUND(+J1702+M1702+T1702,4)</f>
        <v>0</v>
      </c>
      <c r="V1702" s="235"/>
    </row>
    <row r="1703" spans="1:22" ht="15.75" x14ac:dyDescent="0.25">
      <c r="A1703" s="231"/>
      <c r="B1703" s="232"/>
      <c r="C1703" s="400"/>
      <c r="D1703" s="233"/>
      <c r="E1703" s="405"/>
      <c r="F1703" s="405"/>
      <c r="G1703" s="405"/>
      <c r="H1703" s="408">
        <f>ROUND(+E1703+F1703+G1703,4)</f>
        <v>0</v>
      </c>
      <c r="I1703" s="234"/>
      <c r="J1703" s="411"/>
      <c r="K1703" s="411"/>
      <c r="L1703" s="414">
        <v>0.1</v>
      </c>
      <c r="M1703" s="414">
        <f>ROUND(+L1703*C1703,4)</f>
        <v>0</v>
      </c>
      <c r="N1703" s="414"/>
      <c r="O1703" s="414"/>
      <c r="P1703" s="414"/>
      <c r="Q1703" s="419">
        <f>ROUND(+N1703+O1703+P1703,4)</f>
        <v>0</v>
      </c>
      <c r="R1703" s="419">
        <f>ROUND(IF(+Q1703-H1703&lt;=0,0,Q1703-H1703),4)</f>
        <v>0</v>
      </c>
      <c r="S1703" s="423">
        <v>0.5</v>
      </c>
      <c r="T1703" s="419">
        <f>ROUND(+(R1703*C1703)*S1703,4)</f>
        <v>0</v>
      </c>
      <c r="U1703" s="419">
        <f>ROUND(+J1703+M1703+T1703,4)</f>
        <v>0</v>
      </c>
      <c r="V1703" s="235"/>
    </row>
    <row r="1704" spans="1:22" ht="15.75" x14ac:dyDescent="0.25">
      <c r="A1704" s="231"/>
      <c r="B1704" s="232"/>
      <c r="C1704" s="400"/>
      <c r="D1704" s="233"/>
      <c r="E1704" s="405"/>
      <c r="F1704" s="405"/>
      <c r="G1704" s="405"/>
      <c r="H1704" s="408">
        <f>ROUND(+E1704+F1704+G1704,4)</f>
        <v>0</v>
      </c>
      <c r="I1704" s="234"/>
      <c r="J1704" s="411"/>
      <c r="K1704" s="411"/>
      <c r="L1704" s="414">
        <v>0.1</v>
      </c>
      <c r="M1704" s="414">
        <f>ROUND(+L1704*C1704,4)</f>
        <v>0</v>
      </c>
      <c r="N1704" s="414"/>
      <c r="O1704" s="414"/>
      <c r="P1704" s="414"/>
      <c r="Q1704" s="419">
        <f>ROUND(+N1704+O1704+P1704,4)</f>
        <v>0</v>
      </c>
      <c r="R1704" s="419">
        <f>ROUND(IF(+Q1704-H1704&lt;=0,0,Q1704-H1704),4)</f>
        <v>0</v>
      </c>
      <c r="S1704" s="423">
        <v>0.5</v>
      </c>
      <c r="T1704" s="419">
        <f>ROUND(+(R1704*C1704)*S1704,4)</f>
        <v>0</v>
      </c>
      <c r="U1704" s="419">
        <f>ROUND(+J1704+M1704+T1704,4)</f>
        <v>0</v>
      </c>
      <c r="V1704" s="235"/>
    </row>
    <row r="1705" spans="1:22" ht="15.75" x14ac:dyDescent="0.25">
      <c r="A1705" s="231"/>
      <c r="B1705" s="232"/>
      <c r="C1705" s="400"/>
      <c r="D1705" s="233"/>
      <c r="E1705" s="405"/>
      <c r="F1705" s="405"/>
      <c r="G1705" s="405"/>
      <c r="H1705" s="408">
        <f>ROUND(+E1705+F1705+G1705,4)</f>
        <v>0</v>
      </c>
      <c r="I1705" s="234"/>
      <c r="J1705" s="411"/>
      <c r="K1705" s="411"/>
      <c r="L1705" s="414">
        <v>0.1</v>
      </c>
      <c r="M1705" s="414">
        <f>ROUND(+L1705*C1705,4)</f>
        <v>0</v>
      </c>
      <c r="N1705" s="414"/>
      <c r="O1705" s="414"/>
      <c r="P1705" s="414"/>
      <c r="Q1705" s="419">
        <f>ROUND(+N1705+O1705+P1705,4)</f>
        <v>0</v>
      </c>
      <c r="R1705" s="419">
        <f>ROUND(IF(+Q1705-H1705&lt;=0,0,Q1705-H1705),4)</f>
        <v>0</v>
      </c>
      <c r="S1705" s="423">
        <v>0.5</v>
      </c>
      <c r="T1705" s="419">
        <f>ROUND(+(R1705*C1705)*S1705,4)</f>
        <v>0</v>
      </c>
      <c r="U1705" s="419">
        <f>ROUND(+J1705+M1705+T1705,4)</f>
        <v>0</v>
      </c>
      <c r="V1705" s="235"/>
    </row>
    <row r="1706" spans="1:22" ht="15.75" x14ac:dyDescent="0.25">
      <c r="A1706" s="231"/>
      <c r="B1706" s="232"/>
      <c r="C1706" s="400"/>
      <c r="D1706" s="233"/>
      <c r="E1706" s="405"/>
      <c r="F1706" s="405"/>
      <c r="G1706" s="405"/>
      <c r="H1706" s="408">
        <f>ROUND(+E1706+F1706+G1706,4)</f>
        <v>0</v>
      </c>
      <c r="I1706" s="234"/>
      <c r="J1706" s="411"/>
      <c r="K1706" s="411"/>
      <c r="L1706" s="414">
        <v>0.1</v>
      </c>
      <c r="M1706" s="414">
        <f>ROUND(+L1706*C1706,4)</f>
        <v>0</v>
      </c>
      <c r="N1706" s="414"/>
      <c r="O1706" s="414"/>
      <c r="P1706" s="414"/>
      <c r="Q1706" s="419">
        <f>ROUND(+N1706+O1706+P1706,4)</f>
        <v>0</v>
      </c>
      <c r="R1706" s="419">
        <f>ROUND(IF(+Q1706-H1706&lt;=0,0,Q1706-H1706),4)</f>
        <v>0</v>
      </c>
      <c r="S1706" s="423">
        <v>0.5</v>
      </c>
      <c r="T1706" s="419">
        <f>ROUND(+(R1706*C1706)*S1706,4)</f>
        <v>0</v>
      </c>
      <c r="U1706" s="419">
        <f>ROUND(+J1706+M1706+T1706,4)</f>
        <v>0</v>
      </c>
      <c r="V1706" s="235"/>
    </row>
    <row r="1707" spans="1:22" ht="15.75" x14ac:dyDescent="0.25">
      <c r="A1707" s="231"/>
      <c r="B1707" s="232"/>
      <c r="C1707" s="400"/>
      <c r="D1707" s="233"/>
      <c r="E1707" s="405"/>
      <c r="F1707" s="405"/>
      <c r="G1707" s="405"/>
      <c r="H1707" s="408">
        <f>ROUND(+E1707+F1707+G1707,4)</f>
        <v>0</v>
      </c>
      <c r="I1707" s="234"/>
      <c r="J1707" s="411"/>
      <c r="K1707" s="411"/>
      <c r="L1707" s="414">
        <v>0.1</v>
      </c>
      <c r="M1707" s="414">
        <f>ROUND(+L1707*C1707,4)</f>
        <v>0</v>
      </c>
      <c r="N1707" s="414"/>
      <c r="O1707" s="414"/>
      <c r="P1707" s="414"/>
      <c r="Q1707" s="419">
        <f>ROUND(+N1707+O1707+P1707,4)</f>
        <v>0</v>
      </c>
      <c r="R1707" s="419">
        <f>ROUND(IF(+Q1707-H1707&lt;=0,0,Q1707-H1707),4)</f>
        <v>0</v>
      </c>
      <c r="S1707" s="423">
        <v>0.5</v>
      </c>
      <c r="T1707" s="419">
        <f>ROUND(+(R1707*C1707)*S1707,4)</f>
        <v>0</v>
      </c>
      <c r="U1707" s="419">
        <f>ROUND(+J1707+M1707+T1707,4)</f>
        <v>0</v>
      </c>
      <c r="V1707" s="235"/>
    </row>
    <row r="1708" spans="1:22" ht="15.75" x14ac:dyDescent="0.25">
      <c r="A1708" s="231"/>
      <c r="B1708" s="232"/>
      <c r="C1708" s="400"/>
      <c r="D1708" s="233"/>
      <c r="E1708" s="405"/>
      <c r="F1708" s="405"/>
      <c r="G1708" s="405"/>
      <c r="H1708" s="408">
        <f>ROUND(+E1708+F1708+G1708,4)</f>
        <v>0</v>
      </c>
      <c r="I1708" s="234"/>
      <c r="J1708" s="411"/>
      <c r="K1708" s="411"/>
      <c r="L1708" s="414">
        <v>0.1</v>
      </c>
      <c r="M1708" s="414">
        <f>ROUND(+L1708*C1708,4)</f>
        <v>0</v>
      </c>
      <c r="N1708" s="414"/>
      <c r="O1708" s="414"/>
      <c r="P1708" s="414"/>
      <c r="Q1708" s="419">
        <f>ROUND(+N1708+O1708+P1708,4)</f>
        <v>0</v>
      </c>
      <c r="R1708" s="419">
        <f>ROUND(IF(+Q1708-H1708&lt;=0,0,Q1708-H1708),4)</f>
        <v>0</v>
      </c>
      <c r="S1708" s="423">
        <v>0.5</v>
      </c>
      <c r="T1708" s="419">
        <f>ROUND(+(R1708*C1708)*S1708,4)</f>
        <v>0</v>
      </c>
      <c r="U1708" s="419">
        <f>ROUND(+J1708+M1708+T1708,4)</f>
        <v>0</v>
      </c>
      <c r="V1708" s="235"/>
    </row>
    <row r="1709" spans="1:22" ht="15.75" x14ac:dyDescent="0.25">
      <c r="A1709" s="231"/>
      <c r="B1709" s="232"/>
      <c r="C1709" s="400"/>
      <c r="D1709" s="233"/>
      <c r="E1709" s="405"/>
      <c r="F1709" s="405"/>
      <c r="G1709" s="405"/>
      <c r="H1709" s="408">
        <f>ROUND(+E1709+F1709+G1709,4)</f>
        <v>0</v>
      </c>
      <c r="I1709" s="234"/>
      <c r="J1709" s="411"/>
      <c r="K1709" s="411"/>
      <c r="L1709" s="414">
        <v>0.1</v>
      </c>
      <c r="M1709" s="414">
        <f>ROUND(+L1709*C1709,4)</f>
        <v>0</v>
      </c>
      <c r="N1709" s="414"/>
      <c r="O1709" s="414"/>
      <c r="P1709" s="414"/>
      <c r="Q1709" s="419">
        <f>ROUND(+N1709+O1709+P1709,4)</f>
        <v>0</v>
      </c>
      <c r="R1709" s="419">
        <f>ROUND(IF(+Q1709-H1709&lt;=0,0,Q1709-H1709),4)</f>
        <v>0</v>
      </c>
      <c r="S1709" s="423">
        <v>0.5</v>
      </c>
      <c r="T1709" s="419">
        <f>ROUND(+(R1709*C1709)*S1709,4)</f>
        <v>0</v>
      </c>
      <c r="U1709" s="419">
        <f>ROUND(+J1709+M1709+T1709,4)</f>
        <v>0</v>
      </c>
      <c r="V1709" s="235"/>
    </row>
    <row r="1710" spans="1:22" ht="15.75" x14ac:dyDescent="0.25">
      <c r="A1710" s="231"/>
      <c r="B1710" s="232"/>
      <c r="C1710" s="400"/>
      <c r="D1710" s="233"/>
      <c r="E1710" s="405"/>
      <c r="F1710" s="405"/>
      <c r="G1710" s="405"/>
      <c r="H1710" s="408">
        <f>ROUND(+E1710+F1710+G1710,4)</f>
        <v>0</v>
      </c>
      <c r="I1710" s="234"/>
      <c r="J1710" s="411"/>
      <c r="K1710" s="411"/>
      <c r="L1710" s="414">
        <v>0.1</v>
      </c>
      <c r="M1710" s="414">
        <f>ROUND(+L1710*C1710,4)</f>
        <v>0</v>
      </c>
      <c r="N1710" s="414"/>
      <c r="O1710" s="414"/>
      <c r="P1710" s="414"/>
      <c r="Q1710" s="419">
        <f>ROUND(+N1710+O1710+P1710,4)</f>
        <v>0</v>
      </c>
      <c r="R1710" s="419">
        <f>ROUND(IF(+Q1710-H1710&lt;=0,0,Q1710-H1710),4)</f>
        <v>0</v>
      </c>
      <c r="S1710" s="423">
        <v>0.5</v>
      </c>
      <c r="T1710" s="419">
        <f>ROUND(+(R1710*C1710)*S1710,4)</f>
        <v>0</v>
      </c>
      <c r="U1710" s="419">
        <f>ROUND(+J1710+M1710+T1710,4)</f>
        <v>0</v>
      </c>
      <c r="V1710" s="235"/>
    </row>
    <row r="1711" spans="1:22" ht="15.75" x14ac:dyDescent="0.25">
      <c r="A1711" s="231"/>
      <c r="B1711" s="232"/>
      <c r="C1711" s="400"/>
      <c r="D1711" s="233"/>
      <c r="E1711" s="405"/>
      <c r="F1711" s="405"/>
      <c r="G1711" s="405"/>
      <c r="H1711" s="408">
        <f>ROUND(+E1711+F1711+G1711,4)</f>
        <v>0</v>
      </c>
      <c r="I1711" s="234"/>
      <c r="J1711" s="411"/>
      <c r="K1711" s="411"/>
      <c r="L1711" s="414">
        <v>0.1</v>
      </c>
      <c r="M1711" s="414">
        <f>ROUND(+L1711*C1711,4)</f>
        <v>0</v>
      </c>
      <c r="N1711" s="414"/>
      <c r="O1711" s="414"/>
      <c r="P1711" s="414"/>
      <c r="Q1711" s="419">
        <f>ROUND(+N1711+O1711+P1711,4)</f>
        <v>0</v>
      </c>
      <c r="R1711" s="419">
        <f>ROUND(IF(+Q1711-H1711&lt;=0,0,Q1711-H1711),4)</f>
        <v>0</v>
      </c>
      <c r="S1711" s="423">
        <v>0.5</v>
      </c>
      <c r="T1711" s="419">
        <f>ROUND(+(R1711*C1711)*S1711,4)</f>
        <v>0</v>
      </c>
      <c r="U1711" s="419">
        <f>ROUND(+J1711+M1711+T1711,4)</f>
        <v>0</v>
      </c>
      <c r="V1711" s="235"/>
    </row>
    <row r="1712" spans="1:22" ht="15.75" x14ac:dyDescent="0.25">
      <c r="A1712" s="231"/>
      <c r="B1712" s="232"/>
      <c r="C1712" s="400"/>
      <c r="D1712" s="233"/>
      <c r="E1712" s="405"/>
      <c r="F1712" s="405"/>
      <c r="G1712" s="405"/>
      <c r="H1712" s="408">
        <f>ROUND(+E1712+F1712+G1712,4)</f>
        <v>0</v>
      </c>
      <c r="I1712" s="234"/>
      <c r="J1712" s="411"/>
      <c r="K1712" s="411"/>
      <c r="L1712" s="414">
        <v>0.1</v>
      </c>
      <c r="M1712" s="414">
        <f>ROUND(+L1712*C1712,4)</f>
        <v>0</v>
      </c>
      <c r="N1712" s="414"/>
      <c r="O1712" s="414"/>
      <c r="P1712" s="414"/>
      <c r="Q1712" s="419">
        <f>ROUND(+N1712+O1712+P1712,4)</f>
        <v>0</v>
      </c>
      <c r="R1712" s="419">
        <f>ROUND(IF(+Q1712-H1712&lt;=0,0,Q1712-H1712),4)</f>
        <v>0</v>
      </c>
      <c r="S1712" s="423">
        <v>0.5</v>
      </c>
      <c r="T1712" s="419">
        <f>ROUND(+(R1712*C1712)*S1712,4)</f>
        <v>0</v>
      </c>
      <c r="U1712" s="419">
        <f>ROUND(+J1712+M1712+T1712,4)</f>
        <v>0</v>
      </c>
      <c r="V1712" s="235"/>
    </row>
    <row r="1713" spans="1:22" ht="15.75" x14ac:dyDescent="0.25">
      <c r="A1713" s="231"/>
      <c r="B1713" s="232"/>
      <c r="C1713" s="400"/>
      <c r="D1713" s="233"/>
      <c r="E1713" s="405"/>
      <c r="F1713" s="405"/>
      <c r="G1713" s="405"/>
      <c r="H1713" s="408">
        <f>ROUND(+E1713+F1713+G1713,4)</f>
        <v>0</v>
      </c>
      <c r="I1713" s="234"/>
      <c r="J1713" s="411"/>
      <c r="K1713" s="411"/>
      <c r="L1713" s="414">
        <v>0.1</v>
      </c>
      <c r="M1713" s="414">
        <f>ROUND(+L1713*C1713,4)</f>
        <v>0</v>
      </c>
      <c r="N1713" s="414"/>
      <c r="O1713" s="414"/>
      <c r="P1713" s="414"/>
      <c r="Q1713" s="419">
        <f>ROUND(+N1713+O1713+P1713,4)</f>
        <v>0</v>
      </c>
      <c r="R1713" s="419">
        <f>ROUND(IF(+Q1713-H1713&lt;=0,0,Q1713-H1713),4)</f>
        <v>0</v>
      </c>
      <c r="S1713" s="423">
        <v>0.5</v>
      </c>
      <c r="T1713" s="419">
        <f>ROUND(+(R1713*C1713)*S1713,4)</f>
        <v>0</v>
      </c>
      <c r="U1713" s="419">
        <f>ROUND(+J1713+M1713+T1713,4)</f>
        <v>0</v>
      </c>
      <c r="V1713" s="235"/>
    </row>
    <row r="1714" spans="1:22" ht="15.75" x14ac:dyDescent="0.25">
      <c r="A1714" s="231"/>
      <c r="B1714" s="232"/>
      <c r="C1714" s="400"/>
      <c r="D1714" s="233"/>
      <c r="E1714" s="405"/>
      <c r="F1714" s="405"/>
      <c r="G1714" s="405"/>
      <c r="H1714" s="408">
        <f>ROUND(+E1714+F1714+G1714,4)</f>
        <v>0</v>
      </c>
      <c r="I1714" s="234"/>
      <c r="J1714" s="411"/>
      <c r="K1714" s="411"/>
      <c r="L1714" s="414">
        <v>0.1</v>
      </c>
      <c r="M1714" s="414">
        <f>ROUND(+L1714*C1714,4)</f>
        <v>0</v>
      </c>
      <c r="N1714" s="414"/>
      <c r="O1714" s="414"/>
      <c r="P1714" s="414"/>
      <c r="Q1714" s="419">
        <f>ROUND(+N1714+O1714+P1714,4)</f>
        <v>0</v>
      </c>
      <c r="R1714" s="419">
        <f>ROUND(IF(+Q1714-H1714&lt;=0,0,Q1714-H1714),4)</f>
        <v>0</v>
      </c>
      <c r="S1714" s="423">
        <v>0.5</v>
      </c>
      <c r="T1714" s="419">
        <f>ROUND(+(R1714*C1714)*S1714,4)</f>
        <v>0</v>
      </c>
      <c r="U1714" s="419">
        <f>ROUND(+J1714+M1714+T1714,4)</f>
        <v>0</v>
      </c>
      <c r="V1714" s="235"/>
    </row>
    <row r="1715" spans="1:22" ht="15.75" x14ac:dyDescent="0.25">
      <c r="A1715" s="231"/>
      <c r="B1715" s="232"/>
      <c r="C1715" s="400"/>
      <c r="D1715" s="233"/>
      <c r="E1715" s="405"/>
      <c r="F1715" s="405"/>
      <c r="G1715" s="405"/>
      <c r="H1715" s="408">
        <f>ROUND(+E1715+F1715+G1715,4)</f>
        <v>0</v>
      </c>
      <c r="I1715" s="234"/>
      <c r="J1715" s="411"/>
      <c r="K1715" s="411"/>
      <c r="L1715" s="414">
        <v>0.1</v>
      </c>
      <c r="M1715" s="414">
        <f>ROUND(+L1715*C1715,4)</f>
        <v>0</v>
      </c>
      <c r="N1715" s="414"/>
      <c r="O1715" s="414"/>
      <c r="P1715" s="414"/>
      <c r="Q1715" s="419">
        <f>ROUND(+N1715+O1715+P1715,4)</f>
        <v>0</v>
      </c>
      <c r="R1715" s="419">
        <f>ROUND(IF(+Q1715-H1715&lt;=0,0,Q1715-H1715),4)</f>
        <v>0</v>
      </c>
      <c r="S1715" s="423">
        <v>0.5</v>
      </c>
      <c r="T1715" s="419">
        <f>ROUND(+(R1715*C1715)*S1715,4)</f>
        <v>0</v>
      </c>
      <c r="U1715" s="419">
        <f>ROUND(+J1715+M1715+T1715,4)</f>
        <v>0</v>
      </c>
      <c r="V1715" s="235"/>
    </row>
    <row r="1716" spans="1:22" ht="15.75" x14ac:dyDescent="0.25">
      <c r="A1716" s="231"/>
      <c r="B1716" s="232"/>
      <c r="C1716" s="400"/>
      <c r="D1716" s="233"/>
      <c r="E1716" s="405"/>
      <c r="F1716" s="405"/>
      <c r="G1716" s="405"/>
      <c r="H1716" s="408">
        <f>ROUND(+E1716+F1716+G1716,4)</f>
        <v>0</v>
      </c>
      <c r="I1716" s="234"/>
      <c r="J1716" s="411"/>
      <c r="K1716" s="411"/>
      <c r="L1716" s="414">
        <v>0.1</v>
      </c>
      <c r="M1716" s="414">
        <f>ROUND(+L1716*C1716,4)</f>
        <v>0</v>
      </c>
      <c r="N1716" s="414"/>
      <c r="O1716" s="414"/>
      <c r="P1716" s="414"/>
      <c r="Q1716" s="419">
        <f>ROUND(+N1716+O1716+P1716,4)</f>
        <v>0</v>
      </c>
      <c r="R1716" s="419">
        <f>ROUND(IF(+Q1716-H1716&lt;=0,0,Q1716-H1716),4)</f>
        <v>0</v>
      </c>
      <c r="S1716" s="423">
        <v>0.5</v>
      </c>
      <c r="T1716" s="419">
        <f>ROUND(+(R1716*C1716)*S1716,4)</f>
        <v>0</v>
      </c>
      <c r="U1716" s="419">
        <f>ROUND(+J1716+M1716+T1716,4)</f>
        <v>0</v>
      </c>
      <c r="V1716" s="235"/>
    </row>
    <row r="1717" spans="1:22" ht="15.75" x14ac:dyDescent="0.25">
      <c r="A1717" s="231"/>
      <c r="B1717" s="232"/>
      <c r="C1717" s="400"/>
      <c r="D1717" s="233"/>
      <c r="E1717" s="405"/>
      <c r="F1717" s="405"/>
      <c r="G1717" s="405"/>
      <c r="H1717" s="408">
        <f>ROUND(+E1717+F1717+G1717,4)</f>
        <v>0</v>
      </c>
      <c r="I1717" s="234"/>
      <c r="J1717" s="411"/>
      <c r="K1717" s="411"/>
      <c r="L1717" s="414">
        <v>0.1</v>
      </c>
      <c r="M1717" s="414">
        <f>ROUND(+L1717*C1717,4)</f>
        <v>0</v>
      </c>
      <c r="N1717" s="414"/>
      <c r="O1717" s="414"/>
      <c r="P1717" s="414"/>
      <c r="Q1717" s="419">
        <f>ROUND(+N1717+O1717+P1717,4)</f>
        <v>0</v>
      </c>
      <c r="R1717" s="419">
        <f>ROUND(IF(+Q1717-H1717&lt;=0,0,Q1717-H1717),4)</f>
        <v>0</v>
      </c>
      <c r="S1717" s="423">
        <v>0.5</v>
      </c>
      <c r="T1717" s="419">
        <f>ROUND(+(R1717*C1717)*S1717,4)</f>
        <v>0</v>
      </c>
      <c r="U1717" s="419">
        <f>ROUND(+J1717+M1717+T1717,4)</f>
        <v>0</v>
      </c>
      <c r="V1717" s="235"/>
    </row>
    <row r="1718" spans="1:22" ht="15.75" x14ac:dyDescent="0.25">
      <c r="A1718" s="231"/>
      <c r="B1718" s="232"/>
      <c r="C1718" s="400"/>
      <c r="D1718" s="233"/>
      <c r="E1718" s="405"/>
      <c r="F1718" s="405"/>
      <c r="G1718" s="405"/>
      <c r="H1718" s="408">
        <f>ROUND(+E1718+F1718+G1718,4)</f>
        <v>0</v>
      </c>
      <c r="I1718" s="234"/>
      <c r="J1718" s="411"/>
      <c r="K1718" s="411"/>
      <c r="L1718" s="414">
        <v>0.1</v>
      </c>
      <c r="M1718" s="414">
        <f>ROUND(+L1718*C1718,4)</f>
        <v>0</v>
      </c>
      <c r="N1718" s="414"/>
      <c r="O1718" s="414"/>
      <c r="P1718" s="414"/>
      <c r="Q1718" s="419">
        <f>ROUND(+N1718+O1718+P1718,4)</f>
        <v>0</v>
      </c>
      <c r="R1718" s="419">
        <f>ROUND(IF(+Q1718-H1718&lt;=0,0,Q1718-H1718),4)</f>
        <v>0</v>
      </c>
      <c r="S1718" s="423">
        <v>0.5</v>
      </c>
      <c r="T1718" s="419">
        <f>ROUND(+(R1718*C1718)*S1718,4)</f>
        <v>0</v>
      </c>
      <c r="U1718" s="419">
        <f>ROUND(+J1718+M1718+T1718,4)</f>
        <v>0</v>
      </c>
      <c r="V1718" s="235"/>
    </row>
    <row r="1719" spans="1:22" ht="15.75" x14ac:dyDescent="0.25">
      <c r="A1719" s="231"/>
      <c r="B1719" s="232"/>
      <c r="C1719" s="400"/>
      <c r="D1719" s="233"/>
      <c r="E1719" s="405"/>
      <c r="F1719" s="405"/>
      <c r="G1719" s="405"/>
      <c r="H1719" s="408">
        <f>ROUND(+E1719+F1719+G1719,4)</f>
        <v>0</v>
      </c>
      <c r="I1719" s="234"/>
      <c r="J1719" s="411"/>
      <c r="K1719" s="411"/>
      <c r="L1719" s="414">
        <v>0.1</v>
      </c>
      <c r="M1719" s="414">
        <f>ROUND(+L1719*C1719,4)</f>
        <v>0</v>
      </c>
      <c r="N1719" s="414"/>
      <c r="O1719" s="414"/>
      <c r="P1719" s="414"/>
      <c r="Q1719" s="419">
        <f>ROUND(+N1719+O1719+P1719,4)</f>
        <v>0</v>
      </c>
      <c r="R1719" s="419">
        <f>ROUND(IF(+Q1719-H1719&lt;=0,0,Q1719-H1719),4)</f>
        <v>0</v>
      </c>
      <c r="S1719" s="423">
        <v>0.5</v>
      </c>
      <c r="T1719" s="419">
        <f>ROUND(+(R1719*C1719)*S1719,4)</f>
        <v>0</v>
      </c>
      <c r="U1719" s="419">
        <f>ROUND(+J1719+M1719+T1719,4)</f>
        <v>0</v>
      </c>
      <c r="V1719" s="235"/>
    </row>
    <row r="1720" spans="1:22" ht="15.75" x14ac:dyDescent="0.25">
      <c r="A1720" s="231"/>
      <c r="B1720" s="232"/>
      <c r="C1720" s="400"/>
      <c r="D1720" s="233"/>
      <c r="E1720" s="405"/>
      <c r="F1720" s="405"/>
      <c r="G1720" s="405"/>
      <c r="H1720" s="408">
        <f>ROUND(+E1720+F1720+G1720,4)</f>
        <v>0</v>
      </c>
      <c r="I1720" s="234"/>
      <c r="J1720" s="411"/>
      <c r="K1720" s="411"/>
      <c r="L1720" s="414">
        <v>0.1</v>
      </c>
      <c r="M1720" s="414">
        <f>ROUND(+L1720*C1720,4)</f>
        <v>0</v>
      </c>
      <c r="N1720" s="414"/>
      <c r="O1720" s="414"/>
      <c r="P1720" s="414"/>
      <c r="Q1720" s="419">
        <f>ROUND(+N1720+O1720+P1720,4)</f>
        <v>0</v>
      </c>
      <c r="R1720" s="419">
        <f>ROUND(IF(+Q1720-H1720&lt;=0,0,Q1720-H1720),4)</f>
        <v>0</v>
      </c>
      <c r="S1720" s="423">
        <v>0.5</v>
      </c>
      <c r="T1720" s="419">
        <f>ROUND(+(R1720*C1720)*S1720,4)</f>
        <v>0</v>
      </c>
      <c r="U1720" s="419">
        <f>ROUND(+J1720+M1720+T1720,4)</f>
        <v>0</v>
      </c>
      <c r="V1720" s="235"/>
    </row>
    <row r="1721" spans="1:22" ht="15.75" x14ac:dyDescent="0.25">
      <c r="A1721" s="231"/>
      <c r="B1721" s="232"/>
      <c r="C1721" s="400"/>
      <c r="D1721" s="233"/>
      <c r="E1721" s="405"/>
      <c r="F1721" s="405"/>
      <c r="G1721" s="405"/>
      <c r="H1721" s="408">
        <f>ROUND(+E1721+F1721+G1721,4)</f>
        <v>0</v>
      </c>
      <c r="I1721" s="234"/>
      <c r="J1721" s="411"/>
      <c r="K1721" s="411"/>
      <c r="L1721" s="414">
        <v>0.1</v>
      </c>
      <c r="M1721" s="414">
        <f>ROUND(+L1721*C1721,4)</f>
        <v>0</v>
      </c>
      <c r="N1721" s="414"/>
      <c r="O1721" s="414"/>
      <c r="P1721" s="414"/>
      <c r="Q1721" s="419">
        <f>ROUND(+N1721+O1721+P1721,4)</f>
        <v>0</v>
      </c>
      <c r="R1721" s="419">
        <f>ROUND(IF(+Q1721-H1721&lt;=0,0,Q1721-H1721),4)</f>
        <v>0</v>
      </c>
      <c r="S1721" s="423">
        <v>0.5</v>
      </c>
      <c r="T1721" s="419">
        <f>ROUND(+(R1721*C1721)*S1721,4)</f>
        <v>0</v>
      </c>
      <c r="U1721" s="419">
        <f>ROUND(+J1721+M1721+T1721,4)</f>
        <v>0</v>
      </c>
      <c r="V1721" s="235"/>
    </row>
    <row r="1722" spans="1:22" ht="15.75" x14ac:dyDescent="0.25">
      <c r="A1722" s="231"/>
      <c r="B1722" s="232"/>
      <c r="C1722" s="400"/>
      <c r="D1722" s="233"/>
      <c r="E1722" s="405"/>
      <c r="F1722" s="405"/>
      <c r="G1722" s="405"/>
      <c r="H1722" s="408">
        <f>ROUND(+E1722+F1722+G1722,4)</f>
        <v>0</v>
      </c>
      <c r="I1722" s="234"/>
      <c r="J1722" s="411"/>
      <c r="K1722" s="411"/>
      <c r="L1722" s="414">
        <v>0.1</v>
      </c>
      <c r="M1722" s="414">
        <f>ROUND(+L1722*C1722,4)</f>
        <v>0</v>
      </c>
      <c r="N1722" s="414"/>
      <c r="O1722" s="414"/>
      <c r="P1722" s="414"/>
      <c r="Q1722" s="419">
        <f>ROUND(+N1722+O1722+P1722,4)</f>
        <v>0</v>
      </c>
      <c r="R1722" s="419">
        <f>ROUND(IF(+Q1722-H1722&lt;=0,0,Q1722-H1722),4)</f>
        <v>0</v>
      </c>
      <c r="S1722" s="423">
        <v>0.5</v>
      </c>
      <c r="T1722" s="419">
        <f>ROUND(+(R1722*C1722)*S1722,4)</f>
        <v>0</v>
      </c>
      <c r="U1722" s="419">
        <f>ROUND(+J1722+M1722+T1722,4)</f>
        <v>0</v>
      </c>
      <c r="V1722" s="235"/>
    </row>
    <row r="1723" spans="1:22" ht="15.75" x14ac:dyDescent="0.25">
      <c r="A1723" s="231"/>
      <c r="B1723" s="232"/>
      <c r="C1723" s="400"/>
      <c r="D1723" s="233"/>
      <c r="E1723" s="405"/>
      <c r="F1723" s="405"/>
      <c r="G1723" s="405"/>
      <c r="H1723" s="408">
        <f>ROUND(+E1723+F1723+G1723,4)</f>
        <v>0</v>
      </c>
      <c r="I1723" s="234"/>
      <c r="J1723" s="411"/>
      <c r="K1723" s="411"/>
      <c r="L1723" s="414">
        <v>0.1</v>
      </c>
      <c r="M1723" s="414">
        <f>ROUND(+L1723*C1723,4)</f>
        <v>0</v>
      </c>
      <c r="N1723" s="414"/>
      <c r="O1723" s="414"/>
      <c r="P1723" s="414"/>
      <c r="Q1723" s="419">
        <f>ROUND(+N1723+O1723+P1723,4)</f>
        <v>0</v>
      </c>
      <c r="R1723" s="419">
        <f>ROUND(IF(+Q1723-H1723&lt;=0,0,Q1723-H1723),4)</f>
        <v>0</v>
      </c>
      <c r="S1723" s="423">
        <v>0.5</v>
      </c>
      <c r="T1723" s="419">
        <f>ROUND(+(R1723*C1723)*S1723,4)</f>
        <v>0</v>
      </c>
      <c r="U1723" s="419">
        <f>ROUND(+J1723+M1723+T1723,4)</f>
        <v>0</v>
      </c>
      <c r="V1723" s="235"/>
    </row>
    <row r="1724" spans="1:22" ht="15.75" x14ac:dyDescent="0.25">
      <c r="A1724" s="231"/>
      <c r="B1724" s="232"/>
      <c r="C1724" s="400"/>
      <c r="D1724" s="233"/>
      <c r="E1724" s="405"/>
      <c r="F1724" s="405"/>
      <c r="G1724" s="405"/>
      <c r="H1724" s="408">
        <f>ROUND(+E1724+F1724+G1724,4)</f>
        <v>0</v>
      </c>
      <c r="I1724" s="234"/>
      <c r="J1724" s="411"/>
      <c r="K1724" s="411"/>
      <c r="L1724" s="414">
        <v>0.1</v>
      </c>
      <c r="M1724" s="414">
        <f>ROUND(+L1724*C1724,4)</f>
        <v>0</v>
      </c>
      <c r="N1724" s="414"/>
      <c r="O1724" s="414"/>
      <c r="P1724" s="414"/>
      <c r="Q1724" s="419">
        <f>ROUND(+N1724+O1724+P1724,4)</f>
        <v>0</v>
      </c>
      <c r="R1724" s="419">
        <f>ROUND(IF(+Q1724-H1724&lt;=0,0,Q1724-H1724),4)</f>
        <v>0</v>
      </c>
      <c r="S1724" s="423">
        <v>0.5</v>
      </c>
      <c r="T1724" s="419">
        <f>ROUND(+(R1724*C1724)*S1724,4)</f>
        <v>0</v>
      </c>
      <c r="U1724" s="419">
        <f>ROUND(+J1724+M1724+T1724,4)</f>
        <v>0</v>
      </c>
      <c r="V1724" s="235"/>
    </row>
    <row r="1725" spans="1:22" ht="15.75" x14ac:dyDescent="0.25">
      <c r="A1725" s="231"/>
      <c r="B1725" s="232"/>
      <c r="C1725" s="400"/>
      <c r="D1725" s="233"/>
      <c r="E1725" s="405"/>
      <c r="F1725" s="405"/>
      <c r="G1725" s="405"/>
      <c r="H1725" s="408">
        <f>ROUND(+E1725+F1725+G1725,4)</f>
        <v>0</v>
      </c>
      <c r="I1725" s="234"/>
      <c r="J1725" s="411"/>
      <c r="K1725" s="411"/>
      <c r="L1725" s="414">
        <v>0.1</v>
      </c>
      <c r="M1725" s="414">
        <f>ROUND(+L1725*C1725,4)</f>
        <v>0</v>
      </c>
      <c r="N1725" s="414"/>
      <c r="O1725" s="414"/>
      <c r="P1725" s="414"/>
      <c r="Q1725" s="419">
        <f>ROUND(+N1725+O1725+P1725,4)</f>
        <v>0</v>
      </c>
      <c r="R1725" s="419">
        <f>ROUND(IF(+Q1725-H1725&lt;=0,0,Q1725-H1725),4)</f>
        <v>0</v>
      </c>
      <c r="S1725" s="423">
        <v>0.5</v>
      </c>
      <c r="T1725" s="419">
        <f>ROUND(+(R1725*C1725)*S1725,4)</f>
        <v>0</v>
      </c>
      <c r="U1725" s="419">
        <f>ROUND(+J1725+M1725+T1725,4)</f>
        <v>0</v>
      </c>
      <c r="V1725" s="235"/>
    </row>
    <row r="1726" spans="1:22" ht="15.75" x14ac:dyDescent="0.25">
      <c r="A1726" s="231"/>
      <c r="B1726" s="232"/>
      <c r="C1726" s="400"/>
      <c r="D1726" s="233"/>
      <c r="E1726" s="405"/>
      <c r="F1726" s="405"/>
      <c r="G1726" s="405"/>
      <c r="H1726" s="408">
        <f>ROUND(+E1726+F1726+G1726,4)</f>
        <v>0</v>
      </c>
      <c r="I1726" s="234"/>
      <c r="J1726" s="411"/>
      <c r="K1726" s="411"/>
      <c r="L1726" s="414">
        <v>0.1</v>
      </c>
      <c r="M1726" s="414">
        <f>ROUND(+L1726*C1726,4)</f>
        <v>0</v>
      </c>
      <c r="N1726" s="414"/>
      <c r="O1726" s="414"/>
      <c r="P1726" s="414"/>
      <c r="Q1726" s="419">
        <f>ROUND(+N1726+O1726+P1726,4)</f>
        <v>0</v>
      </c>
      <c r="R1726" s="419">
        <f>ROUND(IF(+Q1726-H1726&lt;=0,0,Q1726-H1726),4)</f>
        <v>0</v>
      </c>
      <c r="S1726" s="423">
        <v>0.5</v>
      </c>
      <c r="T1726" s="419">
        <f>ROUND(+(R1726*C1726)*S1726,4)</f>
        <v>0</v>
      </c>
      <c r="U1726" s="419">
        <f>ROUND(+J1726+M1726+T1726,4)</f>
        <v>0</v>
      </c>
      <c r="V1726" s="235"/>
    </row>
    <row r="1727" spans="1:22" ht="15.75" x14ac:dyDescent="0.25">
      <c r="A1727" s="231"/>
      <c r="B1727" s="232"/>
      <c r="C1727" s="400"/>
      <c r="D1727" s="233"/>
      <c r="E1727" s="405"/>
      <c r="F1727" s="405"/>
      <c r="G1727" s="405"/>
      <c r="H1727" s="408">
        <f>ROUND(+E1727+F1727+G1727,4)</f>
        <v>0</v>
      </c>
      <c r="I1727" s="234"/>
      <c r="J1727" s="411"/>
      <c r="K1727" s="411"/>
      <c r="L1727" s="414">
        <v>0.1</v>
      </c>
      <c r="M1727" s="414">
        <f>ROUND(+L1727*C1727,4)</f>
        <v>0</v>
      </c>
      <c r="N1727" s="414"/>
      <c r="O1727" s="414"/>
      <c r="P1727" s="414"/>
      <c r="Q1727" s="419">
        <f>ROUND(+N1727+O1727+P1727,4)</f>
        <v>0</v>
      </c>
      <c r="R1727" s="419">
        <f>ROUND(IF(+Q1727-H1727&lt;=0,0,Q1727-H1727),4)</f>
        <v>0</v>
      </c>
      <c r="S1727" s="423">
        <v>0.5</v>
      </c>
      <c r="T1727" s="419">
        <f>ROUND(+(R1727*C1727)*S1727,4)</f>
        <v>0</v>
      </c>
      <c r="U1727" s="419">
        <f>ROUND(+J1727+M1727+T1727,4)</f>
        <v>0</v>
      </c>
      <c r="V1727" s="235"/>
    </row>
    <row r="1728" spans="1:22" ht="15.75" x14ac:dyDescent="0.25">
      <c r="A1728" s="231"/>
      <c r="B1728" s="232"/>
      <c r="C1728" s="400"/>
      <c r="D1728" s="233"/>
      <c r="E1728" s="405"/>
      <c r="F1728" s="405"/>
      <c r="G1728" s="405"/>
      <c r="H1728" s="408">
        <f>ROUND(+E1728+F1728+G1728,4)</f>
        <v>0</v>
      </c>
      <c r="I1728" s="234"/>
      <c r="J1728" s="411"/>
      <c r="K1728" s="411"/>
      <c r="L1728" s="414">
        <v>0.1</v>
      </c>
      <c r="M1728" s="414">
        <f>ROUND(+L1728*C1728,4)</f>
        <v>0</v>
      </c>
      <c r="N1728" s="414"/>
      <c r="O1728" s="414"/>
      <c r="P1728" s="414"/>
      <c r="Q1728" s="419">
        <f>ROUND(+N1728+O1728+P1728,4)</f>
        <v>0</v>
      </c>
      <c r="R1728" s="419">
        <f>ROUND(IF(+Q1728-H1728&lt;=0,0,Q1728-H1728),4)</f>
        <v>0</v>
      </c>
      <c r="S1728" s="423">
        <v>0.5</v>
      </c>
      <c r="T1728" s="419">
        <f>ROUND(+(R1728*C1728)*S1728,4)</f>
        <v>0</v>
      </c>
      <c r="U1728" s="419">
        <f>ROUND(+J1728+M1728+T1728,4)</f>
        <v>0</v>
      </c>
      <c r="V1728" s="235"/>
    </row>
    <row r="1729" spans="1:22" ht="15.75" x14ac:dyDescent="0.25">
      <c r="A1729" s="231"/>
      <c r="B1729" s="232"/>
      <c r="C1729" s="400"/>
      <c r="D1729" s="233"/>
      <c r="E1729" s="405"/>
      <c r="F1729" s="405"/>
      <c r="G1729" s="405"/>
      <c r="H1729" s="408">
        <f>ROUND(+E1729+F1729+G1729,4)</f>
        <v>0</v>
      </c>
      <c r="I1729" s="234"/>
      <c r="J1729" s="411"/>
      <c r="K1729" s="411"/>
      <c r="L1729" s="414">
        <v>0.1</v>
      </c>
      <c r="M1729" s="414">
        <f>ROUND(+L1729*C1729,4)</f>
        <v>0</v>
      </c>
      <c r="N1729" s="414"/>
      <c r="O1729" s="414"/>
      <c r="P1729" s="414"/>
      <c r="Q1729" s="419">
        <f>ROUND(+N1729+O1729+P1729,4)</f>
        <v>0</v>
      </c>
      <c r="R1729" s="419">
        <f>ROUND(IF(+Q1729-H1729&lt;=0,0,Q1729-H1729),4)</f>
        <v>0</v>
      </c>
      <c r="S1729" s="423">
        <v>0.5</v>
      </c>
      <c r="T1729" s="419">
        <f>ROUND(+(R1729*C1729)*S1729,4)</f>
        <v>0</v>
      </c>
      <c r="U1729" s="419">
        <f>ROUND(+J1729+M1729+T1729,4)</f>
        <v>0</v>
      </c>
      <c r="V1729" s="235"/>
    </row>
    <row r="1730" spans="1:22" ht="15.75" x14ac:dyDescent="0.25">
      <c r="A1730" s="231"/>
      <c r="B1730" s="232"/>
      <c r="C1730" s="400"/>
      <c r="D1730" s="233"/>
      <c r="E1730" s="405"/>
      <c r="F1730" s="405"/>
      <c r="G1730" s="405"/>
      <c r="H1730" s="408">
        <f>ROUND(+E1730+F1730+G1730,4)</f>
        <v>0</v>
      </c>
      <c r="I1730" s="234"/>
      <c r="J1730" s="411"/>
      <c r="K1730" s="411"/>
      <c r="L1730" s="414">
        <v>0.1</v>
      </c>
      <c r="M1730" s="414">
        <f>ROUND(+L1730*C1730,4)</f>
        <v>0</v>
      </c>
      <c r="N1730" s="414"/>
      <c r="O1730" s="414"/>
      <c r="P1730" s="414"/>
      <c r="Q1730" s="419">
        <f>ROUND(+N1730+O1730+P1730,4)</f>
        <v>0</v>
      </c>
      <c r="R1730" s="419">
        <f>ROUND(IF(+Q1730-H1730&lt;=0,0,Q1730-H1730),4)</f>
        <v>0</v>
      </c>
      <c r="S1730" s="423">
        <v>0.5</v>
      </c>
      <c r="T1730" s="419">
        <f>ROUND(+(R1730*C1730)*S1730,4)</f>
        <v>0</v>
      </c>
      <c r="U1730" s="419">
        <f>ROUND(+J1730+M1730+T1730,4)</f>
        <v>0</v>
      </c>
      <c r="V1730" s="235"/>
    </row>
    <row r="1731" spans="1:22" ht="15.75" x14ac:dyDescent="0.25">
      <c r="A1731" s="231"/>
      <c r="B1731" s="232"/>
      <c r="C1731" s="400"/>
      <c r="D1731" s="233"/>
      <c r="E1731" s="405"/>
      <c r="F1731" s="405"/>
      <c r="G1731" s="405"/>
      <c r="H1731" s="408">
        <f>ROUND(+E1731+F1731+G1731,4)</f>
        <v>0</v>
      </c>
      <c r="I1731" s="234"/>
      <c r="J1731" s="411"/>
      <c r="K1731" s="411"/>
      <c r="L1731" s="414">
        <v>0.1</v>
      </c>
      <c r="M1731" s="414">
        <f>ROUND(+L1731*C1731,4)</f>
        <v>0</v>
      </c>
      <c r="N1731" s="414"/>
      <c r="O1731" s="414"/>
      <c r="P1731" s="414"/>
      <c r="Q1731" s="419">
        <f>ROUND(+N1731+O1731+P1731,4)</f>
        <v>0</v>
      </c>
      <c r="R1731" s="419">
        <f>ROUND(IF(+Q1731-H1731&lt;=0,0,Q1731-H1731),4)</f>
        <v>0</v>
      </c>
      <c r="S1731" s="423">
        <v>0.5</v>
      </c>
      <c r="T1731" s="419">
        <f>ROUND(+(R1731*C1731)*S1731,4)</f>
        <v>0</v>
      </c>
      <c r="U1731" s="419">
        <f>ROUND(+J1731+M1731+T1731,4)</f>
        <v>0</v>
      </c>
      <c r="V1731" s="235"/>
    </row>
    <row r="1732" spans="1:22" ht="15.75" x14ac:dyDescent="0.25">
      <c r="A1732" s="231"/>
      <c r="B1732" s="232"/>
      <c r="C1732" s="400"/>
      <c r="D1732" s="233"/>
      <c r="E1732" s="405"/>
      <c r="F1732" s="405"/>
      <c r="G1732" s="405"/>
      <c r="H1732" s="408">
        <f>ROUND(+E1732+F1732+G1732,4)</f>
        <v>0</v>
      </c>
      <c r="I1732" s="234"/>
      <c r="J1732" s="411"/>
      <c r="K1732" s="411"/>
      <c r="L1732" s="414">
        <v>0.1</v>
      </c>
      <c r="M1732" s="414">
        <f>ROUND(+L1732*C1732,4)</f>
        <v>0</v>
      </c>
      <c r="N1732" s="414"/>
      <c r="O1732" s="414"/>
      <c r="P1732" s="414"/>
      <c r="Q1732" s="419">
        <f>ROUND(+N1732+O1732+P1732,4)</f>
        <v>0</v>
      </c>
      <c r="R1732" s="419">
        <f>ROUND(IF(+Q1732-H1732&lt;=0,0,Q1732-H1732),4)</f>
        <v>0</v>
      </c>
      <c r="S1732" s="423">
        <v>0.5</v>
      </c>
      <c r="T1732" s="419">
        <f>ROUND(+(R1732*C1732)*S1732,4)</f>
        <v>0</v>
      </c>
      <c r="U1732" s="419">
        <f>ROUND(+J1732+M1732+T1732,4)</f>
        <v>0</v>
      </c>
      <c r="V1732" s="235"/>
    </row>
    <row r="1733" spans="1:22" ht="15.75" x14ac:dyDescent="0.25">
      <c r="A1733" s="231"/>
      <c r="B1733" s="232"/>
      <c r="C1733" s="400"/>
      <c r="D1733" s="233"/>
      <c r="E1733" s="405"/>
      <c r="F1733" s="405"/>
      <c r="G1733" s="405"/>
      <c r="H1733" s="408">
        <f>ROUND(+E1733+F1733+G1733,4)</f>
        <v>0</v>
      </c>
      <c r="I1733" s="234"/>
      <c r="J1733" s="411"/>
      <c r="K1733" s="411"/>
      <c r="L1733" s="414">
        <v>0.1</v>
      </c>
      <c r="M1733" s="414">
        <f>ROUND(+L1733*C1733,4)</f>
        <v>0</v>
      </c>
      <c r="N1733" s="414"/>
      <c r="O1733" s="414"/>
      <c r="P1733" s="414"/>
      <c r="Q1733" s="419">
        <f>ROUND(+N1733+O1733+P1733,4)</f>
        <v>0</v>
      </c>
      <c r="R1733" s="419">
        <f>ROUND(IF(+Q1733-H1733&lt;=0,0,Q1733-H1733),4)</f>
        <v>0</v>
      </c>
      <c r="S1733" s="423">
        <v>0.5</v>
      </c>
      <c r="T1733" s="419">
        <f>ROUND(+(R1733*C1733)*S1733,4)</f>
        <v>0</v>
      </c>
      <c r="U1733" s="419">
        <f>ROUND(+J1733+M1733+T1733,4)</f>
        <v>0</v>
      </c>
      <c r="V1733" s="235"/>
    </row>
    <row r="1734" spans="1:22" ht="15.75" x14ac:dyDescent="0.25">
      <c r="A1734" s="231"/>
      <c r="B1734" s="232"/>
      <c r="C1734" s="400"/>
      <c r="D1734" s="233"/>
      <c r="E1734" s="405"/>
      <c r="F1734" s="405"/>
      <c r="G1734" s="405"/>
      <c r="H1734" s="408">
        <f>ROUND(+E1734+F1734+G1734,4)</f>
        <v>0</v>
      </c>
      <c r="I1734" s="234"/>
      <c r="J1734" s="411"/>
      <c r="K1734" s="411"/>
      <c r="L1734" s="414">
        <v>0.1</v>
      </c>
      <c r="M1734" s="414">
        <f>ROUND(+L1734*C1734,4)</f>
        <v>0</v>
      </c>
      <c r="N1734" s="414"/>
      <c r="O1734" s="414"/>
      <c r="P1734" s="414"/>
      <c r="Q1734" s="419">
        <f>ROUND(+N1734+O1734+P1734,4)</f>
        <v>0</v>
      </c>
      <c r="R1734" s="419">
        <f>ROUND(IF(+Q1734-H1734&lt;=0,0,Q1734-H1734),4)</f>
        <v>0</v>
      </c>
      <c r="S1734" s="423">
        <v>0.5</v>
      </c>
      <c r="T1734" s="419">
        <f>ROUND(+(R1734*C1734)*S1734,4)</f>
        <v>0</v>
      </c>
      <c r="U1734" s="419">
        <f>ROUND(+J1734+M1734+T1734,4)</f>
        <v>0</v>
      </c>
      <c r="V1734" s="235"/>
    </row>
    <row r="1735" spans="1:22" ht="15.75" x14ac:dyDescent="0.25">
      <c r="A1735" s="231"/>
      <c r="B1735" s="232"/>
      <c r="C1735" s="400"/>
      <c r="D1735" s="233"/>
      <c r="E1735" s="405"/>
      <c r="F1735" s="405"/>
      <c r="G1735" s="405"/>
      <c r="H1735" s="408">
        <f>ROUND(+E1735+F1735+G1735,4)</f>
        <v>0</v>
      </c>
      <c r="I1735" s="234"/>
      <c r="J1735" s="411"/>
      <c r="K1735" s="411"/>
      <c r="L1735" s="414">
        <v>0.1</v>
      </c>
      <c r="M1735" s="414">
        <f>ROUND(+L1735*C1735,4)</f>
        <v>0</v>
      </c>
      <c r="N1735" s="414"/>
      <c r="O1735" s="414"/>
      <c r="P1735" s="414"/>
      <c r="Q1735" s="419">
        <f>ROUND(+N1735+O1735+P1735,4)</f>
        <v>0</v>
      </c>
      <c r="R1735" s="419">
        <f>ROUND(IF(+Q1735-H1735&lt;=0,0,Q1735-H1735),4)</f>
        <v>0</v>
      </c>
      <c r="S1735" s="423">
        <v>0.5</v>
      </c>
      <c r="T1735" s="419">
        <f>ROUND(+(R1735*C1735)*S1735,4)</f>
        <v>0</v>
      </c>
      <c r="U1735" s="419">
        <f>ROUND(+J1735+M1735+T1735,4)</f>
        <v>0</v>
      </c>
      <c r="V1735" s="235"/>
    </row>
    <row r="1736" spans="1:22" ht="15.75" x14ac:dyDescent="0.25">
      <c r="A1736" s="231"/>
      <c r="B1736" s="232"/>
      <c r="C1736" s="400"/>
      <c r="D1736" s="233"/>
      <c r="E1736" s="405"/>
      <c r="F1736" s="405"/>
      <c r="G1736" s="405"/>
      <c r="H1736" s="408">
        <f>ROUND(+E1736+F1736+G1736,4)</f>
        <v>0</v>
      </c>
      <c r="I1736" s="234"/>
      <c r="J1736" s="411"/>
      <c r="K1736" s="411"/>
      <c r="L1736" s="414">
        <v>0.1</v>
      </c>
      <c r="M1736" s="414">
        <f>ROUND(+L1736*C1736,4)</f>
        <v>0</v>
      </c>
      <c r="N1736" s="414"/>
      <c r="O1736" s="414"/>
      <c r="P1736" s="414"/>
      <c r="Q1736" s="419">
        <f>ROUND(+N1736+O1736+P1736,4)</f>
        <v>0</v>
      </c>
      <c r="R1736" s="419">
        <f>ROUND(IF(+Q1736-H1736&lt;=0,0,Q1736-H1736),4)</f>
        <v>0</v>
      </c>
      <c r="S1736" s="423">
        <v>0.5</v>
      </c>
      <c r="T1736" s="419">
        <f>ROUND(+(R1736*C1736)*S1736,4)</f>
        <v>0</v>
      </c>
      <c r="U1736" s="419">
        <f>ROUND(+J1736+M1736+T1736,4)</f>
        <v>0</v>
      </c>
      <c r="V1736" s="235"/>
    </row>
    <row r="1737" spans="1:22" ht="15.75" x14ac:dyDescent="0.25">
      <c r="A1737" s="231"/>
      <c r="B1737" s="232"/>
      <c r="C1737" s="400"/>
      <c r="D1737" s="233"/>
      <c r="E1737" s="405"/>
      <c r="F1737" s="405"/>
      <c r="G1737" s="405"/>
      <c r="H1737" s="408">
        <f>ROUND(+E1737+F1737+G1737,4)</f>
        <v>0</v>
      </c>
      <c r="I1737" s="234"/>
      <c r="J1737" s="411"/>
      <c r="K1737" s="411"/>
      <c r="L1737" s="414">
        <v>0.1</v>
      </c>
      <c r="M1737" s="414">
        <f>ROUND(+L1737*C1737,4)</f>
        <v>0</v>
      </c>
      <c r="N1737" s="414"/>
      <c r="O1737" s="414"/>
      <c r="P1737" s="414"/>
      <c r="Q1737" s="419">
        <f>ROUND(+N1737+O1737+P1737,4)</f>
        <v>0</v>
      </c>
      <c r="R1737" s="419">
        <f>ROUND(IF(+Q1737-H1737&lt;=0,0,Q1737-H1737),4)</f>
        <v>0</v>
      </c>
      <c r="S1737" s="423">
        <v>0.5</v>
      </c>
      <c r="T1737" s="419">
        <f>ROUND(+(R1737*C1737)*S1737,4)</f>
        <v>0</v>
      </c>
      <c r="U1737" s="419">
        <f>ROUND(+J1737+M1737+T1737,4)</f>
        <v>0</v>
      </c>
      <c r="V1737" s="235"/>
    </row>
    <row r="1738" spans="1:22" ht="15.75" x14ac:dyDescent="0.25">
      <c r="A1738" s="231"/>
      <c r="B1738" s="232"/>
      <c r="C1738" s="400"/>
      <c r="D1738" s="233"/>
      <c r="E1738" s="405"/>
      <c r="F1738" s="405"/>
      <c r="G1738" s="405"/>
      <c r="H1738" s="408">
        <f>ROUND(+E1738+F1738+G1738,4)</f>
        <v>0</v>
      </c>
      <c r="I1738" s="234"/>
      <c r="J1738" s="411"/>
      <c r="K1738" s="411"/>
      <c r="L1738" s="414">
        <v>0.1</v>
      </c>
      <c r="M1738" s="414">
        <f>ROUND(+L1738*C1738,4)</f>
        <v>0</v>
      </c>
      <c r="N1738" s="414"/>
      <c r="O1738" s="414"/>
      <c r="P1738" s="414"/>
      <c r="Q1738" s="419">
        <f>ROUND(+N1738+O1738+P1738,4)</f>
        <v>0</v>
      </c>
      <c r="R1738" s="419">
        <f>ROUND(IF(+Q1738-H1738&lt;=0,0,Q1738-H1738),4)</f>
        <v>0</v>
      </c>
      <c r="S1738" s="423">
        <v>0.5</v>
      </c>
      <c r="T1738" s="419">
        <f>ROUND(+(R1738*C1738)*S1738,4)</f>
        <v>0</v>
      </c>
      <c r="U1738" s="419">
        <f>ROUND(+J1738+M1738+T1738,4)</f>
        <v>0</v>
      </c>
      <c r="V1738" s="235"/>
    </row>
    <row r="1739" spans="1:22" ht="15.75" x14ac:dyDescent="0.25">
      <c r="A1739" s="231"/>
      <c r="B1739" s="232"/>
      <c r="C1739" s="400"/>
      <c r="D1739" s="233"/>
      <c r="E1739" s="405"/>
      <c r="F1739" s="405"/>
      <c r="G1739" s="405"/>
      <c r="H1739" s="408">
        <f>ROUND(+E1739+F1739+G1739,4)</f>
        <v>0</v>
      </c>
      <c r="I1739" s="234"/>
      <c r="J1739" s="411"/>
      <c r="K1739" s="411"/>
      <c r="L1739" s="414">
        <v>0.1</v>
      </c>
      <c r="M1739" s="414">
        <f>ROUND(+L1739*C1739,4)</f>
        <v>0</v>
      </c>
      <c r="N1739" s="414"/>
      <c r="O1739" s="414"/>
      <c r="P1739" s="414"/>
      <c r="Q1739" s="419">
        <f>ROUND(+N1739+O1739+P1739,4)</f>
        <v>0</v>
      </c>
      <c r="R1739" s="419">
        <f>ROUND(IF(+Q1739-H1739&lt;=0,0,Q1739-H1739),4)</f>
        <v>0</v>
      </c>
      <c r="S1739" s="423">
        <v>0.5</v>
      </c>
      <c r="T1739" s="419">
        <f>ROUND(+(R1739*C1739)*S1739,4)</f>
        <v>0</v>
      </c>
      <c r="U1739" s="419">
        <f>ROUND(+J1739+M1739+T1739,4)</f>
        <v>0</v>
      </c>
      <c r="V1739" s="235"/>
    </row>
    <row r="1740" spans="1:22" ht="15.75" x14ac:dyDescent="0.25">
      <c r="A1740" s="231"/>
      <c r="B1740" s="232"/>
      <c r="C1740" s="400"/>
      <c r="D1740" s="233"/>
      <c r="E1740" s="405"/>
      <c r="F1740" s="405"/>
      <c r="G1740" s="405"/>
      <c r="H1740" s="408">
        <f>ROUND(+E1740+F1740+G1740,4)</f>
        <v>0</v>
      </c>
      <c r="I1740" s="234"/>
      <c r="J1740" s="411"/>
      <c r="K1740" s="411"/>
      <c r="L1740" s="414">
        <v>0.1</v>
      </c>
      <c r="M1740" s="414">
        <f>ROUND(+L1740*C1740,4)</f>
        <v>0</v>
      </c>
      <c r="N1740" s="414"/>
      <c r="O1740" s="414"/>
      <c r="P1740" s="414"/>
      <c r="Q1740" s="419">
        <f>ROUND(+N1740+O1740+P1740,4)</f>
        <v>0</v>
      </c>
      <c r="R1740" s="419">
        <f>ROUND(IF(+Q1740-H1740&lt;=0,0,Q1740-H1740),4)</f>
        <v>0</v>
      </c>
      <c r="S1740" s="423">
        <v>0.5</v>
      </c>
      <c r="T1740" s="419">
        <f>ROUND(+(R1740*C1740)*S1740,4)</f>
        <v>0</v>
      </c>
      <c r="U1740" s="419">
        <f>ROUND(+J1740+M1740+T1740,4)</f>
        <v>0</v>
      </c>
      <c r="V1740" s="235"/>
    </row>
    <row r="1741" spans="1:22" ht="15.75" x14ac:dyDescent="0.25">
      <c r="A1741" s="231"/>
      <c r="B1741" s="232"/>
      <c r="C1741" s="400"/>
      <c r="D1741" s="233"/>
      <c r="E1741" s="405"/>
      <c r="F1741" s="405"/>
      <c r="G1741" s="405"/>
      <c r="H1741" s="408">
        <f>ROUND(+E1741+F1741+G1741,4)</f>
        <v>0</v>
      </c>
      <c r="I1741" s="234"/>
      <c r="J1741" s="411"/>
      <c r="K1741" s="411"/>
      <c r="L1741" s="414">
        <v>0.1</v>
      </c>
      <c r="M1741" s="414">
        <f>ROUND(+L1741*C1741,4)</f>
        <v>0</v>
      </c>
      <c r="N1741" s="414"/>
      <c r="O1741" s="414"/>
      <c r="P1741" s="414"/>
      <c r="Q1741" s="419">
        <f>ROUND(+N1741+O1741+P1741,4)</f>
        <v>0</v>
      </c>
      <c r="R1741" s="419">
        <f>ROUND(IF(+Q1741-H1741&lt;=0,0,Q1741-H1741),4)</f>
        <v>0</v>
      </c>
      <c r="S1741" s="423">
        <v>0.5</v>
      </c>
      <c r="T1741" s="419">
        <f>ROUND(+(R1741*C1741)*S1741,4)</f>
        <v>0</v>
      </c>
      <c r="U1741" s="419">
        <f>ROUND(+J1741+M1741+T1741,4)</f>
        <v>0</v>
      </c>
      <c r="V1741" s="235"/>
    </row>
    <row r="1742" spans="1:22" ht="15.75" x14ac:dyDescent="0.25">
      <c r="A1742" s="231"/>
      <c r="B1742" s="232"/>
      <c r="C1742" s="400"/>
      <c r="D1742" s="233"/>
      <c r="E1742" s="405"/>
      <c r="F1742" s="405"/>
      <c r="G1742" s="405"/>
      <c r="H1742" s="408">
        <f>ROUND(+E1742+F1742+G1742,4)</f>
        <v>0</v>
      </c>
      <c r="I1742" s="234"/>
      <c r="J1742" s="411"/>
      <c r="K1742" s="411"/>
      <c r="L1742" s="414">
        <v>0.1</v>
      </c>
      <c r="M1742" s="414">
        <f>ROUND(+L1742*C1742,4)</f>
        <v>0</v>
      </c>
      <c r="N1742" s="414"/>
      <c r="O1742" s="414"/>
      <c r="P1742" s="414"/>
      <c r="Q1742" s="419">
        <f>ROUND(+N1742+O1742+P1742,4)</f>
        <v>0</v>
      </c>
      <c r="R1742" s="419">
        <f>ROUND(IF(+Q1742-H1742&lt;=0,0,Q1742-H1742),4)</f>
        <v>0</v>
      </c>
      <c r="S1742" s="423">
        <v>0.5</v>
      </c>
      <c r="T1742" s="419">
        <f>ROUND(+(R1742*C1742)*S1742,4)</f>
        <v>0</v>
      </c>
      <c r="U1742" s="419">
        <f>ROUND(+J1742+M1742+T1742,4)</f>
        <v>0</v>
      </c>
      <c r="V1742" s="235"/>
    </row>
    <row r="1743" spans="1:22" ht="15.75" x14ac:dyDescent="0.25">
      <c r="A1743" s="231"/>
      <c r="B1743" s="232"/>
      <c r="C1743" s="400"/>
      <c r="D1743" s="233"/>
      <c r="E1743" s="405"/>
      <c r="F1743" s="405"/>
      <c r="G1743" s="405"/>
      <c r="H1743" s="408">
        <f>ROUND(+E1743+F1743+G1743,4)</f>
        <v>0</v>
      </c>
      <c r="I1743" s="234"/>
      <c r="J1743" s="411"/>
      <c r="K1743" s="411"/>
      <c r="L1743" s="414">
        <v>0.1</v>
      </c>
      <c r="M1743" s="414">
        <f>ROUND(+L1743*C1743,4)</f>
        <v>0</v>
      </c>
      <c r="N1743" s="414"/>
      <c r="O1743" s="414"/>
      <c r="P1743" s="414"/>
      <c r="Q1743" s="419">
        <f>ROUND(+N1743+O1743+P1743,4)</f>
        <v>0</v>
      </c>
      <c r="R1743" s="419">
        <f>ROUND(IF(+Q1743-H1743&lt;=0,0,Q1743-H1743),4)</f>
        <v>0</v>
      </c>
      <c r="S1743" s="423">
        <v>0.5</v>
      </c>
      <c r="T1743" s="419">
        <f>ROUND(+(R1743*C1743)*S1743,4)</f>
        <v>0</v>
      </c>
      <c r="U1743" s="419">
        <f>ROUND(+J1743+M1743+T1743,4)</f>
        <v>0</v>
      </c>
      <c r="V1743" s="235"/>
    </row>
    <row r="1744" spans="1:22" ht="15.75" x14ac:dyDescent="0.25">
      <c r="A1744" s="231"/>
      <c r="B1744" s="232"/>
      <c r="C1744" s="400"/>
      <c r="D1744" s="233"/>
      <c r="E1744" s="405"/>
      <c r="F1744" s="405"/>
      <c r="G1744" s="405"/>
      <c r="H1744" s="408">
        <f>ROUND(+E1744+F1744+G1744,4)</f>
        <v>0</v>
      </c>
      <c r="I1744" s="234"/>
      <c r="J1744" s="411"/>
      <c r="K1744" s="411"/>
      <c r="L1744" s="414">
        <v>0.1</v>
      </c>
      <c r="M1744" s="414">
        <f>ROUND(+L1744*C1744,4)</f>
        <v>0</v>
      </c>
      <c r="N1744" s="414"/>
      <c r="O1744" s="414"/>
      <c r="P1744" s="414"/>
      <c r="Q1744" s="419">
        <f>ROUND(+N1744+O1744+P1744,4)</f>
        <v>0</v>
      </c>
      <c r="R1744" s="419">
        <f>ROUND(IF(+Q1744-H1744&lt;=0,0,Q1744-H1744),4)</f>
        <v>0</v>
      </c>
      <c r="S1744" s="423">
        <v>0.5</v>
      </c>
      <c r="T1744" s="419">
        <f>ROUND(+(R1744*C1744)*S1744,4)</f>
        <v>0</v>
      </c>
      <c r="U1744" s="419">
        <f>ROUND(+J1744+M1744+T1744,4)</f>
        <v>0</v>
      </c>
      <c r="V1744" s="235"/>
    </row>
    <row r="1745" spans="1:22" ht="15.75" x14ac:dyDescent="0.25">
      <c r="A1745" s="231"/>
      <c r="B1745" s="232"/>
      <c r="C1745" s="400"/>
      <c r="D1745" s="233"/>
      <c r="E1745" s="405"/>
      <c r="F1745" s="405"/>
      <c r="G1745" s="405"/>
      <c r="H1745" s="408">
        <f>ROUND(+E1745+F1745+G1745,4)</f>
        <v>0</v>
      </c>
      <c r="I1745" s="234"/>
      <c r="J1745" s="411"/>
      <c r="K1745" s="411"/>
      <c r="L1745" s="414">
        <v>0.1</v>
      </c>
      <c r="M1745" s="414">
        <f>ROUND(+L1745*C1745,4)</f>
        <v>0</v>
      </c>
      <c r="N1745" s="414"/>
      <c r="O1745" s="414"/>
      <c r="P1745" s="414"/>
      <c r="Q1745" s="419">
        <f>ROUND(+N1745+O1745+P1745,4)</f>
        <v>0</v>
      </c>
      <c r="R1745" s="419">
        <f>ROUND(IF(+Q1745-H1745&lt;=0,0,Q1745-H1745),4)</f>
        <v>0</v>
      </c>
      <c r="S1745" s="423">
        <v>0.5</v>
      </c>
      <c r="T1745" s="419">
        <f>ROUND(+(R1745*C1745)*S1745,4)</f>
        <v>0</v>
      </c>
      <c r="U1745" s="419">
        <f>ROUND(+J1745+M1745+T1745,4)</f>
        <v>0</v>
      </c>
      <c r="V1745" s="235"/>
    </row>
    <row r="1746" spans="1:22" ht="15.75" x14ac:dyDescent="0.25">
      <c r="A1746" s="231"/>
      <c r="B1746" s="232"/>
      <c r="C1746" s="400"/>
      <c r="D1746" s="233"/>
      <c r="E1746" s="405"/>
      <c r="F1746" s="405"/>
      <c r="G1746" s="405"/>
      <c r="H1746" s="408">
        <f>ROUND(+E1746+F1746+G1746,4)</f>
        <v>0</v>
      </c>
      <c r="I1746" s="234"/>
      <c r="J1746" s="411"/>
      <c r="K1746" s="411"/>
      <c r="L1746" s="414">
        <v>0.1</v>
      </c>
      <c r="M1746" s="414">
        <f>ROUND(+L1746*C1746,4)</f>
        <v>0</v>
      </c>
      <c r="N1746" s="414"/>
      <c r="O1746" s="414"/>
      <c r="P1746" s="414"/>
      <c r="Q1746" s="419">
        <f>ROUND(+N1746+O1746+P1746,4)</f>
        <v>0</v>
      </c>
      <c r="R1746" s="419">
        <f>ROUND(IF(+Q1746-H1746&lt;=0,0,Q1746-H1746),4)</f>
        <v>0</v>
      </c>
      <c r="S1746" s="423">
        <v>0.5</v>
      </c>
      <c r="T1746" s="419">
        <f>ROUND(+(R1746*C1746)*S1746,4)</f>
        <v>0</v>
      </c>
      <c r="U1746" s="419">
        <f>ROUND(+J1746+M1746+T1746,4)</f>
        <v>0</v>
      </c>
      <c r="V1746" s="235"/>
    </row>
    <row r="1747" spans="1:22" ht="15.75" x14ac:dyDescent="0.25">
      <c r="A1747" s="231"/>
      <c r="B1747" s="232"/>
      <c r="C1747" s="400"/>
      <c r="D1747" s="233"/>
      <c r="E1747" s="405"/>
      <c r="F1747" s="405"/>
      <c r="G1747" s="405"/>
      <c r="H1747" s="408">
        <f>ROUND(+E1747+F1747+G1747,4)</f>
        <v>0</v>
      </c>
      <c r="I1747" s="234"/>
      <c r="J1747" s="411"/>
      <c r="K1747" s="411"/>
      <c r="L1747" s="414">
        <v>0.1</v>
      </c>
      <c r="M1747" s="414">
        <f>ROUND(+L1747*C1747,4)</f>
        <v>0</v>
      </c>
      <c r="N1747" s="414"/>
      <c r="O1747" s="414"/>
      <c r="P1747" s="414"/>
      <c r="Q1747" s="419">
        <f>ROUND(+N1747+O1747+P1747,4)</f>
        <v>0</v>
      </c>
      <c r="R1747" s="419">
        <f>ROUND(IF(+Q1747-H1747&lt;=0,0,Q1747-H1747),4)</f>
        <v>0</v>
      </c>
      <c r="S1747" s="423">
        <v>0.5</v>
      </c>
      <c r="T1747" s="419">
        <f>ROUND(+(R1747*C1747)*S1747,4)</f>
        <v>0</v>
      </c>
      <c r="U1747" s="419">
        <f>ROUND(+J1747+M1747+T1747,4)</f>
        <v>0</v>
      </c>
      <c r="V1747" s="235"/>
    </row>
    <row r="1748" spans="1:22" ht="15.75" x14ac:dyDescent="0.25">
      <c r="A1748" s="231"/>
      <c r="B1748" s="232"/>
      <c r="C1748" s="400"/>
      <c r="D1748" s="233"/>
      <c r="E1748" s="405"/>
      <c r="F1748" s="405"/>
      <c r="G1748" s="405"/>
      <c r="H1748" s="408">
        <f>ROUND(+E1748+F1748+G1748,4)</f>
        <v>0</v>
      </c>
      <c r="I1748" s="234"/>
      <c r="J1748" s="411"/>
      <c r="K1748" s="411"/>
      <c r="L1748" s="414">
        <v>0.1</v>
      </c>
      <c r="M1748" s="414">
        <f>ROUND(+L1748*C1748,4)</f>
        <v>0</v>
      </c>
      <c r="N1748" s="414"/>
      <c r="O1748" s="414"/>
      <c r="P1748" s="414"/>
      <c r="Q1748" s="419">
        <f>ROUND(+N1748+O1748+P1748,4)</f>
        <v>0</v>
      </c>
      <c r="R1748" s="419">
        <f>ROUND(IF(+Q1748-H1748&lt;=0,0,Q1748-H1748),4)</f>
        <v>0</v>
      </c>
      <c r="S1748" s="423">
        <v>0.5</v>
      </c>
      <c r="T1748" s="419">
        <f>ROUND(+(R1748*C1748)*S1748,4)</f>
        <v>0</v>
      </c>
      <c r="U1748" s="419">
        <f>ROUND(+J1748+M1748+T1748,4)</f>
        <v>0</v>
      </c>
      <c r="V1748" s="235"/>
    </row>
    <row r="1749" spans="1:22" ht="15.75" x14ac:dyDescent="0.25">
      <c r="A1749" s="231"/>
      <c r="B1749" s="232"/>
      <c r="C1749" s="400"/>
      <c r="D1749" s="233"/>
      <c r="E1749" s="405"/>
      <c r="F1749" s="405"/>
      <c r="G1749" s="405"/>
      <c r="H1749" s="408">
        <f>ROUND(+E1749+F1749+G1749,4)</f>
        <v>0</v>
      </c>
      <c r="I1749" s="234"/>
      <c r="J1749" s="411"/>
      <c r="K1749" s="411"/>
      <c r="L1749" s="414">
        <v>0.1</v>
      </c>
      <c r="M1749" s="414">
        <f>ROUND(+L1749*C1749,4)</f>
        <v>0</v>
      </c>
      <c r="N1749" s="414"/>
      <c r="O1749" s="414"/>
      <c r="P1749" s="414"/>
      <c r="Q1749" s="419">
        <f>ROUND(+N1749+O1749+P1749,4)</f>
        <v>0</v>
      </c>
      <c r="R1749" s="419">
        <f>ROUND(IF(+Q1749-H1749&lt;=0,0,Q1749-H1749),4)</f>
        <v>0</v>
      </c>
      <c r="S1749" s="423">
        <v>0.5</v>
      </c>
      <c r="T1749" s="419">
        <f>ROUND(+(R1749*C1749)*S1749,4)</f>
        <v>0</v>
      </c>
      <c r="U1749" s="419">
        <f>ROUND(+J1749+M1749+T1749,4)</f>
        <v>0</v>
      </c>
      <c r="V1749" s="235"/>
    </row>
    <row r="1750" spans="1:22" ht="15.75" x14ac:dyDescent="0.25">
      <c r="A1750" s="231"/>
      <c r="B1750" s="232"/>
      <c r="C1750" s="400"/>
      <c r="D1750" s="233"/>
      <c r="E1750" s="405"/>
      <c r="F1750" s="405"/>
      <c r="G1750" s="405"/>
      <c r="H1750" s="408">
        <f>ROUND(+E1750+F1750+G1750,4)</f>
        <v>0</v>
      </c>
      <c r="I1750" s="234"/>
      <c r="J1750" s="411"/>
      <c r="K1750" s="411"/>
      <c r="L1750" s="414">
        <v>0.1</v>
      </c>
      <c r="M1750" s="414">
        <f>ROUND(+L1750*C1750,4)</f>
        <v>0</v>
      </c>
      <c r="N1750" s="414"/>
      <c r="O1750" s="414"/>
      <c r="P1750" s="414"/>
      <c r="Q1750" s="419">
        <f>ROUND(+N1750+O1750+P1750,4)</f>
        <v>0</v>
      </c>
      <c r="R1750" s="419">
        <f>ROUND(IF(+Q1750-H1750&lt;=0,0,Q1750-H1750),4)</f>
        <v>0</v>
      </c>
      <c r="S1750" s="423">
        <v>0.5</v>
      </c>
      <c r="T1750" s="419">
        <f>ROUND(+(R1750*C1750)*S1750,4)</f>
        <v>0</v>
      </c>
      <c r="U1750" s="419">
        <f>ROUND(+J1750+M1750+T1750,4)</f>
        <v>0</v>
      </c>
      <c r="V1750" s="235"/>
    </row>
    <row r="1751" spans="1:22" ht="15.75" x14ac:dyDescent="0.25">
      <c r="A1751" s="231"/>
      <c r="B1751" s="232"/>
      <c r="C1751" s="400"/>
      <c r="D1751" s="233"/>
      <c r="E1751" s="405"/>
      <c r="F1751" s="405"/>
      <c r="G1751" s="405"/>
      <c r="H1751" s="408">
        <f>ROUND(+E1751+F1751+G1751,4)</f>
        <v>0</v>
      </c>
      <c r="I1751" s="234"/>
      <c r="J1751" s="411"/>
      <c r="K1751" s="411"/>
      <c r="L1751" s="414">
        <v>0.1</v>
      </c>
      <c r="M1751" s="414">
        <f>ROUND(+L1751*C1751,4)</f>
        <v>0</v>
      </c>
      <c r="N1751" s="414"/>
      <c r="O1751" s="414"/>
      <c r="P1751" s="414"/>
      <c r="Q1751" s="419">
        <f>ROUND(+N1751+O1751+P1751,4)</f>
        <v>0</v>
      </c>
      <c r="R1751" s="419">
        <f>ROUND(IF(+Q1751-H1751&lt;=0,0,Q1751-H1751),4)</f>
        <v>0</v>
      </c>
      <c r="S1751" s="423">
        <v>0.5</v>
      </c>
      <c r="T1751" s="419">
        <f>ROUND(+(R1751*C1751)*S1751,4)</f>
        <v>0</v>
      </c>
      <c r="U1751" s="419">
        <f>ROUND(+J1751+M1751+T1751,4)</f>
        <v>0</v>
      </c>
      <c r="V1751" s="235"/>
    </row>
    <row r="1752" spans="1:22" ht="15.75" x14ac:dyDescent="0.25">
      <c r="A1752" s="231"/>
      <c r="B1752" s="232"/>
      <c r="C1752" s="400"/>
      <c r="D1752" s="233"/>
      <c r="E1752" s="405"/>
      <c r="F1752" s="405"/>
      <c r="G1752" s="405"/>
      <c r="H1752" s="408">
        <f>ROUND(+E1752+F1752+G1752,4)</f>
        <v>0</v>
      </c>
      <c r="I1752" s="234"/>
      <c r="J1752" s="411"/>
      <c r="K1752" s="411"/>
      <c r="L1752" s="414">
        <v>0.1</v>
      </c>
      <c r="M1752" s="414">
        <f>ROUND(+L1752*C1752,4)</f>
        <v>0</v>
      </c>
      <c r="N1752" s="414"/>
      <c r="O1752" s="414"/>
      <c r="P1752" s="414"/>
      <c r="Q1752" s="419">
        <f>ROUND(+N1752+O1752+P1752,4)</f>
        <v>0</v>
      </c>
      <c r="R1752" s="419">
        <f>ROUND(IF(+Q1752-H1752&lt;=0,0,Q1752-H1752),4)</f>
        <v>0</v>
      </c>
      <c r="S1752" s="423">
        <v>0.5</v>
      </c>
      <c r="T1752" s="419">
        <f>ROUND(+(R1752*C1752)*S1752,4)</f>
        <v>0</v>
      </c>
      <c r="U1752" s="419">
        <f>ROUND(+J1752+M1752+T1752,4)</f>
        <v>0</v>
      </c>
      <c r="V1752" s="235"/>
    </row>
    <row r="1753" spans="1:22" ht="15.75" x14ac:dyDescent="0.25">
      <c r="A1753" s="231"/>
      <c r="B1753" s="232"/>
      <c r="C1753" s="400"/>
      <c r="D1753" s="233"/>
      <c r="E1753" s="405"/>
      <c r="F1753" s="405"/>
      <c r="G1753" s="405"/>
      <c r="H1753" s="408">
        <f>ROUND(+E1753+F1753+G1753,4)</f>
        <v>0</v>
      </c>
      <c r="I1753" s="234"/>
      <c r="J1753" s="411"/>
      <c r="K1753" s="411"/>
      <c r="L1753" s="414">
        <v>0.1</v>
      </c>
      <c r="M1753" s="414">
        <f>ROUND(+L1753*C1753,4)</f>
        <v>0</v>
      </c>
      <c r="N1753" s="414"/>
      <c r="O1753" s="414"/>
      <c r="P1753" s="414"/>
      <c r="Q1753" s="419">
        <f>ROUND(+N1753+O1753+P1753,4)</f>
        <v>0</v>
      </c>
      <c r="R1753" s="419">
        <f>ROUND(IF(+Q1753-H1753&lt;=0,0,Q1753-H1753),4)</f>
        <v>0</v>
      </c>
      <c r="S1753" s="423">
        <v>0.5</v>
      </c>
      <c r="T1753" s="419">
        <f>ROUND(+(R1753*C1753)*S1753,4)</f>
        <v>0</v>
      </c>
      <c r="U1753" s="419">
        <f>ROUND(+J1753+M1753+T1753,4)</f>
        <v>0</v>
      </c>
      <c r="V1753" s="235"/>
    </row>
    <row r="1754" spans="1:22" ht="15.75" x14ac:dyDescent="0.25">
      <c r="A1754" s="231"/>
      <c r="B1754" s="232"/>
      <c r="C1754" s="400"/>
      <c r="D1754" s="233"/>
      <c r="E1754" s="405"/>
      <c r="F1754" s="405"/>
      <c r="G1754" s="405"/>
      <c r="H1754" s="408">
        <f>ROUND(+E1754+F1754+G1754,4)</f>
        <v>0</v>
      </c>
      <c r="I1754" s="234"/>
      <c r="J1754" s="411"/>
      <c r="K1754" s="411"/>
      <c r="L1754" s="414">
        <v>0.1</v>
      </c>
      <c r="M1754" s="414">
        <f>ROUND(+L1754*C1754,4)</f>
        <v>0</v>
      </c>
      <c r="N1754" s="414"/>
      <c r="O1754" s="414"/>
      <c r="P1754" s="414"/>
      <c r="Q1754" s="419">
        <f>ROUND(+N1754+O1754+P1754,4)</f>
        <v>0</v>
      </c>
      <c r="R1754" s="419">
        <f>ROUND(IF(+Q1754-H1754&lt;=0,0,Q1754-H1754),4)</f>
        <v>0</v>
      </c>
      <c r="S1754" s="423">
        <v>0.5</v>
      </c>
      <c r="T1754" s="419">
        <f>ROUND(+(R1754*C1754)*S1754,4)</f>
        <v>0</v>
      </c>
      <c r="U1754" s="419">
        <f>ROUND(+J1754+M1754+T1754,4)</f>
        <v>0</v>
      </c>
      <c r="V1754" s="235"/>
    </row>
    <row r="1755" spans="1:22" ht="15.75" x14ac:dyDescent="0.25">
      <c r="A1755" s="231"/>
      <c r="B1755" s="232"/>
      <c r="C1755" s="400"/>
      <c r="D1755" s="233"/>
      <c r="E1755" s="405"/>
      <c r="F1755" s="405"/>
      <c r="G1755" s="405"/>
      <c r="H1755" s="408">
        <f>ROUND(+E1755+F1755+G1755,4)</f>
        <v>0</v>
      </c>
      <c r="I1755" s="234"/>
      <c r="J1755" s="411"/>
      <c r="K1755" s="411"/>
      <c r="L1755" s="414">
        <v>0.1</v>
      </c>
      <c r="M1755" s="414">
        <f>ROUND(+L1755*C1755,4)</f>
        <v>0</v>
      </c>
      <c r="N1755" s="414"/>
      <c r="O1755" s="414"/>
      <c r="P1755" s="414"/>
      <c r="Q1755" s="419">
        <f>ROUND(+N1755+O1755+P1755,4)</f>
        <v>0</v>
      </c>
      <c r="R1755" s="419">
        <f>ROUND(IF(+Q1755-H1755&lt;=0,0,Q1755-H1755),4)</f>
        <v>0</v>
      </c>
      <c r="S1755" s="423">
        <v>0.5</v>
      </c>
      <c r="T1755" s="419">
        <f>ROUND(+(R1755*C1755)*S1755,4)</f>
        <v>0</v>
      </c>
      <c r="U1755" s="419">
        <f>ROUND(+J1755+M1755+T1755,4)</f>
        <v>0</v>
      </c>
      <c r="V1755" s="235"/>
    </row>
    <row r="1756" spans="1:22" ht="15.75" x14ac:dyDescent="0.25">
      <c r="A1756" s="231"/>
      <c r="B1756" s="232"/>
      <c r="C1756" s="400"/>
      <c r="D1756" s="233"/>
      <c r="E1756" s="405"/>
      <c r="F1756" s="405"/>
      <c r="G1756" s="405"/>
      <c r="H1756" s="408">
        <f>ROUND(+E1756+F1756+G1756,4)</f>
        <v>0</v>
      </c>
      <c r="I1756" s="234"/>
      <c r="J1756" s="411"/>
      <c r="K1756" s="411"/>
      <c r="L1756" s="414">
        <v>0.1</v>
      </c>
      <c r="M1756" s="414">
        <f>ROUND(+L1756*C1756,4)</f>
        <v>0</v>
      </c>
      <c r="N1756" s="414"/>
      <c r="O1756" s="414"/>
      <c r="P1756" s="414"/>
      <c r="Q1756" s="419">
        <f>ROUND(+N1756+O1756+P1756,4)</f>
        <v>0</v>
      </c>
      <c r="R1756" s="419">
        <f>ROUND(IF(+Q1756-H1756&lt;=0,0,Q1756-H1756),4)</f>
        <v>0</v>
      </c>
      <c r="S1756" s="423">
        <v>0.5</v>
      </c>
      <c r="T1756" s="419">
        <f>ROUND(+(R1756*C1756)*S1756,4)</f>
        <v>0</v>
      </c>
      <c r="U1756" s="419">
        <f>ROUND(+J1756+M1756+T1756,4)</f>
        <v>0</v>
      </c>
      <c r="V1756" s="235"/>
    </row>
    <row r="1757" spans="1:22" ht="15.75" x14ac:dyDescent="0.25">
      <c r="A1757" s="231"/>
      <c r="B1757" s="232"/>
      <c r="C1757" s="400"/>
      <c r="D1757" s="233"/>
      <c r="E1757" s="405"/>
      <c r="F1757" s="405"/>
      <c r="G1757" s="405"/>
      <c r="H1757" s="408">
        <f>ROUND(+E1757+F1757+G1757,4)</f>
        <v>0</v>
      </c>
      <c r="I1757" s="234"/>
      <c r="J1757" s="411"/>
      <c r="K1757" s="411"/>
      <c r="L1757" s="414">
        <v>0.1</v>
      </c>
      <c r="M1757" s="414">
        <f>ROUND(+L1757*C1757,4)</f>
        <v>0</v>
      </c>
      <c r="N1757" s="414"/>
      <c r="O1757" s="414"/>
      <c r="P1757" s="414"/>
      <c r="Q1757" s="419">
        <f>ROUND(+N1757+O1757+P1757,4)</f>
        <v>0</v>
      </c>
      <c r="R1757" s="419">
        <f>ROUND(IF(+Q1757-H1757&lt;=0,0,Q1757-H1757),4)</f>
        <v>0</v>
      </c>
      <c r="S1757" s="423">
        <v>0.5</v>
      </c>
      <c r="T1757" s="419">
        <f>ROUND(+(R1757*C1757)*S1757,4)</f>
        <v>0</v>
      </c>
      <c r="U1757" s="419">
        <f>ROUND(+J1757+M1757+T1757,4)</f>
        <v>0</v>
      </c>
      <c r="V1757" s="235"/>
    </row>
    <row r="1758" spans="1:22" ht="15.75" x14ac:dyDescent="0.25">
      <c r="A1758" s="231"/>
      <c r="B1758" s="232"/>
      <c r="C1758" s="400"/>
      <c r="D1758" s="233"/>
      <c r="E1758" s="405"/>
      <c r="F1758" s="405"/>
      <c r="G1758" s="405"/>
      <c r="H1758" s="408">
        <f>ROUND(+E1758+F1758+G1758,4)</f>
        <v>0</v>
      </c>
      <c r="I1758" s="234"/>
      <c r="J1758" s="411"/>
      <c r="K1758" s="411"/>
      <c r="L1758" s="414">
        <v>0.1</v>
      </c>
      <c r="M1758" s="414">
        <f>ROUND(+L1758*C1758,4)</f>
        <v>0</v>
      </c>
      <c r="N1758" s="414"/>
      <c r="O1758" s="414"/>
      <c r="P1758" s="414"/>
      <c r="Q1758" s="419">
        <f>ROUND(+N1758+O1758+P1758,4)</f>
        <v>0</v>
      </c>
      <c r="R1758" s="419">
        <f>ROUND(IF(+Q1758-H1758&lt;=0,0,Q1758-H1758),4)</f>
        <v>0</v>
      </c>
      <c r="S1758" s="423">
        <v>0.5</v>
      </c>
      <c r="T1758" s="419">
        <f>ROUND(+(R1758*C1758)*S1758,4)</f>
        <v>0</v>
      </c>
      <c r="U1758" s="419">
        <f>ROUND(+J1758+M1758+T1758,4)</f>
        <v>0</v>
      </c>
      <c r="V1758" s="235"/>
    </row>
    <row r="1759" spans="1:22" ht="15.75" x14ac:dyDescent="0.25">
      <c r="A1759" s="231"/>
      <c r="B1759" s="232"/>
      <c r="C1759" s="400"/>
      <c r="D1759" s="233"/>
      <c r="E1759" s="405"/>
      <c r="F1759" s="405"/>
      <c r="G1759" s="405"/>
      <c r="H1759" s="408">
        <f>ROUND(+E1759+F1759+G1759,4)</f>
        <v>0</v>
      </c>
      <c r="I1759" s="234"/>
      <c r="J1759" s="411"/>
      <c r="K1759" s="411"/>
      <c r="L1759" s="414">
        <v>0.1</v>
      </c>
      <c r="M1759" s="414">
        <f>ROUND(+L1759*C1759,4)</f>
        <v>0</v>
      </c>
      <c r="N1759" s="414"/>
      <c r="O1759" s="414"/>
      <c r="P1759" s="414"/>
      <c r="Q1759" s="419">
        <f>ROUND(+N1759+O1759+P1759,4)</f>
        <v>0</v>
      </c>
      <c r="R1759" s="419">
        <f>ROUND(IF(+Q1759-H1759&lt;=0,0,Q1759-H1759),4)</f>
        <v>0</v>
      </c>
      <c r="S1759" s="423">
        <v>0.5</v>
      </c>
      <c r="T1759" s="419">
        <f>ROUND(+(R1759*C1759)*S1759,4)</f>
        <v>0</v>
      </c>
      <c r="U1759" s="419">
        <f>ROUND(+J1759+M1759+T1759,4)</f>
        <v>0</v>
      </c>
      <c r="V1759" s="235"/>
    </row>
    <row r="1760" spans="1:22" ht="15.75" x14ac:dyDescent="0.25">
      <c r="A1760" s="231"/>
      <c r="B1760" s="232"/>
      <c r="C1760" s="400"/>
      <c r="D1760" s="233"/>
      <c r="E1760" s="405"/>
      <c r="F1760" s="405"/>
      <c r="G1760" s="405"/>
      <c r="H1760" s="408">
        <f>ROUND(+E1760+F1760+G1760,4)</f>
        <v>0</v>
      </c>
      <c r="I1760" s="234"/>
      <c r="J1760" s="411"/>
      <c r="K1760" s="411"/>
      <c r="L1760" s="414">
        <v>0.1</v>
      </c>
      <c r="M1760" s="414">
        <f>ROUND(+L1760*C1760,4)</f>
        <v>0</v>
      </c>
      <c r="N1760" s="414"/>
      <c r="O1760" s="414"/>
      <c r="P1760" s="414"/>
      <c r="Q1760" s="419">
        <f>ROUND(+N1760+O1760+P1760,4)</f>
        <v>0</v>
      </c>
      <c r="R1760" s="419">
        <f>ROUND(IF(+Q1760-H1760&lt;=0,0,Q1760-H1760),4)</f>
        <v>0</v>
      </c>
      <c r="S1760" s="423">
        <v>0.5</v>
      </c>
      <c r="T1760" s="419">
        <f>ROUND(+(R1760*C1760)*S1760,4)</f>
        <v>0</v>
      </c>
      <c r="U1760" s="419">
        <f>ROUND(+J1760+M1760+T1760,4)</f>
        <v>0</v>
      </c>
      <c r="V1760" s="235"/>
    </row>
    <row r="1761" spans="1:22" ht="15.75" x14ac:dyDescent="0.25">
      <c r="A1761" s="231"/>
      <c r="B1761" s="232"/>
      <c r="C1761" s="400"/>
      <c r="D1761" s="233"/>
      <c r="E1761" s="405"/>
      <c r="F1761" s="405"/>
      <c r="G1761" s="405"/>
      <c r="H1761" s="408">
        <f>ROUND(+E1761+F1761+G1761,4)</f>
        <v>0</v>
      </c>
      <c r="I1761" s="234"/>
      <c r="J1761" s="411"/>
      <c r="K1761" s="411"/>
      <c r="L1761" s="414">
        <v>0.1</v>
      </c>
      <c r="M1761" s="414">
        <f>ROUND(+L1761*C1761,4)</f>
        <v>0</v>
      </c>
      <c r="N1761" s="414"/>
      <c r="O1761" s="414"/>
      <c r="P1761" s="414"/>
      <c r="Q1761" s="419">
        <f>ROUND(+N1761+O1761+P1761,4)</f>
        <v>0</v>
      </c>
      <c r="R1761" s="419">
        <f>ROUND(IF(+Q1761-H1761&lt;=0,0,Q1761-H1761),4)</f>
        <v>0</v>
      </c>
      <c r="S1761" s="423">
        <v>0.5</v>
      </c>
      <c r="T1761" s="419">
        <f>ROUND(+(R1761*C1761)*S1761,4)</f>
        <v>0</v>
      </c>
      <c r="U1761" s="419">
        <f>ROUND(+J1761+M1761+T1761,4)</f>
        <v>0</v>
      </c>
      <c r="V1761" s="235"/>
    </row>
    <row r="1762" spans="1:22" ht="15.75" x14ac:dyDescent="0.25">
      <c r="A1762" s="231"/>
      <c r="B1762" s="232"/>
      <c r="C1762" s="400"/>
      <c r="D1762" s="233"/>
      <c r="E1762" s="405"/>
      <c r="F1762" s="405"/>
      <c r="G1762" s="405"/>
      <c r="H1762" s="408">
        <f>ROUND(+E1762+F1762+G1762,4)</f>
        <v>0</v>
      </c>
      <c r="I1762" s="234"/>
      <c r="J1762" s="411"/>
      <c r="K1762" s="411"/>
      <c r="L1762" s="414">
        <v>0.1</v>
      </c>
      <c r="M1762" s="414">
        <f>ROUND(+L1762*C1762,4)</f>
        <v>0</v>
      </c>
      <c r="N1762" s="414"/>
      <c r="O1762" s="414"/>
      <c r="P1762" s="414"/>
      <c r="Q1762" s="419">
        <f>ROUND(+N1762+O1762+P1762,4)</f>
        <v>0</v>
      </c>
      <c r="R1762" s="419">
        <f>ROUND(IF(+Q1762-H1762&lt;=0,0,Q1762-H1762),4)</f>
        <v>0</v>
      </c>
      <c r="S1762" s="423">
        <v>0.5</v>
      </c>
      <c r="T1762" s="419">
        <f>ROUND(+(R1762*C1762)*S1762,4)</f>
        <v>0</v>
      </c>
      <c r="U1762" s="419">
        <f>ROUND(+J1762+M1762+T1762,4)</f>
        <v>0</v>
      </c>
      <c r="V1762" s="235"/>
    </row>
    <row r="1763" spans="1:22" ht="15.75" x14ac:dyDescent="0.25">
      <c r="A1763" s="231"/>
      <c r="B1763" s="232"/>
      <c r="C1763" s="400"/>
      <c r="D1763" s="233"/>
      <c r="E1763" s="405"/>
      <c r="F1763" s="405"/>
      <c r="G1763" s="405"/>
      <c r="H1763" s="408">
        <f>ROUND(+E1763+F1763+G1763,4)</f>
        <v>0</v>
      </c>
      <c r="I1763" s="234"/>
      <c r="J1763" s="411"/>
      <c r="K1763" s="411"/>
      <c r="L1763" s="414">
        <v>0.1</v>
      </c>
      <c r="M1763" s="414">
        <f>ROUND(+L1763*C1763,4)</f>
        <v>0</v>
      </c>
      <c r="N1763" s="414"/>
      <c r="O1763" s="414"/>
      <c r="P1763" s="414"/>
      <c r="Q1763" s="419">
        <f>ROUND(+N1763+O1763+P1763,4)</f>
        <v>0</v>
      </c>
      <c r="R1763" s="419">
        <f>ROUND(IF(+Q1763-H1763&lt;=0,0,Q1763-H1763),4)</f>
        <v>0</v>
      </c>
      <c r="S1763" s="423">
        <v>0.5</v>
      </c>
      <c r="T1763" s="419">
        <f>ROUND(+(R1763*C1763)*S1763,4)</f>
        <v>0</v>
      </c>
      <c r="U1763" s="419">
        <f>ROUND(+J1763+M1763+T1763,4)</f>
        <v>0</v>
      </c>
      <c r="V1763" s="235"/>
    </row>
    <row r="1764" spans="1:22" ht="15.75" x14ac:dyDescent="0.25">
      <c r="A1764" s="231"/>
      <c r="B1764" s="232"/>
      <c r="C1764" s="400"/>
      <c r="D1764" s="233"/>
      <c r="E1764" s="405"/>
      <c r="F1764" s="405"/>
      <c r="G1764" s="405"/>
      <c r="H1764" s="408">
        <f>ROUND(+E1764+F1764+G1764,4)</f>
        <v>0</v>
      </c>
      <c r="I1764" s="234"/>
      <c r="J1764" s="411"/>
      <c r="K1764" s="411"/>
      <c r="L1764" s="414">
        <v>0.1</v>
      </c>
      <c r="M1764" s="414">
        <f>ROUND(+L1764*C1764,4)</f>
        <v>0</v>
      </c>
      <c r="N1764" s="414"/>
      <c r="O1764" s="414"/>
      <c r="P1764" s="414"/>
      <c r="Q1764" s="419">
        <f>ROUND(+N1764+O1764+P1764,4)</f>
        <v>0</v>
      </c>
      <c r="R1764" s="419">
        <f>ROUND(IF(+Q1764-H1764&lt;=0,0,Q1764-H1764),4)</f>
        <v>0</v>
      </c>
      <c r="S1764" s="423">
        <v>0.5</v>
      </c>
      <c r="T1764" s="419">
        <f>ROUND(+(R1764*C1764)*S1764,4)</f>
        <v>0</v>
      </c>
      <c r="U1764" s="419">
        <f>ROUND(+J1764+M1764+T1764,4)</f>
        <v>0</v>
      </c>
      <c r="V1764" s="235"/>
    </row>
    <row r="1765" spans="1:22" ht="15.75" x14ac:dyDescent="0.25">
      <c r="A1765" s="231"/>
      <c r="B1765" s="232"/>
      <c r="C1765" s="400"/>
      <c r="D1765" s="233"/>
      <c r="E1765" s="405"/>
      <c r="F1765" s="405"/>
      <c r="G1765" s="405"/>
      <c r="H1765" s="408">
        <f>ROUND(+E1765+F1765+G1765,4)</f>
        <v>0</v>
      </c>
      <c r="I1765" s="234"/>
      <c r="J1765" s="411"/>
      <c r="K1765" s="411"/>
      <c r="L1765" s="414">
        <v>0.1</v>
      </c>
      <c r="M1765" s="414">
        <f>ROUND(+L1765*C1765,4)</f>
        <v>0</v>
      </c>
      <c r="N1765" s="414"/>
      <c r="O1765" s="414"/>
      <c r="P1765" s="414"/>
      <c r="Q1765" s="419">
        <f>ROUND(+N1765+O1765+P1765,4)</f>
        <v>0</v>
      </c>
      <c r="R1765" s="419">
        <f>ROUND(IF(+Q1765-H1765&lt;=0,0,Q1765-H1765),4)</f>
        <v>0</v>
      </c>
      <c r="S1765" s="423">
        <v>0.5</v>
      </c>
      <c r="T1765" s="419">
        <f>ROUND(+(R1765*C1765)*S1765,4)</f>
        <v>0</v>
      </c>
      <c r="U1765" s="419">
        <f>ROUND(+J1765+M1765+T1765,4)</f>
        <v>0</v>
      </c>
      <c r="V1765" s="235"/>
    </row>
    <row r="1766" spans="1:22" ht="15.75" x14ac:dyDescent="0.25">
      <c r="A1766" s="231"/>
      <c r="B1766" s="232"/>
      <c r="C1766" s="400"/>
      <c r="D1766" s="233"/>
      <c r="E1766" s="405"/>
      <c r="F1766" s="405"/>
      <c r="G1766" s="405"/>
      <c r="H1766" s="408">
        <f>ROUND(+E1766+F1766+G1766,4)</f>
        <v>0</v>
      </c>
      <c r="I1766" s="234"/>
      <c r="J1766" s="411"/>
      <c r="K1766" s="411"/>
      <c r="L1766" s="414">
        <v>0.1</v>
      </c>
      <c r="M1766" s="414">
        <f>ROUND(+L1766*C1766,4)</f>
        <v>0</v>
      </c>
      <c r="N1766" s="414"/>
      <c r="O1766" s="414"/>
      <c r="P1766" s="414"/>
      <c r="Q1766" s="419">
        <f>ROUND(+N1766+O1766+P1766,4)</f>
        <v>0</v>
      </c>
      <c r="R1766" s="419">
        <f>ROUND(IF(+Q1766-H1766&lt;=0,0,Q1766-H1766),4)</f>
        <v>0</v>
      </c>
      <c r="S1766" s="423">
        <v>0.5</v>
      </c>
      <c r="T1766" s="419">
        <f>ROUND(+(R1766*C1766)*S1766,4)</f>
        <v>0</v>
      </c>
      <c r="U1766" s="419">
        <f>ROUND(+J1766+M1766+T1766,4)</f>
        <v>0</v>
      </c>
      <c r="V1766" s="235"/>
    </row>
    <row r="1767" spans="1:22" ht="15.75" x14ac:dyDescent="0.25">
      <c r="A1767" s="231"/>
      <c r="B1767" s="232"/>
      <c r="C1767" s="400"/>
      <c r="D1767" s="233"/>
      <c r="E1767" s="405"/>
      <c r="F1767" s="405"/>
      <c r="G1767" s="405"/>
      <c r="H1767" s="408">
        <f>ROUND(+E1767+F1767+G1767,4)</f>
        <v>0</v>
      </c>
      <c r="I1767" s="234"/>
      <c r="J1767" s="411"/>
      <c r="K1767" s="411"/>
      <c r="L1767" s="414">
        <v>0.1</v>
      </c>
      <c r="M1767" s="414">
        <f>ROUND(+L1767*C1767,4)</f>
        <v>0</v>
      </c>
      <c r="N1767" s="414"/>
      <c r="O1767" s="414"/>
      <c r="P1767" s="414"/>
      <c r="Q1767" s="419">
        <f>ROUND(+N1767+O1767+P1767,4)</f>
        <v>0</v>
      </c>
      <c r="R1767" s="419">
        <f>ROUND(IF(+Q1767-H1767&lt;=0,0,Q1767-H1767),4)</f>
        <v>0</v>
      </c>
      <c r="S1767" s="423">
        <v>0.5</v>
      </c>
      <c r="T1767" s="419">
        <f>ROUND(+(R1767*C1767)*S1767,4)</f>
        <v>0</v>
      </c>
      <c r="U1767" s="419">
        <f>ROUND(+J1767+M1767+T1767,4)</f>
        <v>0</v>
      </c>
      <c r="V1767" s="235"/>
    </row>
    <row r="1768" spans="1:22" ht="15.75" x14ac:dyDescent="0.25">
      <c r="A1768" s="231"/>
      <c r="B1768" s="232"/>
      <c r="C1768" s="400"/>
      <c r="D1768" s="233"/>
      <c r="E1768" s="405"/>
      <c r="F1768" s="405"/>
      <c r="G1768" s="405"/>
      <c r="H1768" s="408">
        <f>ROUND(+E1768+F1768+G1768,4)</f>
        <v>0</v>
      </c>
      <c r="I1768" s="234"/>
      <c r="J1768" s="411"/>
      <c r="K1768" s="411"/>
      <c r="L1768" s="414">
        <v>0.1</v>
      </c>
      <c r="M1768" s="414">
        <f>ROUND(+L1768*C1768,4)</f>
        <v>0</v>
      </c>
      <c r="N1768" s="414"/>
      <c r="O1768" s="414"/>
      <c r="P1768" s="414"/>
      <c r="Q1768" s="419">
        <f>ROUND(+N1768+O1768+P1768,4)</f>
        <v>0</v>
      </c>
      <c r="R1768" s="419">
        <f>ROUND(IF(+Q1768-H1768&lt;=0,0,Q1768-H1768),4)</f>
        <v>0</v>
      </c>
      <c r="S1768" s="423">
        <v>0.5</v>
      </c>
      <c r="T1768" s="419">
        <f>ROUND(+(R1768*C1768)*S1768,4)</f>
        <v>0</v>
      </c>
      <c r="U1768" s="419">
        <f>ROUND(+J1768+M1768+T1768,4)</f>
        <v>0</v>
      </c>
      <c r="V1768" s="235"/>
    </row>
    <row r="1769" spans="1:22" ht="15.75" x14ac:dyDescent="0.25">
      <c r="A1769" s="231"/>
      <c r="B1769" s="232"/>
      <c r="C1769" s="400"/>
      <c r="D1769" s="233"/>
      <c r="E1769" s="405"/>
      <c r="F1769" s="405"/>
      <c r="G1769" s="405"/>
      <c r="H1769" s="408">
        <f>ROUND(+E1769+F1769+G1769,4)</f>
        <v>0</v>
      </c>
      <c r="I1769" s="234"/>
      <c r="J1769" s="411"/>
      <c r="K1769" s="411"/>
      <c r="L1769" s="414">
        <v>0.1</v>
      </c>
      <c r="M1769" s="414">
        <f>ROUND(+L1769*C1769,4)</f>
        <v>0</v>
      </c>
      <c r="N1769" s="414"/>
      <c r="O1769" s="414"/>
      <c r="P1769" s="414"/>
      <c r="Q1769" s="419">
        <f>ROUND(+N1769+O1769+P1769,4)</f>
        <v>0</v>
      </c>
      <c r="R1769" s="419">
        <f>ROUND(IF(+Q1769-H1769&lt;=0,0,Q1769-H1769),4)</f>
        <v>0</v>
      </c>
      <c r="S1769" s="423">
        <v>0.5</v>
      </c>
      <c r="T1769" s="419">
        <f>ROUND(+(R1769*C1769)*S1769,4)</f>
        <v>0</v>
      </c>
      <c r="U1769" s="419">
        <f>ROUND(+J1769+M1769+T1769,4)</f>
        <v>0</v>
      </c>
      <c r="V1769" s="235"/>
    </row>
    <row r="1770" spans="1:22" ht="15.75" x14ac:dyDescent="0.25">
      <c r="A1770" s="231"/>
      <c r="B1770" s="232"/>
      <c r="C1770" s="400"/>
      <c r="D1770" s="233"/>
      <c r="E1770" s="405"/>
      <c r="F1770" s="405"/>
      <c r="G1770" s="405"/>
      <c r="H1770" s="408">
        <f>ROUND(+E1770+F1770+G1770,4)</f>
        <v>0</v>
      </c>
      <c r="I1770" s="234"/>
      <c r="J1770" s="411"/>
      <c r="K1770" s="411"/>
      <c r="L1770" s="414">
        <v>0.1</v>
      </c>
      <c r="M1770" s="414">
        <f>ROUND(+L1770*C1770,4)</f>
        <v>0</v>
      </c>
      <c r="N1770" s="414"/>
      <c r="O1770" s="414"/>
      <c r="P1770" s="414"/>
      <c r="Q1770" s="419">
        <f>ROUND(+N1770+O1770+P1770,4)</f>
        <v>0</v>
      </c>
      <c r="R1770" s="419">
        <f>ROUND(IF(+Q1770-H1770&lt;=0,0,Q1770-H1770),4)</f>
        <v>0</v>
      </c>
      <c r="S1770" s="423">
        <v>0.5</v>
      </c>
      <c r="T1770" s="419">
        <f>ROUND(+(R1770*C1770)*S1770,4)</f>
        <v>0</v>
      </c>
      <c r="U1770" s="419">
        <f>ROUND(+J1770+M1770+T1770,4)</f>
        <v>0</v>
      </c>
      <c r="V1770" s="235"/>
    </row>
    <row r="1771" spans="1:22" ht="15.75" x14ac:dyDescent="0.25">
      <c r="A1771" s="231"/>
      <c r="B1771" s="232"/>
      <c r="C1771" s="400"/>
      <c r="D1771" s="233"/>
      <c r="E1771" s="405"/>
      <c r="F1771" s="405"/>
      <c r="G1771" s="405"/>
      <c r="H1771" s="408">
        <f>ROUND(+E1771+F1771+G1771,4)</f>
        <v>0</v>
      </c>
      <c r="I1771" s="234"/>
      <c r="J1771" s="411"/>
      <c r="K1771" s="411"/>
      <c r="L1771" s="414">
        <v>0.1</v>
      </c>
      <c r="M1771" s="414">
        <f>ROUND(+L1771*C1771,4)</f>
        <v>0</v>
      </c>
      <c r="N1771" s="414"/>
      <c r="O1771" s="414"/>
      <c r="P1771" s="414"/>
      <c r="Q1771" s="419">
        <f>ROUND(+N1771+O1771+P1771,4)</f>
        <v>0</v>
      </c>
      <c r="R1771" s="419">
        <f>ROUND(IF(+Q1771-H1771&lt;=0,0,Q1771-H1771),4)</f>
        <v>0</v>
      </c>
      <c r="S1771" s="423">
        <v>0.5</v>
      </c>
      <c r="T1771" s="419">
        <f>ROUND(+(R1771*C1771)*S1771,4)</f>
        <v>0</v>
      </c>
      <c r="U1771" s="419">
        <f>ROUND(+J1771+M1771+T1771,4)</f>
        <v>0</v>
      </c>
      <c r="V1771" s="235"/>
    </row>
    <row r="1772" spans="1:22" ht="15.75" x14ac:dyDescent="0.25">
      <c r="A1772" s="231"/>
      <c r="B1772" s="232"/>
      <c r="C1772" s="400"/>
      <c r="D1772" s="233"/>
      <c r="E1772" s="405"/>
      <c r="F1772" s="405"/>
      <c r="G1772" s="405"/>
      <c r="H1772" s="408">
        <f>ROUND(+E1772+F1772+G1772,4)</f>
        <v>0</v>
      </c>
      <c r="I1772" s="234"/>
      <c r="J1772" s="411"/>
      <c r="K1772" s="411"/>
      <c r="L1772" s="414">
        <v>0.1</v>
      </c>
      <c r="M1772" s="414">
        <f>ROUND(+L1772*C1772,4)</f>
        <v>0</v>
      </c>
      <c r="N1772" s="414"/>
      <c r="O1772" s="414"/>
      <c r="P1772" s="414"/>
      <c r="Q1772" s="419">
        <f>ROUND(+N1772+O1772+P1772,4)</f>
        <v>0</v>
      </c>
      <c r="R1772" s="419">
        <f>ROUND(IF(+Q1772-H1772&lt;=0,0,Q1772-H1772),4)</f>
        <v>0</v>
      </c>
      <c r="S1772" s="423">
        <v>0.5</v>
      </c>
      <c r="T1772" s="419">
        <f>ROUND(+(R1772*C1772)*S1772,4)</f>
        <v>0</v>
      </c>
      <c r="U1772" s="419">
        <f>ROUND(+J1772+M1772+T1772,4)</f>
        <v>0</v>
      </c>
      <c r="V1772" s="235"/>
    </row>
    <row r="1773" spans="1:22" ht="15.75" x14ac:dyDescent="0.25">
      <c r="A1773" s="231"/>
      <c r="B1773" s="232"/>
      <c r="C1773" s="400"/>
      <c r="D1773" s="233"/>
      <c r="E1773" s="405"/>
      <c r="F1773" s="405"/>
      <c r="G1773" s="405"/>
      <c r="H1773" s="408">
        <f>ROUND(+E1773+F1773+G1773,4)</f>
        <v>0</v>
      </c>
      <c r="I1773" s="234"/>
      <c r="J1773" s="411"/>
      <c r="K1773" s="411"/>
      <c r="L1773" s="414">
        <v>0.1</v>
      </c>
      <c r="M1773" s="414">
        <f>ROUND(+L1773*C1773,4)</f>
        <v>0</v>
      </c>
      <c r="N1773" s="414"/>
      <c r="O1773" s="414"/>
      <c r="P1773" s="414"/>
      <c r="Q1773" s="419">
        <f>ROUND(+N1773+O1773+P1773,4)</f>
        <v>0</v>
      </c>
      <c r="R1773" s="419">
        <f>ROUND(IF(+Q1773-H1773&lt;=0,0,Q1773-H1773),4)</f>
        <v>0</v>
      </c>
      <c r="S1773" s="423">
        <v>0.5</v>
      </c>
      <c r="T1773" s="419">
        <f>ROUND(+(R1773*C1773)*S1773,4)</f>
        <v>0</v>
      </c>
      <c r="U1773" s="419">
        <f>ROUND(+J1773+M1773+T1773,4)</f>
        <v>0</v>
      </c>
      <c r="V1773" s="235"/>
    </row>
    <row r="1774" spans="1:22" ht="15.75" x14ac:dyDescent="0.25">
      <c r="A1774" s="231"/>
      <c r="B1774" s="232"/>
      <c r="C1774" s="400"/>
      <c r="D1774" s="233"/>
      <c r="E1774" s="405"/>
      <c r="F1774" s="405"/>
      <c r="G1774" s="405"/>
      <c r="H1774" s="408">
        <f>ROUND(+E1774+F1774+G1774,4)</f>
        <v>0</v>
      </c>
      <c r="I1774" s="234"/>
      <c r="J1774" s="411"/>
      <c r="K1774" s="411"/>
      <c r="L1774" s="414">
        <v>0.1</v>
      </c>
      <c r="M1774" s="414">
        <f>ROUND(+L1774*C1774,4)</f>
        <v>0</v>
      </c>
      <c r="N1774" s="414"/>
      <c r="O1774" s="414"/>
      <c r="P1774" s="414"/>
      <c r="Q1774" s="419">
        <f>ROUND(+N1774+O1774+P1774,4)</f>
        <v>0</v>
      </c>
      <c r="R1774" s="419">
        <f>ROUND(IF(+Q1774-H1774&lt;=0,0,Q1774-H1774),4)</f>
        <v>0</v>
      </c>
      <c r="S1774" s="423">
        <v>0.5</v>
      </c>
      <c r="T1774" s="419">
        <f>ROUND(+(R1774*C1774)*S1774,4)</f>
        <v>0</v>
      </c>
      <c r="U1774" s="419">
        <f>ROUND(+J1774+M1774+T1774,4)</f>
        <v>0</v>
      </c>
      <c r="V1774" s="235"/>
    </row>
    <row r="1775" spans="1:22" ht="15.75" x14ac:dyDescent="0.25">
      <c r="A1775" s="231"/>
      <c r="B1775" s="232"/>
      <c r="C1775" s="400"/>
      <c r="D1775" s="233"/>
      <c r="E1775" s="405"/>
      <c r="F1775" s="405"/>
      <c r="G1775" s="405"/>
      <c r="H1775" s="408">
        <f>ROUND(+E1775+F1775+G1775,4)</f>
        <v>0</v>
      </c>
      <c r="I1775" s="234"/>
      <c r="J1775" s="411"/>
      <c r="K1775" s="411"/>
      <c r="L1775" s="414">
        <v>0.1</v>
      </c>
      <c r="M1775" s="414">
        <f>ROUND(+L1775*C1775,4)</f>
        <v>0</v>
      </c>
      <c r="N1775" s="414"/>
      <c r="O1775" s="414"/>
      <c r="P1775" s="414"/>
      <c r="Q1775" s="419">
        <f>ROUND(+N1775+O1775+P1775,4)</f>
        <v>0</v>
      </c>
      <c r="R1775" s="419">
        <f>ROUND(IF(+Q1775-H1775&lt;=0,0,Q1775-H1775),4)</f>
        <v>0</v>
      </c>
      <c r="S1775" s="423">
        <v>0.5</v>
      </c>
      <c r="T1775" s="419">
        <f>ROUND(+(R1775*C1775)*S1775,4)</f>
        <v>0</v>
      </c>
      <c r="U1775" s="419">
        <f>ROUND(+J1775+M1775+T1775,4)</f>
        <v>0</v>
      </c>
      <c r="V1775" s="235"/>
    </row>
    <row r="1776" spans="1:22" ht="15.75" x14ac:dyDescent="0.25">
      <c r="A1776" s="231"/>
      <c r="B1776" s="232"/>
      <c r="C1776" s="400"/>
      <c r="D1776" s="233"/>
      <c r="E1776" s="405"/>
      <c r="F1776" s="405"/>
      <c r="G1776" s="405"/>
      <c r="H1776" s="408">
        <f>ROUND(+E1776+F1776+G1776,4)</f>
        <v>0</v>
      </c>
      <c r="I1776" s="234"/>
      <c r="J1776" s="411"/>
      <c r="K1776" s="411"/>
      <c r="L1776" s="414">
        <v>0.1</v>
      </c>
      <c r="M1776" s="414">
        <f>ROUND(+L1776*C1776,4)</f>
        <v>0</v>
      </c>
      <c r="N1776" s="414"/>
      <c r="O1776" s="414"/>
      <c r="P1776" s="414"/>
      <c r="Q1776" s="419">
        <f>ROUND(+N1776+O1776+P1776,4)</f>
        <v>0</v>
      </c>
      <c r="R1776" s="419">
        <f>ROUND(IF(+Q1776-H1776&lt;=0,0,Q1776-H1776),4)</f>
        <v>0</v>
      </c>
      <c r="S1776" s="423">
        <v>0.5</v>
      </c>
      <c r="T1776" s="419">
        <f>ROUND(+(R1776*C1776)*S1776,4)</f>
        <v>0</v>
      </c>
      <c r="U1776" s="419">
        <f>ROUND(+J1776+M1776+T1776,4)</f>
        <v>0</v>
      </c>
      <c r="V1776" s="235"/>
    </row>
    <row r="1777" spans="1:22" ht="15.75" x14ac:dyDescent="0.25">
      <c r="A1777" s="231"/>
      <c r="B1777" s="232"/>
      <c r="C1777" s="400"/>
      <c r="D1777" s="233"/>
      <c r="E1777" s="405"/>
      <c r="F1777" s="405"/>
      <c r="G1777" s="405"/>
      <c r="H1777" s="408">
        <f>ROUND(+E1777+F1777+G1777,4)</f>
        <v>0</v>
      </c>
      <c r="I1777" s="234"/>
      <c r="J1777" s="411"/>
      <c r="K1777" s="411"/>
      <c r="L1777" s="414">
        <v>0.1</v>
      </c>
      <c r="M1777" s="414">
        <f>ROUND(+L1777*C1777,4)</f>
        <v>0</v>
      </c>
      <c r="N1777" s="414"/>
      <c r="O1777" s="414"/>
      <c r="P1777" s="414"/>
      <c r="Q1777" s="419">
        <f>ROUND(+N1777+O1777+P1777,4)</f>
        <v>0</v>
      </c>
      <c r="R1777" s="419">
        <f>ROUND(IF(+Q1777-H1777&lt;=0,0,Q1777-H1777),4)</f>
        <v>0</v>
      </c>
      <c r="S1777" s="423">
        <v>0.5</v>
      </c>
      <c r="T1777" s="419">
        <f>ROUND(+(R1777*C1777)*S1777,4)</f>
        <v>0</v>
      </c>
      <c r="U1777" s="419">
        <f>ROUND(+J1777+M1777+T1777,4)</f>
        <v>0</v>
      </c>
      <c r="V1777" s="235"/>
    </row>
    <row r="1778" spans="1:22" ht="15.75" x14ac:dyDescent="0.25">
      <c r="A1778" s="231"/>
      <c r="B1778" s="232"/>
      <c r="C1778" s="400"/>
      <c r="D1778" s="233"/>
      <c r="E1778" s="405"/>
      <c r="F1778" s="405"/>
      <c r="G1778" s="405"/>
      <c r="H1778" s="408">
        <f>ROUND(+E1778+F1778+G1778,4)</f>
        <v>0</v>
      </c>
      <c r="I1778" s="234"/>
      <c r="J1778" s="411"/>
      <c r="K1778" s="411"/>
      <c r="L1778" s="414">
        <v>0.1</v>
      </c>
      <c r="M1778" s="414">
        <f>ROUND(+L1778*C1778,4)</f>
        <v>0</v>
      </c>
      <c r="N1778" s="414"/>
      <c r="O1778" s="414"/>
      <c r="P1778" s="414"/>
      <c r="Q1778" s="419">
        <f>ROUND(+N1778+O1778+P1778,4)</f>
        <v>0</v>
      </c>
      <c r="R1778" s="419">
        <f>ROUND(IF(+Q1778-H1778&lt;=0,0,Q1778-H1778),4)</f>
        <v>0</v>
      </c>
      <c r="S1778" s="423">
        <v>0.5</v>
      </c>
      <c r="T1778" s="419">
        <f>ROUND(+(R1778*C1778)*S1778,4)</f>
        <v>0</v>
      </c>
      <c r="U1778" s="419">
        <f>ROUND(+J1778+M1778+T1778,4)</f>
        <v>0</v>
      </c>
      <c r="V1778" s="235"/>
    </row>
    <row r="1779" spans="1:22" ht="15.75" x14ac:dyDescent="0.25">
      <c r="A1779" s="231"/>
      <c r="B1779" s="232"/>
      <c r="C1779" s="400"/>
      <c r="D1779" s="233"/>
      <c r="E1779" s="405"/>
      <c r="F1779" s="405"/>
      <c r="G1779" s="405"/>
      <c r="H1779" s="408">
        <f>ROUND(+E1779+F1779+G1779,4)</f>
        <v>0</v>
      </c>
      <c r="I1779" s="234"/>
      <c r="J1779" s="411"/>
      <c r="K1779" s="411"/>
      <c r="L1779" s="414">
        <v>0.1</v>
      </c>
      <c r="M1779" s="414">
        <f>ROUND(+L1779*C1779,4)</f>
        <v>0</v>
      </c>
      <c r="N1779" s="414"/>
      <c r="O1779" s="414"/>
      <c r="P1779" s="414"/>
      <c r="Q1779" s="419">
        <f>ROUND(+N1779+O1779+P1779,4)</f>
        <v>0</v>
      </c>
      <c r="R1779" s="419">
        <f>ROUND(IF(+Q1779-H1779&lt;=0,0,Q1779-H1779),4)</f>
        <v>0</v>
      </c>
      <c r="S1779" s="423">
        <v>0.5</v>
      </c>
      <c r="T1779" s="419">
        <f>ROUND(+(R1779*C1779)*S1779,4)</f>
        <v>0</v>
      </c>
      <c r="U1779" s="419">
        <f>ROUND(+J1779+M1779+T1779,4)</f>
        <v>0</v>
      </c>
      <c r="V1779" s="235"/>
    </row>
    <row r="1780" spans="1:22" ht="15.75" x14ac:dyDescent="0.25">
      <c r="A1780" s="231"/>
      <c r="B1780" s="232"/>
      <c r="C1780" s="400"/>
      <c r="D1780" s="233"/>
      <c r="E1780" s="405"/>
      <c r="F1780" s="405"/>
      <c r="G1780" s="405"/>
      <c r="H1780" s="408">
        <f>ROUND(+E1780+F1780+G1780,4)</f>
        <v>0</v>
      </c>
      <c r="I1780" s="234"/>
      <c r="J1780" s="411"/>
      <c r="K1780" s="411"/>
      <c r="L1780" s="414">
        <v>0.1</v>
      </c>
      <c r="M1780" s="414">
        <f>ROUND(+L1780*C1780,4)</f>
        <v>0</v>
      </c>
      <c r="N1780" s="414"/>
      <c r="O1780" s="414"/>
      <c r="P1780" s="414"/>
      <c r="Q1780" s="419">
        <f>ROUND(+N1780+O1780+P1780,4)</f>
        <v>0</v>
      </c>
      <c r="R1780" s="419">
        <f>ROUND(IF(+Q1780-H1780&lt;=0,0,Q1780-H1780),4)</f>
        <v>0</v>
      </c>
      <c r="S1780" s="423">
        <v>0.5</v>
      </c>
      <c r="T1780" s="419">
        <f>ROUND(+(R1780*C1780)*S1780,4)</f>
        <v>0</v>
      </c>
      <c r="U1780" s="419">
        <f>ROUND(+J1780+M1780+T1780,4)</f>
        <v>0</v>
      </c>
      <c r="V1780" s="235"/>
    </row>
    <row r="1781" spans="1:22" ht="15.75" x14ac:dyDescent="0.25">
      <c r="A1781" s="231"/>
      <c r="B1781" s="232"/>
      <c r="C1781" s="400"/>
      <c r="D1781" s="233"/>
      <c r="E1781" s="405"/>
      <c r="F1781" s="405"/>
      <c r="G1781" s="405"/>
      <c r="H1781" s="408">
        <f>ROUND(+E1781+F1781+G1781,4)</f>
        <v>0</v>
      </c>
      <c r="I1781" s="234"/>
      <c r="J1781" s="411"/>
      <c r="K1781" s="411"/>
      <c r="L1781" s="414">
        <v>0.1</v>
      </c>
      <c r="M1781" s="414">
        <f>ROUND(+L1781*C1781,4)</f>
        <v>0</v>
      </c>
      <c r="N1781" s="414"/>
      <c r="O1781" s="414"/>
      <c r="P1781" s="414"/>
      <c r="Q1781" s="419">
        <f>ROUND(+N1781+O1781+P1781,4)</f>
        <v>0</v>
      </c>
      <c r="R1781" s="419">
        <f>ROUND(IF(+Q1781-H1781&lt;=0,0,Q1781-H1781),4)</f>
        <v>0</v>
      </c>
      <c r="S1781" s="423">
        <v>0.5</v>
      </c>
      <c r="T1781" s="419">
        <f>ROUND(+(R1781*C1781)*S1781,4)</f>
        <v>0</v>
      </c>
      <c r="U1781" s="419">
        <f>ROUND(+J1781+M1781+T1781,4)</f>
        <v>0</v>
      </c>
      <c r="V1781" s="235"/>
    </row>
    <row r="1782" spans="1:22" ht="15.75" x14ac:dyDescent="0.25">
      <c r="A1782" s="231"/>
      <c r="B1782" s="232"/>
      <c r="C1782" s="400"/>
      <c r="D1782" s="233"/>
      <c r="E1782" s="405"/>
      <c r="F1782" s="405"/>
      <c r="G1782" s="405"/>
      <c r="H1782" s="408">
        <f>ROUND(+E1782+F1782+G1782,4)</f>
        <v>0</v>
      </c>
      <c r="I1782" s="234"/>
      <c r="J1782" s="411"/>
      <c r="K1782" s="411"/>
      <c r="L1782" s="414">
        <v>0.1</v>
      </c>
      <c r="M1782" s="414">
        <f>ROUND(+L1782*C1782,4)</f>
        <v>0</v>
      </c>
      <c r="N1782" s="414"/>
      <c r="O1782" s="414"/>
      <c r="P1782" s="414"/>
      <c r="Q1782" s="419">
        <f>ROUND(+N1782+O1782+P1782,4)</f>
        <v>0</v>
      </c>
      <c r="R1782" s="419">
        <f>ROUND(IF(+Q1782-H1782&lt;=0,0,Q1782-H1782),4)</f>
        <v>0</v>
      </c>
      <c r="S1782" s="423">
        <v>0.5</v>
      </c>
      <c r="T1782" s="419">
        <f>ROUND(+(R1782*C1782)*S1782,4)</f>
        <v>0</v>
      </c>
      <c r="U1782" s="419">
        <f>ROUND(+J1782+M1782+T1782,4)</f>
        <v>0</v>
      </c>
      <c r="V1782" s="235"/>
    </row>
    <row r="1783" spans="1:22" ht="15.75" x14ac:dyDescent="0.25">
      <c r="A1783" s="231"/>
      <c r="B1783" s="232"/>
      <c r="C1783" s="400"/>
      <c r="D1783" s="233"/>
      <c r="E1783" s="405"/>
      <c r="F1783" s="405"/>
      <c r="G1783" s="405"/>
      <c r="H1783" s="408">
        <f>ROUND(+E1783+F1783+G1783,4)</f>
        <v>0</v>
      </c>
      <c r="I1783" s="234"/>
      <c r="J1783" s="411"/>
      <c r="K1783" s="411"/>
      <c r="L1783" s="414">
        <v>0.1</v>
      </c>
      <c r="M1783" s="414">
        <f>ROUND(+L1783*C1783,4)</f>
        <v>0</v>
      </c>
      <c r="N1783" s="414"/>
      <c r="O1783" s="414"/>
      <c r="P1783" s="414"/>
      <c r="Q1783" s="419">
        <f>ROUND(+N1783+O1783+P1783,4)</f>
        <v>0</v>
      </c>
      <c r="R1783" s="419">
        <f>ROUND(IF(+Q1783-H1783&lt;=0,0,Q1783-H1783),4)</f>
        <v>0</v>
      </c>
      <c r="S1783" s="423">
        <v>0.5</v>
      </c>
      <c r="T1783" s="419">
        <f>ROUND(+(R1783*C1783)*S1783,4)</f>
        <v>0</v>
      </c>
      <c r="U1783" s="419">
        <f>ROUND(+J1783+M1783+T1783,4)</f>
        <v>0</v>
      </c>
      <c r="V1783" s="235"/>
    </row>
    <row r="1784" spans="1:22" ht="15.75" x14ac:dyDescent="0.25">
      <c r="A1784" s="231"/>
      <c r="B1784" s="232"/>
      <c r="C1784" s="400"/>
      <c r="D1784" s="233"/>
      <c r="E1784" s="405"/>
      <c r="F1784" s="405"/>
      <c r="G1784" s="405"/>
      <c r="H1784" s="408">
        <f>ROUND(+E1784+F1784+G1784,4)</f>
        <v>0</v>
      </c>
      <c r="I1784" s="234"/>
      <c r="J1784" s="411"/>
      <c r="K1784" s="411"/>
      <c r="L1784" s="414">
        <v>0.1</v>
      </c>
      <c r="M1784" s="414">
        <f>ROUND(+L1784*C1784,4)</f>
        <v>0</v>
      </c>
      <c r="N1784" s="414"/>
      <c r="O1784" s="414"/>
      <c r="P1784" s="414"/>
      <c r="Q1784" s="419">
        <f>ROUND(+N1784+O1784+P1784,4)</f>
        <v>0</v>
      </c>
      <c r="R1784" s="419">
        <f>ROUND(IF(+Q1784-H1784&lt;=0,0,Q1784-H1784),4)</f>
        <v>0</v>
      </c>
      <c r="S1784" s="423">
        <v>0.5</v>
      </c>
      <c r="T1784" s="419">
        <f>ROUND(+(R1784*C1784)*S1784,4)</f>
        <v>0</v>
      </c>
      <c r="U1784" s="419">
        <f>ROUND(+J1784+M1784+T1784,4)</f>
        <v>0</v>
      </c>
      <c r="V1784" s="235"/>
    </row>
    <row r="1785" spans="1:22" ht="15.75" x14ac:dyDescent="0.25">
      <c r="A1785" s="231"/>
      <c r="B1785" s="232"/>
      <c r="C1785" s="400"/>
      <c r="D1785" s="233"/>
      <c r="E1785" s="405"/>
      <c r="F1785" s="405"/>
      <c r="G1785" s="405"/>
      <c r="H1785" s="408">
        <f>ROUND(+E1785+F1785+G1785,4)</f>
        <v>0</v>
      </c>
      <c r="I1785" s="234"/>
      <c r="J1785" s="411"/>
      <c r="K1785" s="411"/>
      <c r="L1785" s="414">
        <v>0.1</v>
      </c>
      <c r="M1785" s="414">
        <f>ROUND(+L1785*C1785,4)</f>
        <v>0</v>
      </c>
      <c r="N1785" s="414"/>
      <c r="O1785" s="414"/>
      <c r="P1785" s="414"/>
      <c r="Q1785" s="419">
        <f>ROUND(+N1785+O1785+P1785,4)</f>
        <v>0</v>
      </c>
      <c r="R1785" s="419">
        <f>ROUND(IF(+Q1785-H1785&lt;=0,0,Q1785-H1785),4)</f>
        <v>0</v>
      </c>
      <c r="S1785" s="423">
        <v>0.5</v>
      </c>
      <c r="T1785" s="419">
        <f>ROUND(+(R1785*C1785)*S1785,4)</f>
        <v>0</v>
      </c>
      <c r="U1785" s="419">
        <f>ROUND(+J1785+M1785+T1785,4)</f>
        <v>0</v>
      </c>
      <c r="V1785" s="235"/>
    </row>
    <row r="1786" spans="1:22" ht="15.75" x14ac:dyDescent="0.25">
      <c r="A1786" s="231"/>
      <c r="B1786" s="232"/>
      <c r="C1786" s="400"/>
      <c r="D1786" s="233"/>
      <c r="E1786" s="405"/>
      <c r="F1786" s="405"/>
      <c r="G1786" s="405"/>
      <c r="H1786" s="408">
        <f>ROUND(+E1786+F1786+G1786,4)</f>
        <v>0</v>
      </c>
      <c r="I1786" s="234"/>
      <c r="J1786" s="411"/>
      <c r="K1786" s="411"/>
      <c r="L1786" s="414">
        <v>0.1</v>
      </c>
      <c r="M1786" s="414">
        <f>ROUND(+L1786*C1786,4)</f>
        <v>0</v>
      </c>
      <c r="N1786" s="414"/>
      <c r="O1786" s="414"/>
      <c r="P1786" s="414"/>
      <c r="Q1786" s="419">
        <f>ROUND(+N1786+O1786+P1786,4)</f>
        <v>0</v>
      </c>
      <c r="R1786" s="419">
        <f>ROUND(IF(+Q1786-H1786&lt;=0,0,Q1786-H1786),4)</f>
        <v>0</v>
      </c>
      <c r="S1786" s="423">
        <v>0.5</v>
      </c>
      <c r="T1786" s="419">
        <f>ROUND(+(R1786*C1786)*S1786,4)</f>
        <v>0</v>
      </c>
      <c r="U1786" s="419">
        <f>ROUND(+J1786+M1786+T1786,4)</f>
        <v>0</v>
      </c>
      <c r="V1786" s="235"/>
    </row>
    <row r="1787" spans="1:22" ht="15.75" x14ac:dyDescent="0.25">
      <c r="A1787" s="231"/>
      <c r="B1787" s="232"/>
      <c r="C1787" s="400"/>
      <c r="D1787" s="233"/>
      <c r="E1787" s="405"/>
      <c r="F1787" s="405"/>
      <c r="G1787" s="405"/>
      <c r="H1787" s="408">
        <f>ROUND(+E1787+F1787+G1787,4)</f>
        <v>0</v>
      </c>
      <c r="I1787" s="234"/>
      <c r="J1787" s="411"/>
      <c r="K1787" s="411"/>
      <c r="L1787" s="414">
        <v>0.1</v>
      </c>
      <c r="M1787" s="414">
        <f>ROUND(+L1787*C1787,4)</f>
        <v>0</v>
      </c>
      <c r="N1787" s="414"/>
      <c r="O1787" s="414"/>
      <c r="P1787" s="414"/>
      <c r="Q1787" s="419">
        <f>ROUND(+N1787+O1787+P1787,4)</f>
        <v>0</v>
      </c>
      <c r="R1787" s="419">
        <f>ROUND(IF(+Q1787-H1787&lt;=0,0,Q1787-H1787),4)</f>
        <v>0</v>
      </c>
      <c r="S1787" s="423">
        <v>0.5</v>
      </c>
      <c r="T1787" s="419">
        <f>ROUND(+(R1787*C1787)*S1787,4)</f>
        <v>0</v>
      </c>
      <c r="U1787" s="419">
        <f>ROUND(+J1787+M1787+T1787,4)</f>
        <v>0</v>
      </c>
      <c r="V1787" s="235"/>
    </row>
    <row r="1788" spans="1:22" ht="15.75" x14ac:dyDescent="0.25">
      <c r="A1788" s="231"/>
      <c r="B1788" s="232"/>
      <c r="C1788" s="400"/>
      <c r="D1788" s="233"/>
      <c r="E1788" s="405"/>
      <c r="F1788" s="405"/>
      <c r="G1788" s="405"/>
      <c r="H1788" s="408">
        <f>ROUND(+E1788+F1788+G1788,4)</f>
        <v>0</v>
      </c>
      <c r="I1788" s="234"/>
      <c r="J1788" s="411"/>
      <c r="K1788" s="411"/>
      <c r="L1788" s="414">
        <v>0.1</v>
      </c>
      <c r="M1788" s="414">
        <f>ROUND(+L1788*C1788,4)</f>
        <v>0</v>
      </c>
      <c r="N1788" s="414"/>
      <c r="O1788" s="414"/>
      <c r="P1788" s="414"/>
      <c r="Q1788" s="419">
        <f>ROUND(+N1788+O1788+P1788,4)</f>
        <v>0</v>
      </c>
      <c r="R1788" s="419">
        <f>ROUND(IF(+Q1788-H1788&lt;=0,0,Q1788-H1788),4)</f>
        <v>0</v>
      </c>
      <c r="S1788" s="423">
        <v>0.5</v>
      </c>
      <c r="T1788" s="419">
        <f>ROUND(+(R1788*C1788)*S1788,4)</f>
        <v>0</v>
      </c>
      <c r="U1788" s="419">
        <f>ROUND(+J1788+M1788+T1788,4)</f>
        <v>0</v>
      </c>
      <c r="V1788" s="235"/>
    </row>
    <row r="1789" spans="1:22" ht="15.75" x14ac:dyDescent="0.25">
      <c r="A1789" s="231"/>
      <c r="B1789" s="232"/>
      <c r="C1789" s="400"/>
      <c r="D1789" s="233"/>
      <c r="E1789" s="405"/>
      <c r="F1789" s="405"/>
      <c r="G1789" s="405"/>
      <c r="H1789" s="408">
        <f>ROUND(+E1789+F1789+G1789,4)</f>
        <v>0</v>
      </c>
      <c r="I1789" s="234"/>
      <c r="J1789" s="411"/>
      <c r="K1789" s="411"/>
      <c r="L1789" s="414">
        <v>0.1</v>
      </c>
      <c r="M1789" s="414">
        <f>ROUND(+L1789*C1789,4)</f>
        <v>0</v>
      </c>
      <c r="N1789" s="414"/>
      <c r="O1789" s="414"/>
      <c r="P1789" s="414"/>
      <c r="Q1789" s="419">
        <f>ROUND(+N1789+O1789+P1789,4)</f>
        <v>0</v>
      </c>
      <c r="R1789" s="419">
        <f>ROUND(IF(+Q1789-H1789&lt;=0,0,Q1789-H1789),4)</f>
        <v>0</v>
      </c>
      <c r="S1789" s="423">
        <v>0.5</v>
      </c>
      <c r="T1789" s="419">
        <f>ROUND(+(R1789*C1789)*S1789,4)</f>
        <v>0</v>
      </c>
      <c r="U1789" s="419">
        <f>ROUND(+J1789+M1789+T1789,4)</f>
        <v>0</v>
      </c>
      <c r="V1789" s="235"/>
    </row>
    <row r="1790" spans="1:22" ht="15.75" x14ac:dyDescent="0.25">
      <c r="A1790" s="231"/>
      <c r="B1790" s="232"/>
      <c r="C1790" s="400"/>
      <c r="D1790" s="233"/>
      <c r="E1790" s="405"/>
      <c r="F1790" s="405"/>
      <c r="G1790" s="405"/>
      <c r="H1790" s="408">
        <f>ROUND(+E1790+F1790+G1790,4)</f>
        <v>0</v>
      </c>
      <c r="I1790" s="234"/>
      <c r="J1790" s="411"/>
      <c r="K1790" s="411"/>
      <c r="L1790" s="414">
        <v>0.1</v>
      </c>
      <c r="M1790" s="414">
        <f>ROUND(+L1790*C1790,4)</f>
        <v>0</v>
      </c>
      <c r="N1790" s="414"/>
      <c r="O1790" s="414"/>
      <c r="P1790" s="414"/>
      <c r="Q1790" s="419">
        <f>ROUND(+N1790+O1790+P1790,4)</f>
        <v>0</v>
      </c>
      <c r="R1790" s="419">
        <f>ROUND(IF(+Q1790-H1790&lt;=0,0,Q1790-H1790),4)</f>
        <v>0</v>
      </c>
      <c r="S1790" s="423">
        <v>0.5</v>
      </c>
      <c r="T1790" s="419">
        <f>ROUND(+(R1790*C1790)*S1790,4)</f>
        <v>0</v>
      </c>
      <c r="U1790" s="419">
        <f>ROUND(+J1790+M1790+T1790,4)</f>
        <v>0</v>
      </c>
      <c r="V1790" s="235"/>
    </row>
    <row r="1791" spans="1:22" ht="15.75" x14ac:dyDescent="0.25">
      <c r="A1791" s="231"/>
      <c r="B1791" s="232"/>
      <c r="C1791" s="400"/>
      <c r="D1791" s="233"/>
      <c r="E1791" s="405"/>
      <c r="F1791" s="405"/>
      <c r="G1791" s="405"/>
      <c r="H1791" s="408">
        <f>ROUND(+E1791+F1791+G1791,4)</f>
        <v>0</v>
      </c>
      <c r="I1791" s="234"/>
      <c r="J1791" s="411"/>
      <c r="K1791" s="411"/>
      <c r="L1791" s="414">
        <v>0.1</v>
      </c>
      <c r="M1791" s="414">
        <f>ROUND(+L1791*C1791,4)</f>
        <v>0</v>
      </c>
      <c r="N1791" s="414"/>
      <c r="O1791" s="414"/>
      <c r="P1791" s="414"/>
      <c r="Q1791" s="419">
        <f>ROUND(+N1791+O1791+P1791,4)</f>
        <v>0</v>
      </c>
      <c r="R1791" s="419">
        <f>ROUND(IF(+Q1791-H1791&lt;=0,0,Q1791-H1791),4)</f>
        <v>0</v>
      </c>
      <c r="S1791" s="423">
        <v>0.5</v>
      </c>
      <c r="T1791" s="419">
        <f>ROUND(+(R1791*C1791)*S1791,4)</f>
        <v>0</v>
      </c>
      <c r="U1791" s="419">
        <f>ROUND(+J1791+M1791+T1791,4)</f>
        <v>0</v>
      </c>
      <c r="V1791" s="235"/>
    </row>
    <row r="1792" spans="1:22" ht="15.75" x14ac:dyDescent="0.25">
      <c r="A1792" s="231"/>
      <c r="B1792" s="232"/>
      <c r="C1792" s="400"/>
      <c r="D1792" s="233"/>
      <c r="E1792" s="405"/>
      <c r="F1792" s="405"/>
      <c r="G1792" s="405"/>
      <c r="H1792" s="408">
        <f>ROUND(+E1792+F1792+G1792,4)</f>
        <v>0</v>
      </c>
      <c r="I1792" s="234"/>
      <c r="J1792" s="411"/>
      <c r="K1792" s="411"/>
      <c r="L1792" s="414">
        <v>0.1</v>
      </c>
      <c r="M1792" s="414">
        <f>ROUND(+L1792*C1792,4)</f>
        <v>0</v>
      </c>
      <c r="N1792" s="414"/>
      <c r="O1792" s="414"/>
      <c r="P1792" s="414"/>
      <c r="Q1792" s="419">
        <f>ROUND(+N1792+O1792+P1792,4)</f>
        <v>0</v>
      </c>
      <c r="R1792" s="419">
        <f>ROUND(IF(+Q1792-H1792&lt;=0,0,Q1792-H1792),4)</f>
        <v>0</v>
      </c>
      <c r="S1792" s="423">
        <v>0.5</v>
      </c>
      <c r="T1792" s="419">
        <f>ROUND(+(R1792*C1792)*S1792,4)</f>
        <v>0</v>
      </c>
      <c r="U1792" s="419">
        <f>ROUND(+J1792+M1792+T1792,4)</f>
        <v>0</v>
      </c>
      <c r="V1792" s="235"/>
    </row>
    <row r="1793" spans="1:22" ht="15.75" x14ac:dyDescent="0.25">
      <c r="A1793" s="231"/>
      <c r="B1793" s="232"/>
      <c r="C1793" s="400"/>
      <c r="D1793" s="233"/>
      <c r="E1793" s="405"/>
      <c r="F1793" s="405"/>
      <c r="G1793" s="405"/>
      <c r="H1793" s="408">
        <f>ROUND(+E1793+F1793+G1793,4)</f>
        <v>0</v>
      </c>
      <c r="I1793" s="234"/>
      <c r="J1793" s="411"/>
      <c r="K1793" s="411"/>
      <c r="L1793" s="414">
        <v>0.1</v>
      </c>
      <c r="M1793" s="414">
        <f>ROUND(+L1793*C1793,4)</f>
        <v>0</v>
      </c>
      <c r="N1793" s="414"/>
      <c r="O1793" s="414"/>
      <c r="P1793" s="414"/>
      <c r="Q1793" s="419">
        <f>ROUND(+N1793+O1793+P1793,4)</f>
        <v>0</v>
      </c>
      <c r="R1793" s="419">
        <f>ROUND(IF(+Q1793-H1793&lt;=0,0,Q1793-H1793),4)</f>
        <v>0</v>
      </c>
      <c r="S1793" s="423">
        <v>0.5</v>
      </c>
      <c r="T1793" s="419">
        <f>ROUND(+(R1793*C1793)*S1793,4)</f>
        <v>0</v>
      </c>
      <c r="U1793" s="419">
        <f>ROUND(+J1793+M1793+T1793,4)</f>
        <v>0</v>
      </c>
      <c r="V1793" s="235"/>
    </row>
    <row r="1794" spans="1:22" ht="15.75" x14ac:dyDescent="0.25">
      <c r="A1794" s="231"/>
      <c r="B1794" s="232"/>
      <c r="C1794" s="400"/>
      <c r="D1794" s="233"/>
      <c r="E1794" s="405"/>
      <c r="F1794" s="405"/>
      <c r="G1794" s="405"/>
      <c r="H1794" s="408">
        <f>ROUND(+E1794+F1794+G1794,4)</f>
        <v>0</v>
      </c>
      <c r="I1794" s="234"/>
      <c r="J1794" s="411"/>
      <c r="K1794" s="411"/>
      <c r="L1794" s="414">
        <v>0.1</v>
      </c>
      <c r="M1794" s="414">
        <f>ROUND(+L1794*C1794,4)</f>
        <v>0</v>
      </c>
      <c r="N1794" s="414"/>
      <c r="O1794" s="414"/>
      <c r="P1794" s="414"/>
      <c r="Q1794" s="419">
        <f>ROUND(+N1794+O1794+P1794,4)</f>
        <v>0</v>
      </c>
      <c r="R1794" s="419">
        <f>ROUND(IF(+Q1794-H1794&lt;=0,0,Q1794-H1794),4)</f>
        <v>0</v>
      </c>
      <c r="S1794" s="423">
        <v>0.5</v>
      </c>
      <c r="T1794" s="419">
        <f>ROUND(+(R1794*C1794)*S1794,4)</f>
        <v>0</v>
      </c>
      <c r="U1794" s="419">
        <f>ROUND(+J1794+M1794+T1794,4)</f>
        <v>0</v>
      </c>
      <c r="V1794" s="235"/>
    </row>
    <row r="1795" spans="1:22" ht="15.75" x14ac:dyDescent="0.25">
      <c r="A1795" s="231"/>
      <c r="B1795" s="232"/>
      <c r="C1795" s="400"/>
      <c r="D1795" s="233"/>
      <c r="E1795" s="405"/>
      <c r="F1795" s="405"/>
      <c r="G1795" s="405"/>
      <c r="H1795" s="408">
        <f>ROUND(+E1795+F1795+G1795,4)</f>
        <v>0</v>
      </c>
      <c r="I1795" s="234"/>
      <c r="J1795" s="411"/>
      <c r="K1795" s="411"/>
      <c r="L1795" s="414">
        <v>0.1</v>
      </c>
      <c r="M1795" s="414">
        <f>ROUND(+L1795*C1795,4)</f>
        <v>0</v>
      </c>
      <c r="N1795" s="414"/>
      <c r="O1795" s="414"/>
      <c r="P1795" s="414"/>
      <c r="Q1795" s="419">
        <f>ROUND(+N1795+O1795+P1795,4)</f>
        <v>0</v>
      </c>
      <c r="R1795" s="419">
        <f>ROUND(IF(+Q1795-H1795&lt;=0,0,Q1795-H1795),4)</f>
        <v>0</v>
      </c>
      <c r="S1795" s="423">
        <v>0.5</v>
      </c>
      <c r="T1795" s="419">
        <f>ROUND(+(R1795*C1795)*S1795,4)</f>
        <v>0</v>
      </c>
      <c r="U1795" s="419">
        <f>ROUND(+J1795+M1795+T1795,4)</f>
        <v>0</v>
      </c>
      <c r="V1795" s="235"/>
    </row>
    <row r="1796" spans="1:22" ht="15.75" x14ac:dyDescent="0.25">
      <c r="A1796" s="231"/>
      <c r="B1796" s="232"/>
      <c r="C1796" s="400"/>
      <c r="D1796" s="233"/>
      <c r="E1796" s="405"/>
      <c r="F1796" s="405"/>
      <c r="G1796" s="405"/>
      <c r="H1796" s="408">
        <f>ROUND(+E1796+F1796+G1796,4)</f>
        <v>0</v>
      </c>
      <c r="I1796" s="234"/>
      <c r="J1796" s="411"/>
      <c r="K1796" s="411"/>
      <c r="L1796" s="414">
        <v>0.1</v>
      </c>
      <c r="M1796" s="414">
        <f>ROUND(+L1796*C1796,4)</f>
        <v>0</v>
      </c>
      <c r="N1796" s="414"/>
      <c r="O1796" s="414"/>
      <c r="P1796" s="414"/>
      <c r="Q1796" s="419">
        <f>ROUND(+N1796+O1796+P1796,4)</f>
        <v>0</v>
      </c>
      <c r="R1796" s="419">
        <f>ROUND(IF(+Q1796-H1796&lt;=0,0,Q1796-H1796),4)</f>
        <v>0</v>
      </c>
      <c r="S1796" s="423">
        <v>0.5</v>
      </c>
      <c r="T1796" s="419">
        <f>ROUND(+(R1796*C1796)*S1796,4)</f>
        <v>0</v>
      </c>
      <c r="U1796" s="419">
        <f>ROUND(+J1796+M1796+T1796,4)</f>
        <v>0</v>
      </c>
      <c r="V1796" s="235"/>
    </row>
    <row r="1797" spans="1:22" ht="15.75" x14ac:dyDescent="0.25">
      <c r="A1797" s="231"/>
      <c r="B1797" s="232"/>
      <c r="C1797" s="400"/>
      <c r="D1797" s="233"/>
      <c r="E1797" s="405"/>
      <c r="F1797" s="405"/>
      <c r="G1797" s="405"/>
      <c r="H1797" s="408">
        <f>ROUND(+E1797+F1797+G1797,4)</f>
        <v>0</v>
      </c>
      <c r="I1797" s="234"/>
      <c r="J1797" s="411"/>
      <c r="K1797" s="411"/>
      <c r="L1797" s="414">
        <v>0.1</v>
      </c>
      <c r="M1797" s="414">
        <f>ROUND(+L1797*C1797,4)</f>
        <v>0</v>
      </c>
      <c r="N1797" s="414"/>
      <c r="O1797" s="414"/>
      <c r="P1797" s="414"/>
      <c r="Q1797" s="419">
        <f>ROUND(+N1797+O1797+P1797,4)</f>
        <v>0</v>
      </c>
      <c r="R1797" s="419">
        <f>ROUND(IF(+Q1797-H1797&lt;=0,0,Q1797-H1797),4)</f>
        <v>0</v>
      </c>
      <c r="S1797" s="423">
        <v>0.5</v>
      </c>
      <c r="T1797" s="419">
        <f>ROUND(+(R1797*C1797)*S1797,4)</f>
        <v>0</v>
      </c>
      <c r="U1797" s="419">
        <f>ROUND(+J1797+M1797+T1797,4)</f>
        <v>0</v>
      </c>
      <c r="V1797" s="235"/>
    </row>
    <row r="1798" spans="1:22" ht="15.75" x14ac:dyDescent="0.25">
      <c r="A1798" s="231"/>
      <c r="B1798" s="232"/>
      <c r="C1798" s="400"/>
      <c r="D1798" s="233"/>
      <c r="E1798" s="405"/>
      <c r="F1798" s="405"/>
      <c r="G1798" s="405"/>
      <c r="H1798" s="408">
        <f>ROUND(+E1798+F1798+G1798,4)</f>
        <v>0</v>
      </c>
      <c r="I1798" s="234"/>
      <c r="J1798" s="411"/>
      <c r="K1798" s="411"/>
      <c r="L1798" s="414">
        <v>0.1</v>
      </c>
      <c r="M1798" s="414">
        <f>ROUND(+L1798*C1798,4)</f>
        <v>0</v>
      </c>
      <c r="N1798" s="414"/>
      <c r="O1798" s="414"/>
      <c r="P1798" s="414"/>
      <c r="Q1798" s="419">
        <f>ROUND(+N1798+O1798+P1798,4)</f>
        <v>0</v>
      </c>
      <c r="R1798" s="419">
        <f>ROUND(IF(+Q1798-H1798&lt;=0,0,Q1798-H1798),4)</f>
        <v>0</v>
      </c>
      <c r="S1798" s="423">
        <v>0.5</v>
      </c>
      <c r="T1798" s="419">
        <f>ROUND(+(R1798*C1798)*S1798,4)</f>
        <v>0</v>
      </c>
      <c r="U1798" s="419">
        <f>ROUND(+J1798+M1798+T1798,4)</f>
        <v>0</v>
      </c>
      <c r="V1798" s="235"/>
    </row>
    <row r="1799" spans="1:22" ht="15.75" x14ac:dyDescent="0.25">
      <c r="A1799" s="231"/>
      <c r="B1799" s="232"/>
      <c r="C1799" s="400"/>
      <c r="D1799" s="233"/>
      <c r="E1799" s="405"/>
      <c r="F1799" s="405"/>
      <c r="G1799" s="405"/>
      <c r="H1799" s="408">
        <f>ROUND(+E1799+F1799+G1799,4)</f>
        <v>0</v>
      </c>
      <c r="I1799" s="234"/>
      <c r="J1799" s="411"/>
      <c r="K1799" s="411"/>
      <c r="L1799" s="414">
        <v>0.1</v>
      </c>
      <c r="M1799" s="414">
        <f>ROUND(+L1799*C1799,4)</f>
        <v>0</v>
      </c>
      <c r="N1799" s="414"/>
      <c r="O1799" s="414"/>
      <c r="P1799" s="414"/>
      <c r="Q1799" s="419">
        <f>ROUND(+N1799+O1799+P1799,4)</f>
        <v>0</v>
      </c>
      <c r="R1799" s="419">
        <f>ROUND(IF(+Q1799-H1799&lt;=0,0,Q1799-H1799),4)</f>
        <v>0</v>
      </c>
      <c r="S1799" s="423">
        <v>0.5</v>
      </c>
      <c r="T1799" s="419">
        <f>ROUND(+(R1799*C1799)*S1799,4)</f>
        <v>0</v>
      </c>
      <c r="U1799" s="419">
        <f>ROUND(+J1799+M1799+T1799,4)</f>
        <v>0</v>
      </c>
      <c r="V1799" s="235"/>
    </row>
    <row r="1800" spans="1:22" ht="15.75" x14ac:dyDescent="0.25">
      <c r="A1800" s="231"/>
      <c r="B1800" s="232"/>
      <c r="C1800" s="400"/>
      <c r="D1800" s="233"/>
      <c r="E1800" s="405"/>
      <c r="F1800" s="405"/>
      <c r="G1800" s="405"/>
      <c r="H1800" s="408">
        <f>ROUND(+E1800+F1800+G1800,4)</f>
        <v>0</v>
      </c>
      <c r="I1800" s="234"/>
      <c r="J1800" s="411"/>
      <c r="K1800" s="411"/>
      <c r="L1800" s="414">
        <v>0.1</v>
      </c>
      <c r="M1800" s="414">
        <f>ROUND(+L1800*C1800,4)</f>
        <v>0</v>
      </c>
      <c r="N1800" s="414"/>
      <c r="O1800" s="414"/>
      <c r="P1800" s="414"/>
      <c r="Q1800" s="419">
        <f>ROUND(+N1800+O1800+P1800,4)</f>
        <v>0</v>
      </c>
      <c r="R1800" s="419">
        <f>ROUND(IF(+Q1800-H1800&lt;=0,0,Q1800-H1800),4)</f>
        <v>0</v>
      </c>
      <c r="S1800" s="423">
        <v>0.5</v>
      </c>
      <c r="T1800" s="419">
        <f>ROUND(+(R1800*C1800)*S1800,4)</f>
        <v>0</v>
      </c>
      <c r="U1800" s="419">
        <f>ROUND(+J1800+M1800+T1800,4)</f>
        <v>0</v>
      </c>
      <c r="V1800" s="235"/>
    </row>
    <row r="1801" spans="1:22" ht="15.75" x14ac:dyDescent="0.25">
      <c r="A1801" s="231"/>
      <c r="B1801" s="232"/>
      <c r="C1801" s="400"/>
      <c r="D1801" s="233"/>
      <c r="E1801" s="405"/>
      <c r="F1801" s="405"/>
      <c r="G1801" s="405"/>
      <c r="H1801" s="408">
        <f>ROUND(+E1801+F1801+G1801,4)</f>
        <v>0</v>
      </c>
      <c r="I1801" s="234"/>
      <c r="J1801" s="411"/>
      <c r="K1801" s="411"/>
      <c r="L1801" s="414">
        <v>0.1</v>
      </c>
      <c r="M1801" s="414">
        <f>ROUND(+L1801*C1801,4)</f>
        <v>0</v>
      </c>
      <c r="N1801" s="414"/>
      <c r="O1801" s="414"/>
      <c r="P1801" s="414"/>
      <c r="Q1801" s="419">
        <f>ROUND(+N1801+O1801+P1801,4)</f>
        <v>0</v>
      </c>
      <c r="R1801" s="419">
        <f>ROUND(IF(+Q1801-H1801&lt;=0,0,Q1801-H1801),4)</f>
        <v>0</v>
      </c>
      <c r="S1801" s="423">
        <v>0.5</v>
      </c>
      <c r="T1801" s="419">
        <f>ROUND(+(R1801*C1801)*S1801,4)</f>
        <v>0</v>
      </c>
      <c r="U1801" s="419">
        <f>ROUND(+J1801+M1801+T1801,4)</f>
        <v>0</v>
      </c>
      <c r="V1801" s="235"/>
    </row>
    <row r="1802" spans="1:22" ht="15.75" x14ac:dyDescent="0.25">
      <c r="A1802" s="231"/>
      <c r="B1802" s="232"/>
      <c r="C1802" s="400"/>
      <c r="D1802" s="233"/>
      <c r="E1802" s="405"/>
      <c r="F1802" s="405"/>
      <c r="G1802" s="405"/>
      <c r="H1802" s="408">
        <f>ROUND(+E1802+F1802+G1802,4)</f>
        <v>0</v>
      </c>
      <c r="I1802" s="234"/>
      <c r="J1802" s="411"/>
      <c r="K1802" s="411"/>
      <c r="L1802" s="414">
        <v>0.1</v>
      </c>
      <c r="M1802" s="414">
        <f>ROUND(+L1802*C1802,4)</f>
        <v>0</v>
      </c>
      <c r="N1802" s="414"/>
      <c r="O1802" s="414"/>
      <c r="P1802" s="414"/>
      <c r="Q1802" s="419">
        <f>ROUND(+N1802+O1802+P1802,4)</f>
        <v>0</v>
      </c>
      <c r="R1802" s="419">
        <f>ROUND(IF(+Q1802-H1802&lt;=0,0,Q1802-H1802),4)</f>
        <v>0</v>
      </c>
      <c r="S1802" s="423">
        <v>0.5</v>
      </c>
      <c r="T1802" s="419">
        <f>ROUND(+(R1802*C1802)*S1802,4)</f>
        <v>0</v>
      </c>
      <c r="U1802" s="419">
        <f>ROUND(+J1802+M1802+T1802,4)</f>
        <v>0</v>
      </c>
      <c r="V1802" s="235"/>
    </row>
    <row r="1803" spans="1:22" ht="15.75" x14ac:dyDescent="0.25">
      <c r="A1803" s="231"/>
      <c r="B1803" s="232"/>
      <c r="C1803" s="400"/>
      <c r="D1803" s="233"/>
      <c r="E1803" s="405"/>
      <c r="F1803" s="405"/>
      <c r="G1803" s="405"/>
      <c r="H1803" s="408">
        <f>ROUND(+E1803+F1803+G1803,4)</f>
        <v>0</v>
      </c>
      <c r="I1803" s="234"/>
      <c r="J1803" s="411"/>
      <c r="K1803" s="411"/>
      <c r="L1803" s="414">
        <v>0.1</v>
      </c>
      <c r="M1803" s="414">
        <f>ROUND(+L1803*C1803,4)</f>
        <v>0</v>
      </c>
      <c r="N1803" s="414"/>
      <c r="O1803" s="414"/>
      <c r="P1803" s="414"/>
      <c r="Q1803" s="419">
        <f>ROUND(+N1803+O1803+P1803,4)</f>
        <v>0</v>
      </c>
      <c r="R1803" s="419">
        <f>ROUND(IF(+Q1803-H1803&lt;=0,0,Q1803-H1803),4)</f>
        <v>0</v>
      </c>
      <c r="S1803" s="423">
        <v>0.5</v>
      </c>
      <c r="T1803" s="419">
        <f>ROUND(+(R1803*C1803)*S1803,4)</f>
        <v>0</v>
      </c>
      <c r="U1803" s="419">
        <f>ROUND(+J1803+M1803+T1803,4)</f>
        <v>0</v>
      </c>
      <c r="V1803" s="235"/>
    </row>
    <row r="1804" spans="1:22" ht="15.75" x14ac:dyDescent="0.25">
      <c r="A1804" s="231"/>
      <c r="B1804" s="232"/>
      <c r="C1804" s="400"/>
      <c r="D1804" s="233"/>
      <c r="E1804" s="405"/>
      <c r="F1804" s="405"/>
      <c r="G1804" s="405"/>
      <c r="H1804" s="408">
        <f>ROUND(+E1804+F1804+G1804,4)</f>
        <v>0</v>
      </c>
      <c r="I1804" s="234"/>
      <c r="J1804" s="411"/>
      <c r="K1804" s="411"/>
      <c r="L1804" s="414">
        <v>0.1</v>
      </c>
      <c r="M1804" s="414">
        <f>ROUND(+L1804*C1804,4)</f>
        <v>0</v>
      </c>
      <c r="N1804" s="414"/>
      <c r="O1804" s="414"/>
      <c r="P1804" s="414"/>
      <c r="Q1804" s="419">
        <f>ROUND(+N1804+O1804+P1804,4)</f>
        <v>0</v>
      </c>
      <c r="R1804" s="419">
        <f>ROUND(IF(+Q1804-H1804&lt;=0,0,Q1804-H1804),4)</f>
        <v>0</v>
      </c>
      <c r="S1804" s="423">
        <v>0.5</v>
      </c>
      <c r="T1804" s="419">
        <f>ROUND(+(R1804*C1804)*S1804,4)</f>
        <v>0</v>
      </c>
      <c r="U1804" s="419">
        <f>ROUND(+J1804+M1804+T1804,4)</f>
        <v>0</v>
      </c>
      <c r="V1804" s="235"/>
    </row>
    <row r="1805" spans="1:22" ht="15.75" x14ac:dyDescent="0.25">
      <c r="A1805" s="231"/>
      <c r="B1805" s="232"/>
      <c r="C1805" s="400"/>
      <c r="D1805" s="233"/>
      <c r="E1805" s="405"/>
      <c r="F1805" s="405"/>
      <c r="G1805" s="405"/>
      <c r="H1805" s="408">
        <f>ROUND(+E1805+F1805+G1805,4)</f>
        <v>0</v>
      </c>
      <c r="I1805" s="234"/>
      <c r="J1805" s="411"/>
      <c r="K1805" s="411"/>
      <c r="L1805" s="414">
        <v>0.1</v>
      </c>
      <c r="M1805" s="414">
        <f>ROUND(+L1805*C1805,4)</f>
        <v>0</v>
      </c>
      <c r="N1805" s="414"/>
      <c r="O1805" s="414"/>
      <c r="P1805" s="414"/>
      <c r="Q1805" s="419">
        <f>ROUND(+N1805+O1805+P1805,4)</f>
        <v>0</v>
      </c>
      <c r="R1805" s="419">
        <f>ROUND(IF(+Q1805-H1805&lt;=0,0,Q1805-H1805),4)</f>
        <v>0</v>
      </c>
      <c r="S1805" s="423">
        <v>0.5</v>
      </c>
      <c r="T1805" s="419">
        <f>ROUND(+(R1805*C1805)*S1805,4)</f>
        <v>0</v>
      </c>
      <c r="U1805" s="419">
        <f>ROUND(+J1805+M1805+T1805,4)</f>
        <v>0</v>
      </c>
      <c r="V1805" s="235"/>
    </row>
    <row r="1806" spans="1:22" ht="15.75" x14ac:dyDescent="0.25">
      <c r="A1806" s="231"/>
      <c r="B1806" s="232"/>
      <c r="C1806" s="400"/>
      <c r="D1806" s="233"/>
      <c r="E1806" s="405"/>
      <c r="F1806" s="405"/>
      <c r="G1806" s="405"/>
      <c r="H1806" s="408">
        <f>ROUND(+E1806+F1806+G1806,4)</f>
        <v>0</v>
      </c>
      <c r="I1806" s="234"/>
      <c r="J1806" s="411"/>
      <c r="K1806" s="411"/>
      <c r="L1806" s="414">
        <v>0.1</v>
      </c>
      <c r="M1806" s="414">
        <f>ROUND(+L1806*C1806,4)</f>
        <v>0</v>
      </c>
      <c r="N1806" s="414"/>
      <c r="O1806" s="414"/>
      <c r="P1806" s="414"/>
      <c r="Q1806" s="419">
        <f>ROUND(+N1806+O1806+P1806,4)</f>
        <v>0</v>
      </c>
      <c r="R1806" s="419">
        <f>ROUND(IF(+Q1806-H1806&lt;=0,0,Q1806-H1806),4)</f>
        <v>0</v>
      </c>
      <c r="S1806" s="423">
        <v>0.5</v>
      </c>
      <c r="T1806" s="419">
        <f>ROUND(+(R1806*C1806)*S1806,4)</f>
        <v>0</v>
      </c>
      <c r="U1806" s="419">
        <f>ROUND(+J1806+M1806+T1806,4)</f>
        <v>0</v>
      </c>
      <c r="V1806" s="235"/>
    </row>
    <row r="1807" spans="1:22" ht="15.75" x14ac:dyDescent="0.25">
      <c r="A1807" s="231"/>
      <c r="B1807" s="232"/>
      <c r="C1807" s="400"/>
      <c r="D1807" s="233"/>
      <c r="E1807" s="405"/>
      <c r="F1807" s="405"/>
      <c r="G1807" s="405"/>
      <c r="H1807" s="408">
        <f>ROUND(+E1807+F1807+G1807,4)</f>
        <v>0</v>
      </c>
      <c r="I1807" s="234"/>
      <c r="J1807" s="411"/>
      <c r="K1807" s="411"/>
      <c r="L1807" s="414">
        <v>0.1</v>
      </c>
      <c r="M1807" s="414">
        <f>ROUND(+L1807*C1807,4)</f>
        <v>0</v>
      </c>
      <c r="N1807" s="414"/>
      <c r="O1807" s="414"/>
      <c r="P1807" s="414"/>
      <c r="Q1807" s="419">
        <f>ROUND(+N1807+O1807+P1807,4)</f>
        <v>0</v>
      </c>
      <c r="R1807" s="419">
        <f>ROUND(IF(+Q1807-H1807&lt;=0,0,Q1807-H1807),4)</f>
        <v>0</v>
      </c>
      <c r="S1807" s="423">
        <v>0.5</v>
      </c>
      <c r="T1807" s="419">
        <f>ROUND(+(R1807*C1807)*S1807,4)</f>
        <v>0</v>
      </c>
      <c r="U1807" s="419">
        <f>ROUND(+J1807+M1807+T1807,4)</f>
        <v>0</v>
      </c>
      <c r="V1807" s="235"/>
    </row>
    <row r="1808" spans="1:22" ht="15.75" x14ac:dyDescent="0.25">
      <c r="A1808" s="231"/>
      <c r="B1808" s="232"/>
      <c r="C1808" s="400"/>
      <c r="D1808" s="233"/>
      <c r="E1808" s="405"/>
      <c r="F1808" s="405"/>
      <c r="G1808" s="405"/>
      <c r="H1808" s="408">
        <f>ROUND(+E1808+F1808+G1808,4)</f>
        <v>0</v>
      </c>
      <c r="I1808" s="234"/>
      <c r="J1808" s="411"/>
      <c r="K1808" s="411"/>
      <c r="L1808" s="414">
        <v>0.1</v>
      </c>
      <c r="M1808" s="414">
        <f>ROUND(+L1808*C1808,4)</f>
        <v>0</v>
      </c>
      <c r="N1808" s="414"/>
      <c r="O1808" s="414"/>
      <c r="P1808" s="414"/>
      <c r="Q1808" s="419">
        <f>ROUND(+N1808+O1808+P1808,4)</f>
        <v>0</v>
      </c>
      <c r="R1808" s="419">
        <f>ROUND(IF(+Q1808-H1808&lt;=0,0,Q1808-H1808),4)</f>
        <v>0</v>
      </c>
      <c r="S1808" s="423">
        <v>0.5</v>
      </c>
      <c r="T1808" s="419">
        <f>ROUND(+(R1808*C1808)*S1808,4)</f>
        <v>0</v>
      </c>
      <c r="U1808" s="419">
        <f>ROUND(+J1808+M1808+T1808,4)</f>
        <v>0</v>
      </c>
      <c r="V1808" s="235"/>
    </row>
    <row r="1809" spans="1:22" ht="15.75" x14ac:dyDescent="0.25">
      <c r="A1809" s="231"/>
      <c r="B1809" s="232"/>
      <c r="C1809" s="400"/>
      <c r="D1809" s="233"/>
      <c r="E1809" s="405"/>
      <c r="F1809" s="405"/>
      <c r="G1809" s="405"/>
      <c r="H1809" s="408">
        <f>ROUND(+E1809+F1809+G1809,4)</f>
        <v>0</v>
      </c>
      <c r="I1809" s="234"/>
      <c r="J1809" s="411"/>
      <c r="K1809" s="411"/>
      <c r="L1809" s="414">
        <v>0.1</v>
      </c>
      <c r="M1809" s="414">
        <f>ROUND(+L1809*C1809,4)</f>
        <v>0</v>
      </c>
      <c r="N1809" s="414"/>
      <c r="O1809" s="414"/>
      <c r="P1809" s="414"/>
      <c r="Q1809" s="419">
        <f>ROUND(+N1809+O1809+P1809,4)</f>
        <v>0</v>
      </c>
      <c r="R1809" s="419">
        <f>ROUND(IF(+Q1809-H1809&lt;=0,0,Q1809-H1809),4)</f>
        <v>0</v>
      </c>
      <c r="S1809" s="423">
        <v>0.5</v>
      </c>
      <c r="T1809" s="419">
        <f>ROUND(+(R1809*C1809)*S1809,4)</f>
        <v>0</v>
      </c>
      <c r="U1809" s="419">
        <f>ROUND(+J1809+M1809+T1809,4)</f>
        <v>0</v>
      </c>
      <c r="V1809" s="235"/>
    </row>
    <row r="1810" spans="1:22" ht="15.75" x14ac:dyDescent="0.25">
      <c r="A1810" s="231"/>
      <c r="B1810" s="232"/>
      <c r="C1810" s="400"/>
      <c r="D1810" s="233"/>
      <c r="E1810" s="405"/>
      <c r="F1810" s="405"/>
      <c r="G1810" s="405"/>
      <c r="H1810" s="408">
        <f>ROUND(+E1810+F1810+G1810,4)</f>
        <v>0</v>
      </c>
      <c r="I1810" s="234"/>
      <c r="J1810" s="411"/>
      <c r="K1810" s="411"/>
      <c r="L1810" s="414">
        <v>0.1</v>
      </c>
      <c r="M1810" s="414">
        <f>ROUND(+L1810*C1810,4)</f>
        <v>0</v>
      </c>
      <c r="N1810" s="414"/>
      <c r="O1810" s="414"/>
      <c r="P1810" s="414"/>
      <c r="Q1810" s="419">
        <f>ROUND(+N1810+O1810+P1810,4)</f>
        <v>0</v>
      </c>
      <c r="R1810" s="419">
        <f>ROUND(IF(+Q1810-H1810&lt;=0,0,Q1810-H1810),4)</f>
        <v>0</v>
      </c>
      <c r="S1810" s="423">
        <v>0.5</v>
      </c>
      <c r="T1810" s="419">
        <f>ROUND(+(R1810*C1810)*S1810,4)</f>
        <v>0</v>
      </c>
      <c r="U1810" s="419">
        <f>ROUND(+J1810+M1810+T1810,4)</f>
        <v>0</v>
      </c>
      <c r="V1810" s="235"/>
    </row>
    <row r="1811" spans="1:22" ht="15.75" x14ac:dyDescent="0.25">
      <c r="A1811" s="231"/>
      <c r="B1811" s="232"/>
      <c r="C1811" s="400"/>
      <c r="D1811" s="233"/>
      <c r="E1811" s="405"/>
      <c r="F1811" s="405"/>
      <c r="G1811" s="405"/>
      <c r="H1811" s="408">
        <f>ROUND(+E1811+F1811+G1811,4)</f>
        <v>0</v>
      </c>
      <c r="I1811" s="234"/>
      <c r="J1811" s="411"/>
      <c r="K1811" s="411"/>
      <c r="L1811" s="414">
        <v>0.1</v>
      </c>
      <c r="M1811" s="414">
        <f>ROUND(+L1811*C1811,4)</f>
        <v>0</v>
      </c>
      <c r="N1811" s="414"/>
      <c r="O1811" s="414"/>
      <c r="P1811" s="414"/>
      <c r="Q1811" s="419">
        <f>ROUND(+N1811+O1811+P1811,4)</f>
        <v>0</v>
      </c>
      <c r="R1811" s="419">
        <f>ROUND(IF(+Q1811-H1811&lt;=0,0,Q1811-H1811),4)</f>
        <v>0</v>
      </c>
      <c r="S1811" s="423">
        <v>0.5</v>
      </c>
      <c r="T1811" s="419">
        <f>ROUND(+(R1811*C1811)*S1811,4)</f>
        <v>0</v>
      </c>
      <c r="U1811" s="419">
        <f>ROUND(+J1811+M1811+T1811,4)</f>
        <v>0</v>
      </c>
      <c r="V1811" s="235"/>
    </row>
    <row r="1812" spans="1:22" ht="15.75" x14ac:dyDescent="0.25">
      <c r="A1812" s="231"/>
      <c r="B1812" s="232"/>
      <c r="C1812" s="400"/>
      <c r="D1812" s="233"/>
      <c r="E1812" s="405"/>
      <c r="F1812" s="405"/>
      <c r="G1812" s="405"/>
      <c r="H1812" s="408">
        <f>ROUND(+E1812+F1812+G1812,4)</f>
        <v>0</v>
      </c>
      <c r="I1812" s="234"/>
      <c r="J1812" s="411"/>
      <c r="K1812" s="411"/>
      <c r="L1812" s="414">
        <v>0.1</v>
      </c>
      <c r="M1812" s="414">
        <f>ROUND(+L1812*C1812,4)</f>
        <v>0</v>
      </c>
      <c r="N1812" s="414"/>
      <c r="O1812" s="414"/>
      <c r="P1812" s="414"/>
      <c r="Q1812" s="419">
        <f>ROUND(+N1812+O1812+P1812,4)</f>
        <v>0</v>
      </c>
      <c r="R1812" s="419">
        <f>ROUND(IF(+Q1812-H1812&lt;=0,0,Q1812-H1812),4)</f>
        <v>0</v>
      </c>
      <c r="S1812" s="423">
        <v>0.5</v>
      </c>
      <c r="T1812" s="419">
        <f>ROUND(+(R1812*C1812)*S1812,4)</f>
        <v>0</v>
      </c>
      <c r="U1812" s="419">
        <f>ROUND(+J1812+M1812+T1812,4)</f>
        <v>0</v>
      </c>
      <c r="V1812" s="235"/>
    </row>
    <row r="1813" spans="1:22" ht="15.75" x14ac:dyDescent="0.25">
      <c r="A1813" s="231"/>
      <c r="B1813" s="232"/>
      <c r="C1813" s="400"/>
      <c r="D1813" s="233"/>
      <c r="E1813" s="405"/>
      <c r="F1813" s="405"/>
      <c r="G1813" s="405"/>
      <c r="H1813" s="408">
        <f>ROUND(+E1813+F1813+G1813,4)</f>
        <v>0</v>
      </c>
      <c r="I1813" s="234"/>
      <c r="J1813" s="411"/>
      <c r="K1813" s="411"/>
      <c r="L1813" s="414">
        <v>0.1</v>
      </c>
      <c r="M1813" s="414">
        <f>ROUND(+L1813*C1813,4)</f>
        <v>0</v>
      </c>
      <c r="N1813" s="414"/>
      <c r="O1813" s="414"/>
      <c r="P1813" s="414"/>
      <c r="Q1813" s="419">
        <f>ROUND(+N1813+O1813+P1813,4)</f>
        <v>0</v>
      </c>
      <c r="R1813" s="419">
        <f>ROUND(IF(+Q1813-H1813&lt;=0,0,Q1813-H1813),4)</f>
        <v>0</v>
      </c>
      <c r="S1813" s="423">
        <v>0.5</v>
      </c>
      <c r="T1813" s="419">
        <f>ROUND(+(R1813*C1813)*S1813,4)</f>
        <v>0</v>
      </c>
      <c r="U1813" s="419">
        <f>ROUND(+J1813+M1813+T1813,4)</f>
        <v>0</v>
      </c>
      <c r="V1813" s="235"/>
    </row>
    <row r="1814" spans="1:22" ht="15.75" x14ac:dyDescent="0.25">
      <c r="A1814" s="231"/>
      <c r="B1814" s="232"/>
      <c r="C1814" s="400"/>
      <c r="D1814" s="233"/>
      <c r="E1814" s="405"/>
      <c r="F1814" s="405"/>
      <c r="G1814" s="405"/>
      <c r="H1814" s="408">
        <f>ROUND(+E1814+F1814+G1814,4)</f>
        <v>0</v>
      </c>
      <c r="I1814" s="234"/>
      <c r="J1814" s="411"/>
      <c r="K1814" s="411"/>
      <c r="L1814" s="414">
        <v>0.1</v>
      </c>
      <c r="M1814" s="414">
        <f>ROUND(+L1814*C1814,4)</f>
        <v>0</v>
      </c>
      <c r="N1814" s="414"/>
      <c r="O1814" s="414"/>
      <c r="P1814" s="414"/>
      <c r="Q1814" s="419">
        <f>ROUND(+N1814+O1814+P1814,4)</f>
        <v>0</v>
      </c>
      <c r="R1814" s="419">
        <f>ROUND(IF(+Q1814-H1814&lt;=0,0,Q1814-H1814),4)</f>
        <v>0</v>
      </c>
      <c r="S1814" s="423">
        <v>0.5</v>
      </c>
      <c r="T1814" s="419">
        <f>ROUND(+(R1814*C1814)*S1814,4)</f>
        <v>0</v>
      </c>
      <c r="U1814" s="419">
        <f>ROUND(+J1814+M1814+T1814,4)</f>
        <v>0</v>
      </c>
      <c r="V1814" s="235"/>
    </row>
    <row r="1815" spans="1:22" ht="15.75" x14ac:dyDescent="0.25">
      <c r="A1815" s="231"/>
      <c r="B1815" s="232"/>
      <c r="C1815" s="400"/>
      <c r="D1815" s="233"/>
      <c r="E1815" s="405"/>
      <c r="F1815" s="405"/>
      <c r="G1815" s="405"/>
      <c r="H1815" s="408">
        <f>ROUND(+E1815+F1815+G1815,4)</f>
        <v>0</v>
      </c>
      <c r="I1815" s="234"/>
      <c r="J1815" s="411"/>
      <c r="K1815" s="411"/>
      <c r="L1815" s="414">
        <v>0.1</v>
      </c>
      <c r="M1815" s="414">
        <f>ROUND(+L1815*C1815,4)</f>
        <v>0</v>
      </c>
      <c r="N1815" s="414"/>
      <c r="O1815" s="414"/>
      <c r="P1815" s="414"/>
      <c r="Q1815" s="419">
        <f>ROUND(+N1815+O1815+P1815,4)</f>
        <v>0</v>
      </c>
      <c r="R1815" s="419">
        <f>ROUND(IF(+Q1815-H1815&lt;=0,0,Q1815-H1815),4)</f>
        <v>0</v>
      </c>
      <c r="S1815" s="423">
        <v>0.5</v>
      </c>
      <c r="T1815" s="419">
        <f>ROUND(+(R1815*C1815)*S1815,4)</f>
        <v>0</v>
      </c>
      <c r="U1815" s="419">
        <f>ROUND(+J1815+M1815+T1815,4)</f>
        <v>0</v>
      </c>
      <c r="V1815" s="235"/>
    </row>
    <row r="1816" spans="1:22" ht="15.75" x14ac:dyDescent="0.25">
      <c r="A1816" s="231"/>
      <c r="B1816" s="232"/>
      <c r="C1816" s="400"/>
      <c r="D1816" s="233"/>
      <c r="E1816" s="405"/>
      <c r="F1816" s="405"/>
      <c r="G1816" s="405"/>
      <c r="H1816" s="408">
        <f>ROUND(+E1816+F1816+G1816,4)</f>
        <v>0</v>
      </c>
      <c r="I1816" s="234"/>
      <c r="J1816" s="411"/>
      <c r="K1816" s="411"/>
      <c r="L1816" s="414">
        <v>0.1</v>
      </c>
      <c r="M1816" s="414">
        <f>ROUND(+L1816*C1816,4)</f>
        <v>0</v>
      </c>
      <c r="N1816" s="414"/>
      <c r="O1816" s="414"/>
      <c r="P1816" s="414"/>
      <c r="Q1816" s="419">
        <f>ROUND(+N1816+O1816+P1816,4)</f>
        <v>0</v>
      </c>
      <c r="R1816" s="419">
        <f>ROUND(IF(+Q1816-H1816&lt;=0,0,Q1816-H1816),4)</f>
        <v>0</v>
      </c>
      <c r="S1816" s="423">
        <v>0.5</v>
      </c>
      <c r="T1816" s="419">
        <f>ROUND(+(R1816*C1816)*S1816,4)</f>
        <v>0</v>
      </c>
      <c r="U1816" s="419">
        <f>ROUND(+J1816+M1816+T1816,4)</f>
        <v>0</v>
      </c>
      <c r="V1816" s="235"/>
    </row>
    <row r="1817" spans="1:22" ht="15.75" x14ac:dyDescent="0.25">
      <c r="A1817" s="231"/>
      <c r="B1817" s="232"/>
      <c r="C1817" s="400"/>
      <c r="D1817" s="233"/>
      <c r="E1817" s="405"/>
      <c r="F1817" s="405"/>
      <c r="G1817" s="405"/>
      <c r="H1817" s="408">
        <f>ROUND(+E1817+F1817+G1817,4)</f>
        <v>0</v>
      </c>
      <c r="I1817" s="234"/>
      <c r="J1817" s="411"/>
      <c r="K1817" s="411"/>
      <c r="L1817" s="414">
        <v>0.1</v>
      </c>
      <c r="M1817" s="414">
        <f>ROUND(+L1817*C1817,4)</f>
        <v>0</v>
      </c>
      <c r="N1817" s="414"/>
      <c r="O1817" s="414"/>
      <c r="P1817" s="414"/>
      <c r="Q1817" s="419">
        <f>ROUND(+N1817+O1817+P1817,4)</f>
        <v>0</v>
      </c>
      <c r="R1817" s="419">
        <f>ROUND(IF(+Q1817-H1817&lt;=0,0,Q1817-H1817),4)</f>
        <v>0</v>
      </c>
      <c r="S1817" s="423">
        <v>0.5</v>
      </c>
      <c r="T1817" s="419">
        <f>ROUND(+(R1817*C1817)*S1817,4)</f>
        <v>0</v>
      </c>
      <c r="U1817" s="419">
        <f>ROUND(+J1817+M1817+T1817,4)</f>
        <v>0</v>
      </c>
      <c r="V1817" s="235"/>
    </row>
    <row r="1818" spans="1:22" ht="15.75" x14ac:dyDescent="0.25">
      <c r="A1818" s="231"/>
      <c r="B1818" s="232"/>
      <c r="C1818" s="400"/>
      <c r="D1818" s="233"/>
      <c r="E1818" s="405"/>
      <c r="F1818" s="405"/>
      <c r="G1818" s="405"/>
      <c r="H1818" s="408">
        <f>ROUND(+E1818+F1818+G1818,4)</f>
        <v>0</v>
      </c>
      <c r="I1818" s="234"/>
      <c r="J1818" s="411"/>
      <c r="K1818" s="411"/>
      <c r="L1818" s="414">
        <v>0.1</v>
      </c>
      <c r="M1818" s="414">
        <f>ROUND(+L1818*C1818,4)</f>
        <v>0</v>
      </c>
      <c r="N1818" s="414"/>
      <c r="O1818" s="414"/>
      <c r="P1818" s="414"/>
      <c r="Q1818" s="419">
        <f>ROUND(+N1818+O1818+P1818,4)</f>
        <v>0</v>
      </c>
      <c r="R1818" s="419">
        <f>ROUND(IF(+Q1818-H1818&lt;=0,0,Q1818-H1818),4)</f>
        <v>0</v>
      </c>
      <c r="S1818" s="423">
        <v>0.5</v>
      </c>
      <c r="T1818" s="419">
        <f>ROUND(+(R1818*C1818)*S1818,4)</f>
        <v>0</v>
      </c>
      <c r="U1818" s="419">
        <f>ROUND(+J1818+M1818+T1818,4)</f>
        <v>0</v>
      </c>
      <c r="V1818" s="235"/>
    </row>
    <row r="1819" spans="1:22" ht="15.75" x14ac:dyDescent="0.25">
      <c r="A1819" s="231"/>
      <c r="B1819" s="232"/>
      <c r="C1819" s="400"/>
      <c r="D1819" s="233"/>
      <c r="E1819" s="405"/>
      <c r="F1819" s="405"/>
      <c r="G1819" s="405"/>
      <c r="H1819" s="408">
        <f>ROUND(+E1819+F1819+G1819,4)</f>
        <v>0</v>
      </c>
      <c r="I1819" s="234"/>
      <c r="J1819" s="411"/>
      <c r="K1819" s="411"/>
      <c r="L1819" s="414">
        <v>0.1</v>
      </c>
      <c r="M1819" s="414">
        <f>ROUND(+L1819*C1819,4)</f>
        <v>0</v>
      </c>
      <c r="N1819" s="414"/>
      <c r="O1819" s="414"/>
      <c r="P1819" s="414"/>
      <c r="Q1819" s="419">
        <f>ROUND(+N1819+O1819+P1819,4)</f>
        <v>0</v>
      </c>
      <c r="R1819" s="419">
        <f>ROUND(IF(+Q1819-H1819&lt;=0,0,Q1819-H1819),4)</f>
        <v>0</v>
      </c>
      <c r="S1819" s="423">
        <v>0.5</v>
      </c>
      <c r="T1819" s="419">
        <f>ROUND(+(R1819*C1819)*S1819,4)</f>
        <v>0</v>
      </c>
      <c r="U1819" s="419">
        <f>ROUND(+J1819+M1819+T1819,4)</f>
        <v>0</v>
      </c>
      <c r="V1819" s="235"/>
    </row>
    <row r="1820" spans="1:22" ht="15.75" x14ac:dyDescent="0.25">
      <c r="A1820" s="231"/>
      <c r="B1820" s="232"/>
      <c r="C1820" s="400"/>
      <c r="D1820" s="233"/>
      <c r="E1820" s="405"/>
      <c r="F1820" s="405"/>
      <c r="G1820" s="405"/>
      <c r="H1820" s="408">
        <f>ROUND(+E1820+F1820+G1820,4)</f>
        <v>0</v>
      </c>
      <c r="I1820" s="234"/>
      <c r="J1820" s="411"/>
      <c r="K1820" s="411"/>
      <c r="L1820" s="414">
        <v>0.1</v>
      </c>
      <c r="M1820" s="414">
        <f>ROUND(+L1820*C1820,4)</f>
        <v>0</v>
      </c>
      <c r="N1820" s="414"/>
      <c r="O1820" s="414"/>
      <c r="P1820" s="414"/>
      <c r="Q1820" s="419">
        <f>ROUND(+N1820+O1820+P1820,4)</f>
        <v>0</v>
      </c>
      <c r="R1820" s="419">
        <f>ROUND(IF(+Q1820-H1820&lt;=0,0,Q1820-H1820),4)</f>
        <v>0</v>
      </c>
      <c r="S1820" s="423">
        <v>0.5</v>
      </c>
      <c r="T1820" s="419">
        <f>ROUND(+(R1820*C1820)*S1820,4)</f>
        <v>0</v>
      </c>
      <c r="U1820" s="419">
        <f>ROUND(+J1820+M1820+T1820,4)</f>
        <v>0</v>
      </c>
      <c r="V1820" s="235"/>
    </row>
    <row r="1821" spans="1:22" ht="15.75" x14ac:dyDescent="0.25">
      <c r="A1821" s="231"/>
      <c r="B1821" s="232"/>
      <c r="C1821" s="400"/>
      <c r="D1821" s="233"/>
      <c r="E1821" s="405"/>
      <c r="F1821" s="405"/>
      <c r="G1821" s="405"/>
      <c r="H1821" s="408">
        <f>ROUND(+E1821+F1821+G1821,4)</f>
        <v>0</v>
      </c>
      <c r="I1821" s="234"/>
      <c r="J1821" s="411"/>
      <c r="K1821" s="411"/>
      <c r="L1821" s="414">
        <v>0.1</v>
      </c>
      <c r="M1821" s="414">
        <f>ROUND(+L1821*C1821,4)</f>
        <v>0</v>
      </c>
      <c r="N1821" s="414"/>
      <c r="O1821" s="414"/>
      <c r="P1821" s="414"/>
      <c r="Q1821" s="419">
        <f>ROUND(+N1821+O1821+P1821,4)</f>
        <v>0</v>
      </c>
      <c r="R1821" s="419">
        <f>ROUND(IF(+Q1821-H1821&lt;=0,0,Q1821-H1821),4)</f>
        <v>0</v>
      </c>
      <c r="S1821" s="423">
        <v>0.5</v>
      </c>
      <c r="T1821" s="419">
        <f>ROUND(+(R1821*C1821)*S1821,4)</f>
        <v>0</v>
      </c>
      <c r="U1821" s="419">
        <f>ROUND(+J1821+M1821+T1821,4)</f>
        <v>0</v>
      </c>
      <c r="V1821" s="235"/>
    </row>
    <row r="1822" spans="1:22" ht="15.75" x14ac:dyDescent="0.25">
      <c r="A1822" s="231"/>
      <c r="B1822" s="232"/>
      <c r="C1822" s="400"/>
      <c r="D1822" s="233"/>
      <c r="E1822" s="405"/>
      <c r="F1822" s="405"/>
      <c r="G1822" s="405"/>
      <c r="H1822" s="408">
        <f>ROUND(+E1822+F1822+G1822,4)</f>
        <v>0</v>
      </c>
      <c r="I1822" s="234"/>
      <c r="J1822" s="411"/>
      <c r="K1822" s="411"/>
      <c r="L1822" s="414">
        <v>0.1</v>
      </c>
      <c r="M1822" s="414">
        <f>ROUND(+L1822*C1822,4)</f>
        <v>0</v>
      </c>
      <c r="N1822" s="414"/>
      <c r="O1822" s="414"/>
      <c r="P1822" s="414"/>
      <c r="Q1822" s="419">
        <f>ROUND(+N1822+O1822+P1822,4)</f>
        <v>0</v>
      </c>
      <c r="R1822" s="419">
        <f>ROUND(IF(+Q1822-H1822&lt;=0,0,Q1822-H1822),4)</f>
        <v>0</v>
      </c>
      <c r="S1822" s="423">
        <v>0.5</v>
      </c>
      <c r="T1822" s="419">
        <f>ROUND(+(R1822*C1822)*S1822,4)</f>
        <v>0</v>
      </c>
      <c r="U1822" s="419">
        <f>ROUND(+J1822+M1822+T1822,4)</f>
        <v>0</v>
      </c>
      <c r="V1822" s="235"/>
    </row>
    <row r="1823" spans="1:22" ht="15.75" x14ac:dyDescent="0.25">
      <c r="A1823" s="231"/>
      <c r="B1823" s="232"/>
      <c r="C1823" s="400"/>
      <c r="D1823" s="233"/>
      <c r="E1823" s="405"/>
      <c r="F1823" s="405"/>
      <c r="G1823" s="405"/>
      <c r="H1823" s="408">
        <f>ROUND(+E1823+F1823+G1823,4)</f>
        <v>0</v>
      </c>
      <c r="I1823" s="234"/>
      <c r="J1823" s="411"/>
      <c r="K1823" s="411"/>
      <c r="L1823" s="414">
        <v>0.1</v>
      </c>
      <c r="M1823" s="414">
        <f>ROUND(+L1823*C1823,4)</f>
        <v>0</v>
      </c>
      <c r="N1823" s="414"/>
      <c r="O1823" s="414"/>
      <c r="P1823" s="414"/>
      <c r="Q1823" s="419">
        <f>ROUND(+N1823+O1823+P1823,4)</f>
        <v>0</v>
      </c>
      <c r="R1823" s="419">
        <f>ROUND(IF(+Q1823-H1823&lt;=0,0,Q1823-H1823),4)</f>
        <v>0</v>
      </c>
      <c r="S1823" s="423">
        <v>0.5</v>
      </c>
      <c r="T1823" s="419">
        <f>ROUND(+(R1823*C1823)*S1823,4)</f>
        <v>0</v>
      </c>
      <c r="U1823" s="419">
        <f>ROUND(+J1823+M1823+T1823,4)</f>
        <v>0</v>
      </c>
      <c r="V1823" s="235"/>
    </row>
    <row r="1824" spans="1:22" ht="15.75" x14ac:dyDescent="0.25">
      <c r="A1824" s="231"/>
      <c r="B1824" s="232"/>
      <c r="C1824" s="400"/>
      <c r="D1824" s="233"/>
      <c r="E1824" s="405"/>
      <c r="F1824" s="405"/>
      <c r="G1824" s="405"/>
      <c r="H1824" s="408">
        <f>ROUND(+E1824+F1824+G1824,4)</f>
        <v>0</v>
      </c>
      <c r="I1824" s="234"/>
      <c r="J1824" s="411"/>
      <c r="K1824" s="411"/>
      <c r="L1824" s="414">
        <v>0.1</v>
      </c>
      <c r="M1824" s="414">
        <f>ROUND(+L1824*C1824,4)</f>
        <v>0</v>
      </c>
      <c r="N1824" s="414"/>
      <c r="O1824" s="414"/>
      <c r="P1824" s="414"/>
      <c r="Q1824" s="419">
        <f>ROUND(+N1824+O1824+P1824,4)</f>
        <v>0</v>
      </c>
      <c r="R1824" s="419">
        <f>ROUND(IF(+Q1824-H1824&lt;=0,0,Q1824-H1824),4)</f>
        <v>0</v>
      </c>
      <c r="S1824" s="423">
        <v>0.5</v>
      </c>
      <c r="T1824" s="419">
        <f>ROUND(+(R1824*C1824)*S1824,4)</f>
        <v>0</v>
      </c>
      <c r="U1824" s="419">
        <f>ROUND(+J1824+M1824+T1824,4)</f>
        <v>0</v>
      </c>
      <c r="V1824" s="235"/>
    </row>
    <row r="1825" spans="1:22" ht="15.75" x14ac:dyDescent="0.25">
      <c r="A1825" s="231"/>
      <c r="B1825" s="232"/>
      <c r="C1825" s="400"/>
      <c r="D1825" s="233"/>
      <c r="E1825" s="405"/>
      <c r="F1825" s="405"/>
      <c r="G1825" s="405"/>
      <c r="H1825" s="408">
        <f>ROUND(+E1825+F1825+G1825,4)</f>
        <v>0</v>
      </c>
      <c r="I1825" s="234"/>
      <c r="J1825" s="411"/>
      <c r="K1825" s="411"/>
      <c r="L1825" s="414">
        <v>0.1</v>
      </c>
      <c r="M1825" s="414">
        <f>ROUND(+L1825*C1825,4)</f>
        <v>0</v>
      </c>
      <c r="N1825" s="414"/>
      <c r="O1825" s="414"/>
      <c r="P1825" s="414"/>
      <c r="Q1825" s="419">
        <f>ROUND(+N1825+O1825+P1825,4)</f>
        <v>0</v>
      </c>
      <c r="R1825" s="419">
        <f>ROUND(IF(+Q1825-H1825&lt;=0,0,Q1825-H1825),4)</f>
        <v>0</v>
      </c>
      <c r="S1825" s="423">
        <v>0.5</v>
      </c>
      <c r="T1825" s="419">
        <f>ROUND(+(R1825*C1825)*S1825,4)</f>
        <v>0</v>
      </c>
      <c r="U1825" s="419">
        <f>ROUND(+J1825+M1825+T1825,4)</f>
        <v>0</v>
      </c>
      <c r="V1825" s="235"/>
    </row>
    <row r="1826" spans="1:22" ht="15.75" x14ac:dyDescent="0.25">
      <c r="A1826" s="231"/>
      <c r="B1826" s="232"/>
      <c r="C1826" s="400"/>
      <c r="D1826" s="233"/>
      <c r="E1826" s="405"/>
      <c r="F1826" s="405"/>
      <c r="G1826" s="405"/>
      <c r="H1826" s="408">
        <f>ROUND(+E1826+F1826+G1826,4)</f>
        <v>0</v>
      </c>
      <c r="I1826" s="234"/>
      <c r="J1826" s="411"/>
      <c r="K1826" s="411"/>
      <c r="L1826" s="414">
        <v>0.1</v>
      </c>
      <c r="M1826" s="414">
        <f>ROUND(+L1826*C1826,4)</f>
        <v>0</v>
      </c>
      <c r="N1826" s="414"/>
      <c r="O1826" s="414"/>
      <c r="P1826" s="414"/>
      <c r="Q1826" s="419">
        <f>ROUND(+N1826+O1826+P1826,4)</f>
        <v>0</v>
      </c>
      <c r="R1826" s="419">
        <f>ROUND(IF(+Q1826-H1826&lt;=0,0,Q1826-H1826),4)</f>
        <v>0</v>
      </c>
      <c r="S1826" s="423">
        <v>0.5</v>
      </c>
      <c r="T1826" s="419">
        <f>ROUND(+(R1826*C1826)*S1826,4)</f>
        <v>0</v>
      </c>
      <c r="U1826" s="419">
        <f>ROUND(+J1826+M1826+T1826,4)</f>
        <v>0</v>
      </c>
      <c r="V1826" s="235"/>
    </row>
    <row r="1827" spans="1:22" ht="15.75" x14ac:dyDescent="0.25">
      <c r="A1827" s="231"/>
      <c r="B1827" s="232"/>
      <c r="C1827" s="400"/>
      <c r="D1827" s="233"/>
      <c r="E1827" s="405"/>
      <c r="F1827" s="405"/>
      <c r="G1827" s="405"/>
      <c r="H1827" s="408">
        <f>ROUND(+E1827+F1827+G1827,4)</f>
        <v>0</v>
      </c>
      <c r="I1827" s="234"/>
      <c r="J1827" s="411"/>
      <c r="K1827" s="411"/>
      <c r="L1827" s="414">
        <v>0.1</v>
      </c>
      <c r="M1827" s="414">
        <f>ROUND(+L1827*C1827,4)</f>
        <v>0</v>
      </c>
      <c r="N1827" s="414"/>
      <c r="O1827" s="414"/>
      <c r="P1827" s="414"/>
      <c r="Q1827" s="419">
        <f>ROUND(+N1827+O1827+P1827,4)</f>
        <v>0</v>
      </c>
      <c r="R1827" s="419">
        <f>ROUND(IF(+Q1827-H1827&lt;=0,0,Q1827-H1827),4)</f>
        <v>0</v>
      </c>
      <c r="S1827" s="423">
        <v>0.5</v>
      </c>
      <c r="T1827" s="419">
        <f>ROUND(+(R1827*C1827)*S1827,4)</f>
        <v>0</v>
      </c>
      <c r="U1827" s="419">
        <f>ROUND(+J1827+M1827+T1827,4)</f>
        <v>0</v>
      </c>
      <c r="V1827" s="235"/>
    </row>
    <row r="1828" spans="1:22" ht="15.75" x14ac:dyDescent="0.25">
      <c r="A1828" s="231"/>
      <c r="B1828" s="232"/>
      <c r="C1828" s="400"/>
      <c r="D1828" s="233"/>
      <c r="E1828" s="405"/>
      <c r="F1828" s="405"/>
      <c r="G1828" s="405"/>
      <c r="H1828" s="408">
        <f>ROUND(+E1828+F1828+G1828,4)</f>
        <v>0</v>
      </c>
      <c r="I1828" s="234"/>
      <c r="J1828" s="411"/>
      <c r="K1828" s="411"/>
      <c r="L1828" s="414">
        <v>0.1</v>
      </c>
      <c r="M1828" s="414">
        <f>ROUND(+L1828*C1828,4)</f>
        <v>0</v>
      </c>
      <c r="N1828" s="414"/>
      <c r="O1828" s="414"/>
      <c r="P1828" s="414"/>
      <c r="Q1828" s="419">
        <f>ROUND(+N1828+O1828+P1828,4)</f>
        <v>0</v>
      </c>
      <c r="R1828" s="419">
        <f>ROUND(IF(+Q1828-H1828&lt;=0,0,Q1828-H1828),4)</f>
        <v>0</v>
      </c>
      <c r="S1828" s="423">
        <v>0.5</v>
      </c>
      <c r="T1828" s="419">
        <f>ROUND(+(R1828*C1828)*S1828,4)</f>
        <v>0</v>
      </c>
      <c r="U1828" s="419">
        <f>ROUND(+J1828+M1828+T1828,4)</f>
        <v>0</v>
      </c>
      <c r="V1828" s="235"/>
    </row>
    <row r="1829" spans="1:22" ht="15.75" x14ac:dyDescent="0.25">
      <c r="A1829" s="231"/>
      <c r="B1829" s="232"/>
      <c r="C1829" s="400"/>
      <c r="D1829" s="233"/>
      <c r="E1829" s="405"/>
      <c r="F1829" s="405"/>
      <c r="G1829" s="405"/>
      <c r="H1829" s="408">
        <f>ROUND(+E1829+F1829+G1829,4)</f>
        <v>0</v>
      </c>
      <c r="I1829" s="234"/>
      <c r="J1829" s="411"/>
      <c r="K1829" s="411"/>
      <c r="L1829" s="414">
        <v>0.1</v>
      </c>
      <c r="M1829" s="414">
        <f>ROUND(+L1829*C1829,4)</f>
        <v>0</v>
      </c>
      <c r="N1829" s="414"/>
      <c r="O1829" s="414"/>
      <c r="P1829" s="414"/>
      <c r="Q1829" s="419">
        <f>ROUND(+N1829+O1829+P1829,4)</f>
        <v>0</v>
      </c>
      <c r="R1829" s="419">
        <f>ROUND(IF(+Q1829-H1829&lt;=0,0,Q1829-H1829),4)</f>
        <v>0</v>
      </c>
      <c r="S1829" s="423">
        <v>0.5</v>
      </c>
      <c r="T1829" s="419">
        <f>ROUND(+(R1829*C1829)*S1829,4)</f>
        <v>0</v>
      </c>
      <c r="U1829" s="419">
        <f>ROUND(+J1829+M1829+T1829,4)</f>
        <v>0</v>
      </c>
      <c r="V1829" s="235"/>
    </row>
    <row r="1830" spans="1:22" ht="15.75" x14ac:dyDescent="0.25">
      <c r="A1830" s="231"/>
      <c r="B1830" s="232"/>
      <c r="C1830" s="400"/>
      <c r="D1830" s="233"/>
      <c r="E1830" s="405"/>
      <c r="F1830" s="405"/>
      <c r="G1830" s="405"/>
      <c r="H1830" s="408">
        <f>ROUND(+E1830+F1830+G1830,4)</f>
        <v>0</v>
      </c>
      <c r="I1830" s="234"/>
      <c r="J1830" s="411"/>
      <c r="K1830" s="411"/>
      <c r="L1830" s="414">
        <v>0.1</v>
      </c>
      <c r="M1830" s="414">
        <f>ROUND(+L1830*C1830,4)</f>
        <v>0</v>
      </c>
      <c r="N1830" s="414"/>
      <c r="O1830" s="414"/>
      <c r="P1830" s="414"/>
      <c r="Q1830" s="419">
        <f>ROUND(+N1830+O1830+P1830,4)</f>
        <v>0</v>
      </c>
      <c r="R1830" s="419">
        <f>ROUND(IF(+Q1830-H1830&lt;=0,0,Q1830-H1830),4)</f>
        <v>0</v>
      </c>
      <c r="S1830" s="423">
        <v>0.5</v>
      </c>
      <c r="T1830" s="419">
        <f>ROUND(+(R1830*C1830)*S1830,4)</f>
        <v>0</v>
      </c>
      <c r="U1830" s="419">
        <f>ROUND(+J1830+M1830+T1830,4)</f>
        <v>0</v>
      </c>
      <c r="V1830" s="235"/>
    </row>
    <row r="1831" spans="1:22" ht="15.75" x14ac:dyDescent="0.25">
      <c r="A1831" s="231"/>
      <c r="B1831" s="232"/>
      <c r="C1831" s="400"/>
      <c r="D1831" s="233"/>
      <c r="E1831" s="405"/>
      <c r="F1831" s="405"/>
      <c r="G1831" s="405"/>
      <c r="H1831" s="408">
        <f>ROUND(+E1831+F1831+G1831,4)</f>
        <v>0</v>
      </c>
      <c r="I1831" s="234"/>
      <c r="J1831" s="411"/>
      <c r="K1831" s="411"/>
      <c r="L1831" s="414">
        <v>0.1</v>
      </c>
      <c r="M1831" s="414">
        <f>ROUND(+L1831*C1831,4)</f>
        <v>0</v>
      </c>
      <c r="N1831" s="414"/>
      <c r="O1831" s="414"/>
      <c r="P1831" s="414"/>
      <c r="Q1831" s="419">
        <f>ROUND(+N1831+O1831+P1831,4)</f>
        <v>0</v>
      </c>
      <c r="R1831" s="419">
        <f>ROUND(IF(+Q1831-H1831&lt;=0,0,Q1831-H1831),4)</f>
        <v>0</v>
      </c>
      <c r="S1831" s="423">
        <v>0.5</v>
      </c>
      <c r="T1831" s="419">
        <f>ROUND(+(R1831*C1831)*S1831,4)</f>
        <v>0</v>
      </c>
      <c r="U1831" s="419">
        <f>ROUND(+J1831+M1831+T1831,4)</f>
        <v>0</v>
      </c>
      <c r="V1831" s="235"/>
    </row>
    <row r="1832" spans="1:22" ht="15.75" x14ac:dyDescent="0.25">
      <c r="A1832" s="231"/>
      <c r="B1832" s="232"/>
      <c r="C1832" s="400"/>
      <c r="D1832" s="233"/>
      <c r="E1832" s="405"/>
      <c r="F1832" s="405"/>
      <c r="G1832" s="405"/>
      <c r="H1832" s="408">
        <f>ROUND(+E1832+F1832+G1832,4)</f>
        <v>0</v>
      </c>
      <c r="I1832" s="234"/>
      <c r="J1832" s="411"/>
      <c r="K1832" s="411"/>
      <c r="L1832" s="414">
        <v>0.1</v>
      </c>
      <c r="M1832" s="414">
        <f>ROUND(+L1832*C1832,4)</f>
        <v>0</v>
      </c>
      <c r="N1832" s="414"/>
      <c r="O1832" s="414"/>
      <c r="P1832" s="414"/>
      <c r="Q1832" s="419">
        <f>ROUND(+N1832+O1832+P1832,4)</f>
        <v>0</v>
      </c>
      <c r="R1832" s="419">
        <f>ROUND(IF(+Q1832-H1832&lt;=0,0,Q1832-H1832),4)</f>
        <v>0</v>
      </c>
      <c r="S1832" s="423">
        <v>0.5</v>
      </c>
      <c r="T1832" s="419">
        <f>ROUND(+(R1832*C1832)*S1832,4)</f>
        <v>0</v>
      </c>
      <c r="U1832" s="419">
        <f>ROUND(+J1832+M1832+T1832,4)</f>
        <v>0</v>
      </c>
      <c r="V1832" s="235"/>
    </row>
    <row r="1833" spans="1:22" ht="15.75" x14ac:dyDescent="0.25">
      <c r="A1833" s="231"/>
      <c r="B1833" s="232"/>
      <c r="C1833" s="400"/>
      <c r="D1833" s="233"/>
      <c r="E1833" s="405"/>
      <c r="F1833" s="405"/>
      <c r="G1833" s="405"/>
      <c r="H1833" s="408">
        <f>ROUND(+E1833+F1833+G1833,4)</f>
        <v>0</v>
      </c>
      <c r="I1833" s="234"/>
      <c r="J1833" s="411"/>
      <c r="K1833" s="411"/>
      <c r="L1833" s="414">
        <v>0.1</v>
      </c>
      <c r="M1833" s="414">
        <f>ROUND(+L1833*C1833,4)</f>
        <v>0</v>
      </c>
      <c r="N1833" s="414"/>
      <c r="O1833" s="414"/>
      <c r="P1833" s="414"/>
      <c r="Q1833" s="419">
        <f>ROUND(+N1833+O1833+P1833,4)</f>
        <v>0</v>
      </c>
      <c r="R1833" s="419">
        <f>ROUND(IF(+Q1833-H1833&lt;=0,0,Q1833-H1833),4)</f>
        <v>0</v>
      </c>
      <c r="S1833" s="423">
        <v>0.5</v>
      </c>
      <c r="T1833" s="419">
        <f>ROUND(+(R1833*C1833)*S1833,4)</f>
        <v>0</v>
      </c>
      <c r="U1833" s="419">
        <f>ROUND(+J1833+M1833+T1833,4)</f>
        <v>0</v>
      </c>
      <c r="V1833" s="235"/>
    </row>
    <row r="1834" spans="1:22" ht="15.75" x14ac:dyDescent="0.25">
      <c r="A1834" s="231"/>
      <c r="B1834" s="232"/>
      <c r="C1834" s="400"/>
      <c r="D1834" s="233"/>
      <c r="E1834" s="405"/>
      <c r="F1834" s="405"/>
      <c r="G1834" s="405"/>
      <c r="H1834" s="408">
        <f>ROUND(+E1834+F1834+G1834,4)</f>
        <v>0</v>
      </c>
      <c r="I1834" s="234"/>
      <c r="J1834" s="411"/>
      <c r="K1834" s="411"/>
      <c r="L1834" s="414">
        <v>0.1</v>
      </c>
      <c r="M1834" s="414">
        <f>ROUND(+L1834*C1834,4)</f>
        <v>0</v>
      </c>
      <c r="N1834" s="414"/>
      <c r="O1834" s="414"/>
      <c r="P1834" s="414"/>
      <c r="Q1834" s="419">
        <f>ROUND(+N1834+O1834+P1834,4)</f>
        <v>0</v>
      </c>
      <c r="R1834" s="419">
        <f>ROUND(IF(+Q1834-H1834&lt;=0,0,Q1834-H1834),4)</f>
        <v>0</v>
      </c>
      <c r="S1834" s="423">
        <v>0.5</v>
      </c>
      <c r="T1834" s="419">
        <f>ROUND(+(R1834*C1834)*S1834,4)</f>
        <v>0</v>
      </c>
      <c r="U1834" s="419">
        <f>ROUND(+J1834+M1834+T1834,4)</f>
        <v>0</v>
      </c>
      <c r="V1834" s="235"/>
    </row>
    <row r="1835" spans="1:22" ht="15.75" x14ac:dyDescent="0.25">
      <c r="A1835" s="231"/>
      <c r="B1835" s="232"/>
      <c r="C1835" s="400"/>
      <c r="D1835" s="233"/>
      <c r="E1835" s="405"/>
      <c r="F1835" s="405"/>
      <c r="G1835" s="405"/>
      <c r="H1835" s="408">
        <f>ROUND(+E1835+F1835+G1835,4)</f>
        <v>0</v>
      </c>
      <c r="I1835" s="234"/>
      <c r="J1835" s="411"/>
      <c r="K1835" s="411"/>
      <c r="L1835" s="414">
        <v>0.1</v>
      </c>
      <c r="M1835" s="414">
        <f>ROUND(+L1835*C1835,4)</f>
        <v>0</v>
      </c>
      <c r="N1835" s="414"/>
      <c r="O1835" s="414"/>
      <c r="P1835" s="414"/>
      <c r="Q1835" s="419">
        <f>ROUND(+N1835+O1835+P1835,4)</f>
        <v>0</v>
      </c>
      <c r="R1835" s="419">
        <f>ROUND(IF(+Q1835-H1835&lt;=0,0,Q1835-H1835),4)</f>
        <v>0</v>
      </c>
      <c r="S1835" s="423">
        <v>0.5</v>
      </c>
      <c r="T1835" s="419">
        <f>ROUND(+(R1835*C1835)*S1835,4)</f>
        <v>0</v>
      </c>
      <c r="U1835" s="419">
        <f>ROUND(+J1835+M1835+T1835,4)</f>
        <v>0</v>
      </c>
      <c r="V1835" s="235"/>
    </row>
    <row r="1836" spans="1:22" ht="15.75" x14ac:dyDescent="0.25">
      <c r="A1836" s="231"/>
      <c r="B1836" s="232"/>
      <c r="C1836" s="400"/>
      <c r="D1836" s="233"/>
      <c r="E1836" s="405"/>
      <c r="F1836" s="405"/>
      <c r="G1836" s="405"/>
      <c r="H1836" s="408">
        <f>ROUND(+E1836+F1836+G1836,4)</f>
        <v>0</v>
      </c>
      <c r="I1836" s="234"/>
      <c r="J1836" s="411"/>
      <c r="K1836" s="411"/>
      <c r="L1836" s="414">
        <v>0.1</v>
      </c>
      <c r="M1836" s="414">
        <f>ROUND(+L1836*C1836,4)</f>
        <v>0</v>
      </c>
      <c r="N1836" s="414"/>
      <c r="O1836" s="414"/>
      <c r="P1836" s="414"/>
      <c r="Q1836" s="419">
        <f>ROUND(+N1836+O1836+P1836,4)</f>
        <v>0</v>
      </c>
      <c r="R1836" s="419">
        <f>ROUND(IF(+Q1836-H1836&lt;=0,0,Q1836-H1836),4)</f>
        <v>0</v>
      </c>
      <c r="S1836" s="423">
        <v>0.5</v>
      </c>
      <c r="T1836" s="419">
        <f>ROUND(+(R1836*C1836)*S1836,4)</f>
        <v>0</v>
      </c>
      <c r="U1836" s="419">
        <f>ROUND(+J1836+M1836+T1836,4)</f>
        <v>0</v>
      </c>
      <c r="V1836" s="235"/>
    </row>
    <row r="1837" spans="1:22" ht="15.75" x14ac:dyDescent="0.25">
      <c r="A1837" s="231"/>
      <c r="B1837" s="232"/>
      <c r="C1837" s="400"/>
      <c r="D1837" s="233"/>
      <c r="E1837" s="405"/>
      <c r="F1837" s="405"/>
      <c r="G1837" s="405"/>
      <c r="H1837" s="408">
        <f>ROUND(+E1837+F1837+G1837,4)</f>
        <v>0</v>
      </c>
      <c r="I1837" s="234"/>
      <c r="J1837" s="411"/>
      <c r="K1837" s="411"/>
      <c r="L1837" s="414">
        <v>0.1</v>
      </c>
      <c r="M1837" s="414">
        <f>ROUND(+L1837*C1837,4)</f>
        <v>0</v>
      </c>
      <c r="N1837" s="414"/>
      <c r="O1837" s="414"/>
      <c r="P1837" s="414"/>
      <c r="Q1837" s="419">
        <f>ROUND(+N1837+O1837+P1837,4)</f>
        <v>0</v>
      </c>
      <c r="R1837" s="419">
        <f>ROUND(IF(+Q1837-H1837&lt;=0,0,Q1837-H1837),4)</f>
        <v>0</v>
      </c>
      <c r="S1837" s="423">
        <v>0.5</v>
      </c>
      <c r="T1837" s="419">
        <f>ROUND(+(R1837*C1837)*S1837,4)</f>
        <v>0</v>
      </c>
      <c r="U1837" s="419">
        <f>ROUND(+J1837+M1837+T1837,4)</f>
        <v>0</v>
      </c>
      <c r="V1837" s="235"/>
    </row>
    <row r="1838" spans="1:22" ht="15.75" x14ac:dyDescent="0.25">
      <c r="A1838" s="231"/>
      <c r="B1838" s="232"/>
      <c r="C1838" s="400"/>
      <c r="D1838" s="233"/>
      <c r="E1838" s="405"/>
      <c r="F1838" s="405"/>
      <c r="G1838" s="405"/>
      <c r="H1838" s="408">
        <f>ROUND(+E1838+F1838+G1838,4)</f>
        <v>0</v>
      </c>
      <c r="I1838" s="234"/>
      <c r="J1838" s="411"/>
      <c r="K1838" s="411"/>
      <c r="L1838" s="414">
        <v>0.1</v>
      </c>
      <c r="M1838" s="414">
        <f>ROUND(+L1838*C1838,4)</f>
        <v>0</v>
      </c>
      <c r="N1838" s="414"/>
      <c r="O1838" s="414"/>
      <c r="P1838" s="414"/>
      <c r="Q1838" s="419">
        <f>ROUND(+N1838+O1838+P1838,4)</f>
        <v>0</v>
      </c>
      <c r="R1838" s="419">
        <f>ROUND(IF(+Q1838-H1838&lt;=0,0,Q1838-H1838),4)</f>
        <v>0</v>
      </c>
      <c r="S1838" s="423">
        <v>0.5</v>
      </c>
      <c r="T1838" s="419">
        <f>ROUND(+(R1838*C1838)*S1838,4)</f>
        <v>0</v>
      </c>
      <c r="U1838" s="419">
        <f>ROUND(+J1838+M1838+T1838,4)</f>
        <v>0</v>
      </c>
      <c r="V1838" s="235"/>
    </row>
    <row r="1839" spans="1:22" ht="15.75" x14ac:dyDescent="0.25">
      <c r="A1839" s="231"/>
      <c r="B1839" s="232"/>
      <c r="C1839" s="400"/>
      <c r="D1839" s="233"/>
      <c r="E1839" s="405"/>
      <c r="F1839" s="405"/>
      <c r="G1839" s="405"/>
      <c r="H1839" s="408">
        <f>ROUND(+E1839+F1839+G1839,4)</f>
        <v>0</v>
      </c>
      <c r="I1839" s="234"/>
      <c r="J1839" s="411"/>
      <c r="K1839" s="411"/>
      <c r="L1839" s="414">
        <v>0.1</v>
      </c>
      <c r="M1839" s="414">
        <f>ROUND(+L1839*C1839,4)</f>
        <v>0</v>
      </c>
      <c r="N1839" s="414"/>
      <c r="O1839" s="414"/>
      <c r="P1839" s="414"/>
      <c r="Q1839" s="419">
        <f>ROUND(+N1839+O1839+P1839,4)</f>
        <v>0</v>
      </c>
      <c r="R1839" s="419">
        <f>ROUND(IF(+Q1839-H1839&lt;=0,0,Q1839-H1839),4)</f>
        <v>0</v>
      </c>
      <c r="S1839" s="423">
        <v>0.5</v>
      </c>
      <c r="T1839" s="419">
        <f>ROUND(+(R1839*C1839)*S1839,4)</f>
        <v>0</v>
      </c>
      <c r="U1839" s="419">
        <f>ROUND(+J1839+M1839+T1839,4)</f>
        <v>0</v>
      </c>
      <c r="V1839" s="235"/>
    </row>
    <row r="1840" spans="1:22" ht="15.75" x14ac:dyDescent="0.25">
      <c r="A1840" s="231"/>
      <c r="B1840" s="232"/>
      <c r="C1840" s="400"/>
      <c r="D1840" s="233"/>
      <c r="E1840" s="405"/>
      <c r="F1840" s="405"/>
      <c r="G1840" s="405"/>
      <c r="H1840" s="408">
        <f>ROUND(+E1840+F1840+G1840,4)</f>
        <v>0</v>
      </c>
      <c r="I1840" s="234"/>
      <c r="J1840" s="411"/>
      <c r="K1840" s="411"/>
      <c r="L1840" s="414">
        <v>0.1</v>
      </c>
      <c r="M1840" s="414">
        <f>ROUND(+L1840*C1840,4)</f>
        <v>0</v>
      </c>
      <c r="N1840" s="414"/>
      <c r="O1840" s="414"/>
      <c r="P1840" s="414"/>
      <c r="Q1840" s="419">
        <f>ROUND(+N1840+O1840+P1840,4)</f>
        <v>0</v>
      </c>
      <c r="R1840" s="419">
        <f>ROUND(IF(+Q1840-H1840&lt;=0,0,Q1840-H1840),4)</f>
        <v>0</v>
      </c>
      <c r="S1840" s="423">
        <v>0.5</v>
      </c>
      <c r="T1840" s="419">
        <f>ROUND(+(R1840*C1840)*S1840,4)</f>
        <v>0</v>
      </c>
      <c r="U1840" s="419">
        <f>ROUND(+J1840+M1840+T1840,4)</f>
        <v>0</v>
      </c>
      <c r="V1840" s="235"/>
    </row>
    <row r="1841" spans="1:22" ht="15.75" x14ac:dyDescent="0.25">
      <c r="A1841" s="231"/>
      <c r="B1841" s="232"/>
      <c r="C1841" s="400"/>
      <c r="D1841" s="233"/>
      <c r="E1841" s="405"/>
      <c r="F1841" s="405"/>
      <c r="G1841" s="405"/>
      <c r="H1841" s="408">
        <f>ROUND(+E1841+F1841+G1841,4)</f>
        <v>0</v>
      </c>
      <c r="I1841" s="234"/>
      <c r="J1841" s="411"/>
      <c r="K1841" s="411"/>
      <c r="L1841" s="414">
        <v>0.1</v>
      </c>
      <c r="M1841" s="414">
        <f>ROUND(+L1841*C1841,4)</f>
        <v>0</v>
      </c>
      <c r="N1841" s="414"/>
      <c r="O1841" s="414"/>
      <c r="P1841" s="414"/>
      <c r="Q1841" s="419">
        <f>ROUND(+N1841+O1841+P1841,4)</f>
        <v>0</v>
      </c>
      <c r="R1841" s="419">
        <f>ROUND(IF(+Q1841-H1841&lt;=0,0,Q1841-H1841),4)</f>
        <v>0</v>
      </c>
      <c r="S1841" s="423">
        <v>0.5</v>
      </c>
      <c r="T1841" s="419">
        <f>ROUND(+(R1841*C1841)*S1841,4)</f>
        <v>0</v>
      </c>
      <c r="U1841" s="419">
        <f>ROUND(+J1841+M1841+T1841,4)</f>
        <v>0</v>
      </c>
      <c r="V1841" s="235"/>
    </row>
    <row r="1842" spans="1:22" ht="15.75" x14ac:dyDescent="0.25">
      <c r="A1842" s="231"/>
      <c r="B1842" s="232"/>
      <c r="C1842" s="400"/>
      <c r="D1842" s="233"/>
      <c r="E1842" s="405"/>
      <c r="F1842" s="405"/>
      <c r="G1842" s="405"/>
      <c r="H1842" s="408">
        <f>ROUND(+E1842+F1842+G1842,4)</f>
        <v>0</v>
      </c>
      <c r="I1842" s="234"/>
      <c r="J1842" s="411"/>
      <c r="K1842" s="411"/>
      <c r="L1842" s="414">
        <v>0.1</v>
      </c>
      <c r="M1842" s="414">
        <f>ROUND(+L1842*C1842,4)</f>
        <v>0</v>
      </c>
      <c r="N1842" s="414"/>
      <c r="O1842" s="414"/>
      <c r="P1842" s="414"/>
      <c r="Q1842" s="419">
        <f>ROUND(+N1842+O1842+P1842,4)</f>
        <v>0</v>
      </c>
      <c r="R1842" s="419">
        <f>ROUND(IF(+Q1842-H1842&lt;=0,0,Q1842-H1842),4)</f>
        <v>0</v>
      </c>
      <c r="S1842" s="423">
        <v>0.5</v>
      </c>
      <c r="T1842" s="419">
        <f>ROUND(+(R1842*C1842)*S1842,4)</f>
        <v>0</v>
      </c>
      <c r="U1842" s="419">
        <f>ROUND(+J1842+M1842+T1842,4)</f>
        <v>0</v>
      </c>
      <c r="V1842" s="235"/>
    </row>
    <row r="1843" spans="1:22" ht="15.75" x14ac:dyDescent="0.25">
      <c r="A1843" s="231"/>
      <c r="B1843" s="232"/>
      <c r="C1843" s="400"/>
      <c r="D1843" s="233"/>
      <c r="E1843" s="405"/>
      <c r="F1843" s="405"/>
      <c r="G1843" s="405"/>
      <c r="H1843" s="408">
        <f>ROUND(+E1843+F1843+G1843,4)</f>
        <v>0</v>
      </c>
      <c r="I1843" s="234"/>
      <c r="J1843" s="411"/>
      <c r="K1843" s="411"/>
      <c r="L1843" s="414">
        <v>0.1</v>
      </c>
      <c r="M1843" s="414">
        <f>ROUND(+L1843*C1843,4)</f>
        <v>0</v>
      </c>
      <c r="N1843" s="414"/>
      <c r="O1843" s="414"/>
      <c r="P1843" s="414"/>
      <c r="Q1843" s="419">
        <f>ROUND(+N1843+O1843+P1843,4)</f>
        <v>0</v>
      </c>
      <c r="R1843" s="419">
        <f>ROUND(IF(+Q1843-H1843&lt;=0,0,Q1843-H1843),4)</f>
        <v>0</v>
      </c>
      <c r="S1843" s="423">
        <v>0.5</v>
      </c>
      <c r="T1843" s="419">
        <f>ROUND(+(R1843*C1843)*S1843,4)</f>
        <v>0</v>
      </c>
      <c r="U1843" s="419">
        <f>ROUND(+J1843+M1843+T1843,4)</f>
        <v>0</v>
      </c>
      <c r="V1843" s="235"/>
    </row>
    <row r="1844" spans="1:22" ht="15.75" x14ac:dyDescent="0.25">
      <c r="A1844" s="231"/>
      <c r="B1844" s="232"/>
      <c r="C1844" s="400"/>
      <c r="D1844" s="233"/>
      <c r="E1844" s="405"/>
      <c r="F1844" s="405"/>
      <c r="G1844" s="405"/>
      <c r="H1844" s="408">
        <f>ROUND(+E1844+F1844+G1844,4)</f>
        <v>0</v>
      </c>
      <c r="I1844" s="234"/>
      <c r="J1844" s="411"/>
      <c r="K1844" s="411"/>
      <c r="L1844" s="414">
        <v>0.1</v>
      </c>
      <c r="M1844" s="414">
        <f>ROUND(+L1844*C1844,4)</f>
        <v>0</v>
      </c>
      <c r="N1844" s="414"/>
      <c r="O1844" s="414"/>
      <c r="P1844" s="414"/>
      <c r="Q1844" s="419">
        <f>ROUND(+N1844+O1844+P1844,4)</f>
        <v>0</v>
      </c>
      <c r="R1844" s="419">
        <f>ROUND(IF(+Q1844-H1844&lt;=0,0,Q1844-H1844),4)</f>
        <v>0</v>
      </c>
      <c r="S1844" s="423">
        <v>0.5</v>
      </c>
      <c r="T1844" s="419">
        <f>ROUND(+(R1844*C1844)*S1844,4)</f>
        <v>0</v>
      </c>
      <c r="U1844" s="419">
        <f>ROUND(+J1844+M1844+T1844,4)</f>
        <v>0</v>
      </c>
      <c r="V1844" s="235"/>
    </row>
    <row r="1845" spans="1:22" ht="15.75" x14ac:dyDescent="0.25">
      <c r="A1845" s="231"/>
      <c r="B1845" s="232"/>
      <c r="C1845" s="400"/>
      <c r="D1845" s="233"/>
      <c r="E1845" s="405"/>
      <c r="F1845" s="405"/>
      <c r="G1845" s="405"/>
      <c r="H1845" s="408">
        <f>ROUND(+E1845+F1845+G1845,4)</f>
        <v>0</v>
      </c>
      <c r="I1845" s="234"/>
      <c r="J1845" s="411"/>
      <c r="K1845" s="411"/>
      <c r="L1845" s="414">
        <v>0.1</v>
      </c>
      <c r="M1845" s="414">
        <f>ROUND(+L1845*C1845,4)</f>
        <v>0</v>
      </c>
      <c r="N1845" s="414"/>
      <c r="O1845" s="414"/>
      <c r="P1845" s="414"/>
      <c r="Q1845" s="419">
        <f>ROUND(+N1845+O1845+P1845,4)</f>
        <v>0</v>
      </c>
      <c r="R1845" s="419">
        <f>ROUND(IF(+Q1845-H1845&lt;=0,0,Q1845-H1845),4)</f>
        <v>0</v>
      </c>
      <c r="S1845" s="423">
        <v>0.5</v>
      </c>
      <c r="T1845" s="419">
        <f>ROUND(+(R1845*C1845)*S1845,4)</f>
        <v>0</v>
      </c>
      <c r="U1845" s="419">
        <f>ROUND(+J1845+M1845+T1845,4)</f>
        <v>0</v>
      </c>
      <c r="V1845" s="235"/>
    </row>
    <row r="1846" spans="1:22" ht="15.75" x14ac:dyDescent="0.25">
      <c r="A1846" s="231"/>
      <c r="B1846" s="232"/>
      <c r="C1846" s="400"/>
      <c r="D1846" s="233"/>
      <c r="E1846" s="405"/>
      <c r="F1846" s="405"/>
      <c r="G1846" s="405"/>
      <c r="H1846" s="408">
        <f>ROUND(+E1846+F1846+G1846,4)</f>
        <v>0</v>
      </c>
      <c r="I1846" s="234"/>
      <c r="J1846" s="411"/>
      <c r="K1846" s="411"/>
      <c r="L1846" s="414">
        <v>0.1</v>
      </c>
      <c r="M1846" s="414">
        <f>ROUND(+L1846*C1846,4)</f>
        <v>0</v>
      </c>
      <c r="N1846" s="414"/>
      <c r="O1846" s="414"/>
      <c r="P1846" s="414"/>
      <c r="Q1846" s="419">
        <f>ROUND(+N1846+O1846+P1846,4)</f>
        <v>0</v>
      </c>
      <c r="R1846" s="419">
        <f>ROUND(IF(+Q1846-H1846&lt;=0,0,Q1846-H1846),4)</f>
        <v>0</v>
      </c>
      <c r="S1846" s="423">
        <v>0.5</v>
      </c>
      <c r="T1846" s="419">
        <f>ROUND(+(R1846*C1846)*S1846,4)</f>
        <v>0</v>
      </c>
      <c r="U1846" s="419">
        <f>ROUND(+J1846+M1846+T1846,4)</f>
        <v>0</v>
      </c>
      <c r="V1846" s="235"/>
    </row>
    <row r="1847" spans="1:22" ht="15.75" x14ac:dyDescent="0.25">
      <c r="A1847" s="231"/>
      <c r="B1847" s="232"/>
      <c r="C1847" s="400"/>
      <c r="D1847" s="233"/>
      <c r="E1847" s="405"/>
      <c r="F1847" s="405"/>
      <c r="G1847" s="405"/>
      <c r="H1847" s="408">
        <f>ROUND(+E1847+F1847+G1847,4)</f>
        <v>0</v>
      </c>
      <c r="I1847" s="234"/>
      <c r="J1847" s="411"/>
      <c r="K1847" s="411"/>
      <c r="L1847" s="414">
        <v>0.1</v>
      </c>
      <c r="M1847" s="414">
        <f>ROUND(+L1847*C1847,4)</f>
        <v>0</v>
      </c>
      <c r="N1847" s="414"/>
      <c r="O1847" s="414"/>
      <c r="P1847" s="414"/>
      <c r="Q1847" s="419">
        <f>ROUND(+N1847+O1847+P1847,4)</f>
        <v>0</v>
      </c>
      <c r="R1847" s="419">
        <f>ROUND(IF(+Q1847-H1847&lt;=0,0,Q1847-H1847),4)</f>
        <v>0</v>
      </c>
      <c r="S1847" s="423">
        <v>0.5</v>
      </c>
      <c r="T1847" s="419">
        <f>ROUND(+(R1847*C1847)*S1847,4)</f>
        <v>0</v>
      </c>
      <c r="U1847" s="419">
        <f>ROUND(+J1847+M1847+T1847,4)</f>
        <v>0</v>
      </c>
      <c r="V1847" s="235"/>
    </row>
    <row r="1848" spans="1:22" ht="15.75" x14ac:dyDescent="0.25">
      <c r="A1848" s="231"/>
      <c r="B1848" s="232"/>
      <c r="C1848" s="400"/>
      <c r="D1848" s="233"/>
      <c r="E1848" s="405"/>
      <c r="F1848" s="405"/>
      <c r="G1848" s="405"/>
      <c r="H1848" s="408">
        <f>ROUND(+E1848+F1848+G1848,4)</f>
        <v>0</v>
      </c>
      <c r="I1848" s="234"/>
      <c r="J1848" s="411"/>
      <c r="K1848" s="411"/>
      <c r="L1848" s="414">
        <v>0.1</v>
      </c>
      <c r="M1848" s="414">
        <f>ROUND(+L1848*C1848,4)</f>
        <v>0</v>
      </c>
      <c r="N1848" s="414"/>
      <c r="O1848" s="414"/>
      <c r="P1848" s="414"/>
      <c r="Q1848" s="419">
        <f>ROUND(+N1848+O1848+P1848,4)</f>
        <v>0</v>
      </c>
      <c r="R1848" s="419">
        <f>ROUND(IF(+Q1848-H1848&lt;=0,0,Q1848-H1848),4)</f>
        <v>0</v>
      </c>
      <c r="S1848" s="423">
        <v>0.5</v>
      </c>
      <c r="T1848" s="419">
        <f>ROUND(+(R1848*C1848)*S1848,4)</f>
        <v>0</v>
      </c>
      <c r="U1848" s="419">
        <f>ROUND(+J1848+M1848+T1848,4)</f>
        <v>0</v>
      </c>
      <c r="V1848" s="235"/>
    </row>
    <row r="1849" spans="1:22" ht="15.75" x14ac:dyDescent="0.25">
      <c r="A1849" s="231"/>
      <c r="B1849" s="232"/>
      <c r="C1849" s="400"/>
      <c r="D1849" s="233"/>
      <c r="E1849" s="405"/>
      <c r="F1849" s="405"/>
      <c r="G1849" s="405"/>
      <c r="H1849" s="408">
        <f>ROUND(+E1849+F1849+G1849,4)</f>
        <v>0</v>
      </c>
      <c r="I1849" s="234"/>
      <c r="J1849" s="411"/>
      <c r="K1849" s="411"/>
      <c r="L1849" s="414">
        <v>0.1</v>
      </c>
      <c r="M1849" s="414">
        <f>ROUND(+L1849*C1849,4)</f>
        <v>0</v>
      </c>
      <c r="N1849" s="414"/>
      <c r="O1849" s="414"/>
      <c r="P1849" s="414"/>
      <c r="Q1849" s="419">
        <f>ROUND(+N1849+O1849+P1849,4)</f>
        <v>0</v>
      </c>
      <c r="R1849" s="419">
        <f>ROUND(IF(+Q1849-H1849&lt;=0,0,Q1849-H1849),4)</f>
        <v>0</v>
      </c>
      <c r="S1849" s="423">
        <v>0.5</v>
      </c>
      <c r="T1849" s="419">
        <f>ROUND(+(R1849*C1849)*S1849,4)</f>
        <v>0</v>
      </c>
      <c r="U1849" s="419">
        <f>ROUND(+J1849+M1849+T1849,4)</f>
        <v>0</v>
      </c>
      <c r="V1849" s="235"/>
    </row>
    <row r="1850" spans="1:22" ht="15.75" x14ac:dyDescent="0.25">
      <c r="A1850" s="231"/>
      <c r="B1850" s="232"/>
      <c r="C1850" s="400"/>
      <c r="D1850" s="233"/>
      <c r="E1850" s="405"/>
      <c r="F1850" s="405"/>
      <c r="G1850" s="405"/>
      <c r="H1850" s="408">
        <f>ROUND(+E1850+F1850+G1850,4)</f>
        <v>0</v>
      </c>
      <c r="I1850" s="234"/>
      <c r="J1850" s="411"/>
      <c r="K1850" s="411"/>
      <c r="L1850" s="414">
        <v>0.1</v>
      </c>
      <c r="M1850" s="414">
        <f>ROUND(+L1850*C1850,4)</f>
        <v>0</v>
      </c>
      <c r="N1850" s="414"/>
      <c r="O1850" s="414"/>
      <c r="P1850" s="414"/>
      <c r="Q1850" s="419">
        <f>ROUND(+N1850+O1850+P1850,4)</f>
        <v>0</v>
      </c>
      <c r="R1850" s="419">
        <f>ROUND(IF(+Q1850-H1850&lt;=0,0,Q1850-H1850),4)</f>
        <v>0</v>
      </c>
      <c r="S1850" s="423">
        <v>0.5</v>
      </c>
      <c r="T1850" s="419">
        <f>ROUND(+(R1850*C1850)*S1850,4)</f>
        <v>0</v>
      </c>
      <c r="U1850" s="419">
        <f>ROUND(+J1850+M1850+T1850,4)</f>
        <v>0</v>
      </c>
      <c r="V1850" s="235"/>
    </row>
    <row r="1851" spans="1:22" ht="15.75" x14ac:dyDescent="0.25">
      <c r="A1851" s="231"/>
      <c r="B1851" s="232"/>
      <c r="C1851" s="400"/>
      <c r="D1851" s="233"/>
      <c r="E1851" s="405"/>
      <c r="F1851" s="405"/>
      <c r="G1851" s="405"/>
      <c r="H1851" s="408">
        <f>ROUND(+E1851+F1851+G1851,4)</f>
        <v>0</v>
      </c>
      <c r="I1851" s="234"/>
      <c r="J1851" s="411"/>
      <c r="K1851" s="411"/>
      <c r="L1851" s="414">
        <v>0.1</v>
      </c>
      <c r="M1851" s="414">
        <f>ROUND(+L1851*C1851,4)</f>
        <v>0</v>
      </c>
      <c r="N1851" s="414"/>
      <c r="O1851" s="414"/>
      <c r="P1851" s="414"/>
      <c r="Q1851" s="419">
        <f>ROUND(+N1851+O1851+P1851,4)</f>
        <v>0</v>
      </c>
      <c r="R1851" s="419">
        <f>ROUND(IF(+Q1851-H1851&lt;=0,0,Q1851-H1851),4)</f>
        <v>0</v>
      </c>
      <c r="S1851" s="423">
        <v>0.5</v>
      </c>
      <c r="T1851" s="419">
        <f>ROUND(+(R1851*C1851)*S1851,4)</f>
        <v>0</v>
      </c>
      <c r="U1851" s="419">
        <f>ROUND(+J1851+M1851+T1851,4)</f>
        <v>0</v>
      </c>
      <c r="V1851" s="235"/>
    </row>
    <row r="1852" spans="1:22" ht="15.75" x14ac:dyDescent="0.25">
      <c r="A1852" s="231"/>
      <c r="B1852" s="232"/>
      <c r="C1852" s="400"/>
      <c r="D1852" s="233"/>
      <c r="E1852" s="405"/>
      <c r="F1852" s="405"/>
      <c r="G1852" s="405"/>
      <c r="H1852" s="408">
        <f>ROUND(+E1852+F1852+G1852,4)</f>
        <v>0</v>
      </c>
      <c r="I1852" s="234"/>
      <c r="J1852" s="411"/>
      <c r="K1852" s="411"/>
      <c r="L1852" s="414">
        <v>0.1</v>
      </c>
      <c r="M1852" s="414">
        <f>ROUND(+L1852*C1852,4)</f>
        <v>0</v>
      </c>
      <c r="N1852" s="414"/>
      <c r="O1852" s="414"/>
      <c r="P1852" s="414"/>
      <c r="Q1852" s="419">
        <f>ROUND(+N1852+O1852+P1852,4)</f>
        <v>0</v>
      </c>
      <c r="R1852" s="419">
        <f>ROUND(IF(+Q1852-H1852&lt;=0,0,Q1852-H1852),4)</f>
        <v>0</v>
      </c>
      <c r="S1852" s="423">
        <v>0.5</v>
      </c>
      <c r="T1852" s="419">
        <f>ROUND(+(R1852*C1852)*S1852,4)</f>
        <v>0</v>
      </c>
      <c r="U1852" s="419">
        <f>ROUND(+J1852+M1852+T1852,4)</f>
        <v>0</v>
      </c>
      <c r="V1852" s="235"/>
    </row>
    <row r="1853" spans="1:22" ht="15.75" x14ac:dyDescent="0.25">
      <c r="A1853" s="231"/>
      <c r="B1853" s="232"/>
      <c r="C1853" s="400"/>
      <c r="D1853" s="233"/>
      <c r="E1853" s="405"/>
      <c r="F1853" s="405"/>
      <c r="G1853" s="405"/>
      <c r="H1853" s="408">
        <f>ROUND(+E1853+F1853+G1853,4)</f>
        <v>0</v>
      </c>
      <c r="I1853" s="234"/>
      <c r="J1853" s="411"/>
      <c r="K1853" s="411"/>
      <c r="L1853" s="414">
        <v>0.1</v>
      </c>
      <c r="M1853" s="414">
        <f>ROUND(+L1853*C1853,4)</f>
        <v>0</v>
      </c>
      <c r="N1853" s="414"/>
      <c r="O1853" s="414"/>
      <c r="P1853" s="414"/>
      <c r="Q1853" s="419">
        <f>ROUND(+N1853+O1853+P1853,4)</f>
        <v>0</v>
      </c>
      <c r="R1853" s="419">
        <f>ROUND(IF(+Q1853-H1853&lt;=0,0,Q1853-H1853),4)</f>
        <v>0</v>
      </c>
      <c r="S1853" s="423">
        <v>0.5</v>
      </c>
      <c r="T1853" s="419">
        <f>ROUND(+(R1853*C1853)*S1853,4)</f>
        <v>0</v>
      </c>
      <c r="U1853" s="419">
        <f>ROUND(+J1853+M1853+T1853,4)</f>
        <v>0</v>
      </c>
      <c r="V1853" s="235"/>
    </row>
    <row r="1854" spans="1:22" ht="15.75" x14ac:dyDescent="0.25">
      <c r="A1854" s="231"/>
      <c r="B1854" s="232"/>
      <c r="C1854" s="400"/>
      <c r="D1854" s="233"/>
      <c r="E1854" s="405"/>
      <c r="F1854" s="405"/>
      <c r="G1854" s="405"/>
      <c r="H1854" s="408">
        <f>ROUND(+E1854+F1854+G1854,4)</f>
        <v>0</v>
      </c>
      <c r="I1854" s="234"/>
      <c r="J1854" s="411"/>
      <c r="K1854" s="411"/>
      <c r="L1854" s="414">
        <v>0.1</v>
      </c>
      <c r="M1854" s="414">
        <f>ROUND(+L1854*C1854,4)</f>
        <v>0</v>
      </c>
      <c r="N1854" s="414"/>
      <c r="O1854" s="414"/>
      <c r="P1854" s="414"/>
      <c r="Q1854" s="419">
        <f>ROUND(+N1854+O1854+P1854,4)</f>
        <v>0</v>
      </c>
      <c r="R1854" s="419">
        <f>ROUND(IF(+Q1854-H1854&lt;=0,0,Q1854-H1854),4)</f>
        <v>0</v>
      </c>
      <c r="S1854" s="423">
        <v>0.5</v>
      </c>
      <c r="T1854" s="419">
        <f>ROUND(+(R1854*C1854)*S1854,4)</f>
        <v>0</v>
      </c>
      <c r="U1854" s="419">
        <f>ROUND(+J1854+M1854+T1854,4)</f>
        <v>0</v>
      </c>
      <c r="V1854" s="235"/>
    </row>
    <row r="1855" spans="1:22" ht="15.75" x14ac:dyDescent="0.25">
      <c r="A1855" s="231"/>
      <c r="B1855" s="232"/>
      <c r="C1855" s="400"/>
      <c r="D1855" s="233"/>
      <c r="E1855" s="405"/>
      <c r="F1855" s="405"/>
      <c r="G1855" s="405"/>
      <c r="H1855" s="408">
        <f>ROUND(+E1855+F1855+G1855,4)</f>
        <v>0</v>
      </c>
      <c r="I1855" s="234"/>
      <c r="J1855" s="411"/>
      <c r="K1855" s="411"/>
      <c r="L1855" s="414">
        <v>0.1</v>
      </c>
      <c r="M1855" s="414">
        <f>ROUND(+L1855*C1855,4)</f>
        <v>0</v>
      </c>
      <c r="N1855" s="414"/>
      <c r="O1855" s="414"/>
      <c r="P1855" s="414"/>
      <c r="Q1855" s="419">
        <f>ROUND(+N1855+O1855+P1855,4)</f>
        <v>0</v>
      </c>
      <c r="R1855" s="419">
        <f>ROUND(IF(+Q1855-H1855&lt;=0,0,Q1855-H1855),4)</f>
        <v>0</v>
      </c>
      <c r="S1855" s="423">
        <v>0.5</v>
      </c>
      <c r="T1855" s="419">
        <f>ROUND(+(R1855*C1855)*S1855,4)</f>
        <v>0</v>
      </c>
      <c r="U1855" s="419">
        <f>ROUND(+J1855+M1855+T1855,4)</f>
        <v>0</v>
      </c>
      <c r="V1855" s="235"/>
    </row>
    <row r="1856" spans="1:22" ht="15.75" x14ac:dyDescent="0.25">
      <c r="A1856" s="231"/>
      <c r="B1856" s="232"/>
      <c r="C1856" s="400"/>
      <c r="D1856" s="233"/>
      <c r="E1856" s="405"/>
      <c r="F1856" s="405"/>
      <c r="G1856" s="405"/>
      <c r="H1856" s="408">
        <f>ROUND(+E1856+F1856+G1856,4)</f>
        <v>0</v>
      </c>
      <c r="I1856" s="234"/>
      <c r="J1856" s="411"/>
      <c r="K1856" s="411"/>
      <c r="L1856" s="414">
        <v>0.1</v>
      </c>
      <c r="M1856" s="414">
        <f>ROUND(+L1856*C1856,4)</f>
        <v>0</v>
      </c>
      <c r="N1856" s="414"/>
      <c r="O1856" s="414"/>
      <c r="P1856" s="414"/>
      <c r="Q1856" s="419">
        <f>ROUND(+N1856+O1856+P1856,4)</f>
        <v>0</v>
      </c>
      <c r="R1856" s="419">
        <f>ROUND(IF(+Q1856-H1856&lt;=0,0,Q1856-H1856),4)</f>
        <v>0</v>
      </c>
      <c r="S1856" s="423">
        <v>0.5</v>
      </c>
      <c r="T1856" s="419">
        <f>ROUND(+(R1856*C1856)*S1856,4)</f>
        <v>0</v>
      </c>
      <c r="U1856" s="419">
        <f>ROUND(+J1856+M1856+T1856,4)</f>
        <v>0</v>
      </c>
      <c r="V1856" s="235"/>
    </row>
    <row r="1857" spans="1:22" ht="15.75" x14ac:dyDescent="0.25">
      <c r="A1857" s="231"/>
      <c r="B1857" s="232"/>
      <c r="C1857" s="400"/>
      <c r="D1857" s="233"/>
      <c r="E1857" s="405"/>
      <c r="F1857" s="405"/>
      <c r="G1857" s="405"/>
      <c r="H1857" s="408">
        <f>ROUND(+E1857+F1857+G1857,4)</f>
        <v>0</v>
      </c>
      <c r="I1857" s="234"/>
      <c r="J1857" s="411"/>
      <c r="K1857" s="411"/>
      <c r="L1857" s="414">
        <v>0.1</v>
      </c>
      <c r="M1857" s="414">
        <f>ROUND(+L1857*C1857,4)</f>
        <v>0</v>
      </c>
      <c r="N1857" s="414"/>
      <c r="O1857" s="414"/>
      <c r="P1857" s="414"/>
      <c r="Q1857" s="419">
        <f>ROUND(+N1857+O1857+P1857,4)</f>
        <v>0</v>
      </c>
      <c r="R1857" s="419">
        <f>ROUND(IF(+Q1857-H1857&lt;=0,0,Q1857-H1857),4)</f>
        <v>0</v>
      </c>
      <c r="S1857" s="423">
        <v>0.5</v>
      </c>
      <c r="T1857" s="419">
        <f>ROUND(+(R1857*C1857)*S1857,4)</f>
        <v>0</v>
      </c>
      <c r="U1857" s="419">
        <f>ROUND(+J1857+M1857+T1857,4)</f>
        <v>0</v>
      </c>
      <c r="V1857" s="235"/>
    </row>
    <row r="1858" spans="1:22" ht="15.75" x14ac:dyDescent="0.25">
      <c r="A1858" s="231"/>
      <c r="B1858" s="232"/>
      <c r="C1858" s="400"/>
      <c r="D1858" s="233"/>
      <c r="E1858" s="405"/>
      <c r="F1858" s="405"/>
      <c r="G1858" s="405"/>
      <c r="H1858" s="408">
        <f>ROUND(+E1858+F1858+G1858,4)</f>
        <v>0</v>
      </c>
      <c r="I1858" s="234"/>
      <c r="J1858" s="411"/>
      <c r="K1858" s="411"/>
      <c r="L1858" s="414">
        <v>0.1</v>
      </c>
      <c r="M1858" s="414">
        <f>ROUND(+L1858*C1858,4)</f>
        <v>0</v>
      </c>
      <c r="N1858" s="414"/>
      <c r="O1858" s="414"/>
      <c r="P1858" s="414"/>
      <c r="Q1858" s="419">
        <f>ROUND(+N1858+O1858+P1858,4)</f>
        <v>0</v>
      </c>
      <c r="R1858" s="419">
        <f>ROUND(IF(+Q1858-H1858&lt;=0,0,Q1858-H1858),4)</f>
        <v>0</v>
      </c>
      <c r="S1858" s="423">
        <v>0.5</v>
      </c>
      <c r="T1858" s="419">
        <f>ROUND(+(R1858*C1858)*S1858,4)</f>
        <v>0</v>
      </c>
      <c r="U1858" s="419">
        <f>ROUND(+J1858+M1858+T1858,4)</f>
        <v>0</v>
      </c>
      <c r="V1858" s="235"/>
    </row>
    <row r="1859" spans="1:22" ht="15.75" x14ac:dyDescent="0.25">
      <c r="A1859" s="231"/>
      <c r="B1859" s="232"/>
      <c r="C1859" s="400"/>
      <c r="D1859" s="233"/>
      <c r="E1859" s="405"/>
      <c r="F1859" s="405"/>
      <c r="G1859" s="405"/>
      <c r="H1859" s="408">
        <f>ROUND(+E1859+F1859+G1859,4)</f>
        <v>0</v>
      </c>
      <c r="I1859" s="234"/>
      <c r="J1859" s="411"/>
      <c r="K1859" s="411"/>
      <c r="L1859" s="414">
        <v>0.1</v>
      </c>
      <c r="M1859" s="414">
        <f>ROUND(+L1859*C1859,4)</f>
        <v>0</v>
      </c>
      <c r="N1859" s="414"/>
      <c r="O1859" s="414"/>
      <c r="P1859" s="414"/>
      <c r="Q1859" s="419">
        <f>ROUND(+N1859+O1859+P1859,4)</f>
        <v>0</v>
      </c>
      <c r="R1859" s="419">
        <f>ROUND(IF(+Q1859-H1859&lt;=0,0,Q1859-H1859),4)</f>
        <v>0</v>
      </c>
      <c r="S1859" s="423">
        <v>0.5</v>
      </c>
      <c r="T1859" s="419">
        <f>ROUND(+(R1859*C1859)*S1859,4)</f>
        <v>0</v>
      </c>
      <c r="U1859" s="419">
        <f>ROUND(+J1859+M1859+T1859,4)</f>
        <v>0</v>
      </c>
      <c r="V1859" s="235"/>
    </row>
    <row r="1860" spans="1:22" ht="15.75" x14ac:dyDescent="0.25">
      <c r="A1860" s="231"/>
      <c r="B1860" s="232"/>
      <c r="C1860" s="400"/>
      <c r="D1860" s="233"/>
      <c r="E1860" s="405"/>
      <c r="F1860" s="405"/>
      <c r="G1860" s="405"/>
      <c r="H1860" s="408">
        <f>ROUND(+E1860+F1860+G1860,4)</f>
        <v>0</v>
      </c>
      <c r="I1860" s="234"/>
      <c r="J1860" s="411"/>
      <c r="K1860" s="411"/>
      <c r="L1860" s="414">
        <v>0.1</v>
      </c>
      <c r="M1860" s="414">
        <f>ROUND(+L1860*C1860,4)</f>
        <v>0</v>
      </c>
      <c r="N1860" s="414"/>
      <c r="O1860" s="414"/>
      <c r="P1860" s="414"/>
      <c r="Q1860" s="419">
        <f>ROUND(+N1860+O1860+P1860,4)</f>
        <v>0</v>
      </c>
      <c r="R1860" s="419">
        <f>ROUND(IF(+Q1860-H1860&lt;=0,0,Q1860-H1860),4)</f>
        <v>0</v>
      </c>
      <c r="S1860" s="423">
        <v>0.5</v>
      </c>
      <c r="T1860" s="419">
        <f>ROUND(+(R1860*C1860)*S1860,4)</f>
        <v>0</v>
      </c>
      <c r="U1860" s="419">
        <f>ROUND(+J1860+M1860+T1860,4)</f>
        <v>0</v>
      </c>
      <c r="V1860" s="235"/>
    </row>
    <row r="1861" spans="1:22" ht="15.75" x14ac:dyDescent="0.25">
      <c r="A1861" s="231"/>
      <c r="B1861" s="232"/>
      <c r="C1861" s="400"/>
      <c r="D1861" s="233"/>
      <c r="E1861" s="405"/>
      <c r="F1861" s="405"/>
      <c r="G1861" s="405"/>
      <c r="H1861" s="408">
        <f>ROUND(+E1861+F1861+G1861,4)</f>
        <v>0</v>
      </c>
      <c r="I1861" s="234"/>
      <c r="J1861" s="411"/>
      <c r="K1861" s="411"/>
      <c r="L1861" s="414">
        <v>0.1</v>
      </c>
      <c r="M1861" s="414">
        <f>ROUND(+L1861*C1861,4)</f>
        <v>0</v>
      </c>
      <c r="N1861" s="414"/>
      <c r="O1861" s="414"/>
      <c r="P1861" s="414"/>
      <c r="Q1861" s="419">
        <f>ROUND(+N1861+O1861+P1861,4)</f>
        <v>0</v>
      </c>
      <c r="R1861" s="419">
        <f>ROUND(IF(+Q1861-H1861&lt;=0,0,Q1861-H1861),4)</f>
        <v>0</v>
      </c>
      <c r="S1861" s="423">
        <v>0.5</v>
      </c>
      <c r="T1861" s="419">
        <f>ROUND(+(R1861*C1861)*S1861,4)</f>
        <v>0</v>
      </c>
      <c r="U1861" s="419">
        <f>ROUND(+J1861+M1861+T1861,4)</f>
        <v>0</v>
      </c>
      <c r="V1861" s="235"/>
    </row>
    <row r="1862" spans="1:22" ht="15.75" x14ac:dyDescent="0.25">
      <c r="A1862" s="231"/>
      <c r="B1862" s="232"/>
      <c r="C1862" s="400"/>
      <c r="D1862" s="233"/>
      <c r="E1862" s="405"/>
      <c r="F1862" s="405"/>
      <c r="G1862" s="405"/>
      <c r="H1862" s="408">
        <f>ROUND(+E1862+F1862+G1862,4)</f>
        <v>0</v>
      </c>
      <c r="I1862" s="234"/>
      <c r="J1862" s="411"/>
      <c r="K1862" s="411"/>
      <c r="L1862" s="414">
        <v>0.1</v>
      </c>
      <c r="M1862" s="414">
        <f>ROUND(+L1862*C1862,4)</f>
        <v>0</v>
      </c>
      <c r="N1862" s="414"/>
      <c r="O1862" s="414"/>
      <c r="P1862" s="414"/>
      <c r="Q1862" s="419">
        <f>ROUND(+N1862+O1862+P1862,4)</f>
        <v>0</v>
      </c>
      <c r="R1862" s="419">
        <f>ROUND(IF(+Q1862-H1862&lt;=0,0,Q1862-H1862),4)</f>
        <v>0</v>
      </c>
      <c r="S1862" s="423">
        <v>0.5</v>
      </c>
      <c r="T1862" s="419">
        <f>ROUND(+(R1862*C1862)*S1862,4)</f>
        <v>0</v>
      </c>
      <c r="U1862" s="419">
        <f>ROUND(+J1862+M1862+T1862,4)</f>
        <v>0</v>
      </c>
      <c r="V1862" s="235"/>
    </row>
    <row r="1863" spans="1:22" ht="15.75" x14ac:dyDescent="0.25">
      <c r="A1863" s="231"/>
      <c r="B1863" s="232"/>
      <c r="C1863" s="400"/>
      <c r="D1863" s="233"/>
      <c r="E1863" s="405"/>
      <c r="F1863" s="405"/>
      <c r="G1863" s="405"/>
      <c r="H1863" s="408">
        <f>ROUND(+E1863+F1863+G1863,4)</f>
        <v>0</v>
      </c>
      <c r="I1863" s="234"/>
      <c r="J1863" s="411"/>
      <c r="K1863" s="411"/>
      <c r="L1863" s="414">
        <v>0.1</v>
      </c>
      <c r="M1863" s="414">
        <f>ROUND(+L1863*C1863,4)</f>
        <v>0</v>
      </c>
      <c r="N1863" s="414"/>
      <c r="O1863" s="414"/>
      <c r="P1863" s="414"/>
      <c r="Q1863" s="419">
        <f>ROUND(+N1863+O1863+P1863,4)</f>
        <v>0</v>
      </c>
      <c r="R1863" s="419">
        <f>ROUND(IF(+Q1863-H1863&lt;=0,0,Q1863-H1863),4)</f>
        <v>0</v>
      </c>
      <c r="S1863" s="423">
        <v>0.5</v>
      </c>
      <c r="T1863" s="419">
        <f>ROUND(+(R1863*C1863)*S1863,4)</f>
        <v>0</v>
      </c>
      <c r="U1863" s="419">
        <f>ROUND(+J1863+M1863+T1863,4)</f>
        <v>0</v>
      </c>
      <c r="V1863" s="235"/>
    </row>
    <row r="1864" spans="1:22" ht="15.75" x14ac:dyDescent="0.25">
      <c r="A1864" s="231"/>
      <c r="B1864" s="232"/>
      <c r="C1864" s="400"/>
      <c r="D1864" s="233"/>
      <c r="E1864" s="405"/>
      <c r="F1864" s="405"/>
      <c r="G1864" s="405"/>
      <c r="H1864" s="408">
        <f>ROUND(+E1864+F1864+G1864,4)</f>
        <v>0</v>
      </c>
      <c r="I1864" s="234"/>
      <c r="J1864" s="411"/>
      <c r="K1864" s="411"/>
      <c r="L1864" s="414">
        <v>0.1</v>
      </c>
      <c r="M1864" s="414">
        <f>ROUND(+L1864*C1864,4)</f>
        <v>0</v>
      </c>
      <c r="N1864" s="414"/>
      <c r="O1864" s="414"/>
      <c r="P1864" s="414"/>
      <c r="Q1864" s="419">
        <f>ROUND(+N1864+O1864+P1864,4)</f>
        <v>0</v>
      </c>
      <c r="R1864" s="419">
        <f>ROUND(IF(+Q1864-H1864&lt;=0,0,Q1864-H1864),4)</f>
        <v>0</v>
      </c>
      <c r="S1864" s="423">
        <v>0.5</v>
      </c>
      <c r="T1864" s="419">
        <f>ROUND(+(R1864*C1864)*S1864,4)</f>
        <v>0</v>
      </c>
      <c r="U1864" s="419">
        <f>ROUND(+J1864+M1864+T1864,4)</f>
        <v>0</v>
      </c>
      <c r="V1864" s="235"/>
    </row>
    <row r="1865" spans="1:22" ht="15.75" x14ac:dyDescent="0.25">
      <c r="A1865" s="231"/>
      <c r="B1865" s="232"/>
      <c r="C1865" s="400"/>
      <c r="D1865" s="233"/>
      <c r="E1865" s="405"/>
      <c r="F1865" s="405"/>
      <c r="G1865" s="405"/>
      <c r="H1865" s="408">
        <f>ROUND(+E1865+F1865+G1865,4)</f>
        <v>0</v>
      </c>
      <c r="I1865" s="234"/>
      <c r="J1865" s="411"/>
      <c r="K1865" s="411"/>
      <c r="L1865" s="414">
        <v>0.1</v>
      </c>
      <c r="M1865" s="414">
        <f>ROUND(+L1865*C1865,4)</f>
        <v>0</v>
      </c>
      <c r="N1865" s="414"/>
      <c r="O1865" s="414"/>
      <c r="P1865" s="414"/>
      <c r="Q1865" s="419">
        <f>ROUND(+N1865+O1865+P1865,4)</f>
        <v>0</v>
      </c>
      <c r="R1865" s="419">
        <f>ROUND(IF(+Q1865-H1865&lt;=0,0,Q1865-H1865),4)</f>
        <v>0</v>
      </c>
      <c r="S1865" s="423">
        <v>0.5</v>
      </c>
      <c r="T1865" s="419">
        <f>ROUND(+(R1865*C1865)*S1865,4)</f>
        <v>0</v>
      </c>
      <c r="U1865" s="419">
        <f>ROUND(+J1865+M1865+T1865,4)</f>
        <v>0</v>
      </c>
      <c r="V1865" s="235"/>
    </row>
    <row r="1866" spans="1:22" ht="15.75" x14ac:dyDescent="0.25">
      <c r="A1866" s="231"/>
      <c r="B1866" s="232"/>
      <c r="C1866" s="400"/>
      <c r="D1866" s="233"/>
      <c r="E1866" s="405"/>
      <c r="F1866" s="405"/>
      <c r="G1866" s="405"/>
      <c r="H1866" s="408">
        <f>ROUND(+E1866+F1866+G1866,4)</f>
        <v>0</v>
      </c>
      <c r="I1866" s="234"/>
      <c r="J1866" s="411"/>
      <c r="K1866" s="411"/>
      <c r="L1866" s="414">
        <v>0.1</v>
      </c>
      <c r="M1866" s="414">
        <f>ROUND(+L1866*C1866,4)</f>
        <v>0</v>
      </c>
      <c r="N1866" s="414"/>
      <c r="O1866" s="414"/>
      <c r="P1866" s="414"/>
      <c r="Q1866" s="419">
        <f>ROUND(+N1866+O1866+P1866,4)</f>
        <v>0</v>
      </c>
      <c r="R1866" s="419">
        <f>ROUND(IF(+Q1866-H1866&lt;=0,0,Q1866-H1866),4)</f>
        <v>0</v>
      </c>
      <c r="S1866" s="423">
        <v>0.5</v>
      </c>
      <c r="T1866" s="419">
        <f>ROUND(+(R1866*C1866)*S1866,4)</f>
        <v>0</v>
      </c>
      <c r="U1866" s="419">
        <f>ROUND(+J1866+M1866+T1866,4)</f>
        <v>0</v>
      </c>
      <c r="V1866" s="235"/>
    </row>
    <row r="1867" spans="1:22" ht="15.75" x14ac:dyDescent="0.25">
      <c r="A1867" s="231"/>
      <c r="B1867" s="232"/>
      <c r="C1867" s="400"/>
      <c r="D1867" s="233"/>
      <c r="E1867" s="405"/>
      <c r="F1867" s="405"/>
      <c r="G1867" s="405"/>
      <c r="H1867" s="408">
        <f>ROUND(+E1867+F1867+G1867,4)</f>
        <v>0</v>
      </c>
      <c r="I1867" s="234"/>
      <c r="J1867" s="411"/>
      <c r="K1867" s="411"/>
      <c r="L1867" s="414">
        <v>0.1</v>
      </c>
      <c r="M1867" s="414">
        <f>ROUND(+L1867*C1867,4)</f>
        <v>0</v>
      </c>
      <c r="N1867" s="414"/>
      <c r="O1867" s="414"/>
      <c r="P1867" s="414"/>
      <c r="Q1867" s="419">
        <f>ROUND(+N1867+O1867+P1867,4)</f>
        <v>0</v>
      </c>
      <c r="R1867" s="419">
        <f>ROUND(IF(+Q1867-H1867&lt;=0,0,Q1867-H1867),4)</f>
        <v>0</v>
      </c>
      <c r="S1867" s="423">
        <v>0.5</v>
      </c>
      <c r="T1867" s="419">
        <f>ROUND(+(R1867*C1867)*S1867,4)</f>
        <v>0</v>
      </c>
      <c r="U1867" s="419">
        <f>ROUND(+J1867+M1867+T1867,4)</f>
        <v>0</v>
      </c>
      <c r="V1867" s="235"/>
    </row>
    <row r="1868" spans="1:22" ht="15.75" x14ac:dyDescent="0.25">
      <c r="A1868" s="231"/>
      <c r="B1868" s="232"/>
      <c r="C1868" s="400"/>
      <c r="D1868" s="233"/>
      <c r="E1868" s="405"/>
      <c r="F1868" s="405"/>
      <c r="G1868" s="405"/>
      <c r="H1868" s="408">
        <f>ROUND(+E1868+F1868+G1868,4)</f>
        <v>0</v>
      </c>
      <c r="I1868" s="234"/>
      <c r="J1868" s="411"/>
      <c r="K1868" s="411"/>
      <c r="L1868" s="414">
        <v>0.1</v>
      </c>
      <c r="M1868" s="414">
        <f>ROUND(+L1868*C1868,4)</f>
        <v>0</v>
      </c>
      <c r="N1868" s="414"/>
      <c r="O1868" s="414"/>
      <c r="P1868" s="414"/>
      <c r="Q1868" s="419">
        <f>ROUND(+N1868+O1868+P1868,4)</f>
        <v>0</v>
      </c>
      <c r="R1868" s="419">
        <f>ROUND(IF(+Q1868-H1868&lt;=0,0,Q1868-H1868),4)</f>
        <v>0</v>
      </c>
      <c r="S1868" s="423">
        <v>0.5</v>
      </c>
      <c r="T1868" s="419">
        <f>ROUND(+(R1868*C1868)*S1868,4)</f>
        <v>0</v>
      </c>
      <c r="U1868" s="419">
        <f>ROUND(+J1868+M1868+T1868,4)</f>
        <v>0</v>
      </c>
      <c r="V1868" s="235"/>
    </row>
    <row r="1869" spans="1:22" ht="15.75" x14ac:dyDescent="0.25">
      <c r="A1869" s="231"/>
      <c r="B1869" s="232"/>
      <c r="C1869" s="400"/>
      <c r="D1869" s="233"/>
      <c r="E1869" s="405"/>
      <c r="F1869" s="405"/>
      <c r="G1869" s="405"/>
      <c r="H1869" s="408">
        <f>ROUND(+E1869+F1869+G1869,4)</f>
        <v>0</v>
      </c>
      <c r="I1869" s="234"/>
      <c r="J1869" s="411"/>
      <c r="K1869" s="411"/>
      <c r="L1869" s="414">
        <v>0.1</v>
      </c>
      <c r="M1869" s="414">
        <f>ROUND(+L1869*C1869,4)</f>
        <v>0</v>
      </c>
      <c r="N1869" s="414"/>
      <c r="O1869" s="414"/>
      <c r="P1869" s="414"/>
      <c r="Q1869" s="419">
        <f>ROUND(+N1869+O1869+P1869,4)</f>
        <v>0</v>
      </c>
      <c r="R1869" s="419">
        <f>ROUND(IF(+Q1869-H1869&lt;=0,0,Q1869-H1869),4)</f>
        <v>0</v>
      </c>
      <c r="S1869" s="423">
        <v>0.5</v>
      </c>
      <c r="T1869" s="419">
        <f>ROUND(+(R1869*C1869)*S1869,4)</f>
        <v>0</v>
      </c>
      <c r="U1869" s="419">
        <f>ROUND(+J1869+M1869+T1869,4)</f>
        <v>0</v>
      </c>
      <c r="V1869" s="235"/>
    </row>
    <row r="1870" spans="1:22" ht="15.75" x14ac:dyDescent="0.25">
      <c r="A1870" s="231"/>
      <c r="B1870" s="232"/>
      <c r="C1870" s="400"/>
      <c r="D1870" s="233"/>
      <c r="E1870" s="405"/>
      <c r="F1870" s="405"/>
      <c r="G1870" s="405"/>
      <c r="H1870" s="408">
        <f>ROUND(+E1870+F1870+G1870,4)</f>
        <v>0</v>
      </c>
      <c r="I1870" s="234"/>
      <c r="J1870" s="411"/>
      <c r="K1870" s="411"/>
      <c r="L1870" s="414">
        <v>0.1</v>
      </c>
      <c r="M1870" s="414">
        <f>ROUND(+L1870*C1870,4)</f>
        <v>0</v>
      </c>
      <c r="N1870" s="414"/>
      <c r="O1870" s="414"/>
      <c r="P1870" s="414"/>
      <c r="Q1870" s="419">
        <f>ROUND(+N1870+O1870+P1870,4)</f>
        <v>0</v>
      </c>
      <c r="R1870" s="419">
        <f>ROUND(IF(+Q1870-H1870&lt;=0,0,Q1870-H1870),4)</f>
        <v>0</v>
      </c>
      <c r="S1870" s="423">
        <v>0.5</v>
      </c>
      <c r="T1870" s="419">
        <f>ROUND(+(R1870*C1870)*S1870,4)</f>
        <v>0</v>
      </c>
      <c r="U1870" s="419">
        <f>ROUND(+J1870+M1870+T1870,4)</f>
        <v>0</v>
      </c>
      <c r="V1870" s="235"/>
    </row>
    <row r="1871" spans="1:22" ht="15.75" x14ac:dyDescent="0.25">
      <c r="A1871" s="231"/>
      <c r="B1871" s="232"/>
      <c r="C1871" s="400"/>
      <c r="D1871" s="233"/>
      <c r="E1871" s="405"/>
      <c r="F1871" s="405"/>
      <c r="G1871" s="405"/>
      <c r="H1871" s="408">
        <f>ROUND(+E1871+F1871+G1871,4)</f>
        <v>0</v>
      </c>
      <c r="I1871" s="234"/>
      <c r="J1871" s="411"/>
      <c r="K1871" s="411"/>
      <c r="L1871" s="414">
        <v>0.1</v>
      </c>
      <c r="M1871" s="414">
        <f>ROUND(+L1871*C1871,4)</f>
        <v>0</v>
      </c>
      <c r="N1871" s="414"/>
      <c r="O1871" s="414"/>
      <c r="P1871" s="414"/>
      <c r="Q1871" s="419">
        <f>ROUND(+N1871+O1871+P1871,4)</f>
        <v>0</v>
      </c>
      <c r="R1871" s="419">
        <f>ROUND(IF(+Q1871-H1871&lt;=0,0,Q1871-H1871),4)</f>
        <v>0</v>
      </c>
      <c r="S1871" s="423">
        <v>0.5</v>
      </c>
      <c r="T1871" s="419">
        <f>ROUND(+(R1871*C1871)*S1871,4)</f>
        <v>0</v>
      </c>
      <c r="U1871" s="419">
        <f>ROUND(+J1871+M1871+T1871,4)</f>
        <v>0</v>
      </c>
      <c r="V1871" s="235"/>
    </row>
    <row r="1872" spans="1:22" ht="15.75" x14ac:dyDescent="0.25">
      <c r="A1872" s="231"/>
      <c r="B1872" s="232"/>
      <c r="C1872" s="400"/>
      <c r="D1872" s="233"/>
      <c r="E1872" s="405"/>
      <c r="F1872" s="405"/>
      <c r="G1872" s="405"/>
      <c r="H1872" s="408">
        <f>ROUND(+E1872+F1872+G1872,4)</f>
        <v>0</v>
      </c>
      <c r="I1872" s="234"/>
      <c r="J1872" s="411"/>
      <c r="K1872" s="411"/>
      <c r="L1872" s="414">
        <v>0.1</v>
      </c>
      <c r="M1872" s="414">
        <f>ROUND(+L1872*C1872,4)</f>
        <v>0</v>
      </c>
      <c r="N1872" s="414"/>
      <c r="O1872" s="414"/>
      <c r="P1872" s="414"/>
      <c r="Q1872" s="419">
        <f>ROUND(+N1872+O1872+P1872,4)</f>
        <v>0</v>
      </c>
      <c r="R1872" s="419">
        <f>ROUND(IF(+Q1872-H1872&lt;=0,0,Q1872-H1872),4)</f>
        <v>0</v>
      </c>
      <c r="S1872" s="423">
        <v>0.5</v>
      </c>
      <c r="T1872" s="419">
        <f>ROUND(+(R1872*C1872)*S1872,4)</f>
        <v>0</v>
      </c>
      <c r="U1872" s="419">
        <f>ROUND(+J1872+M1872+T1872,4)</f>
        <v>0</v>
      </c>
      <c r="V1872" s="235"/>
    </row>
    <row r="1873" spans="1:22" ht="15.75" x14ac:dyDescent="0.25">
      <c r="A1873" s="231"/>
      <c r="B1873" s="232"/>
      <c r="C1873" s="400"/>
      <c r="D1873" s="233"/>
      <c r="E1873" s="405"/>
      <c r="F1873" s="405"/>
      <c r="G1873" s="405"/>
      <c r="H1873" s="408">
        <f>ROUND(+E1873+F1873+G1873,4)</f>
        <v>0</v>
      </c>
      <c r="I1873" s="234"/>
      <c r="J1873" s="411"/>
      <c r="K1873" s="411"/>
      <c r="L1873" s="414">
        <v>0.1</v>
      </c>
      <c r="M1873" s="414">
        <f>ROUND(+L1873*C1873,4)</f>
        <v>0</v>
      </c>
      <c r="N1873" s="414"/>
      <c r="O1873" s="414"/>
      <c r="P1873" s="414"/>
      <c r="Q1873" s="419">
        <f>ROUND(+N1873+O1873+P1873,4)</f>
        <v>0</v>
      </c>
      <c r="R1873" s="419">
        <f>ROUND(IF(+Q1873-H1873&lt;=0,0,Q1873-H1873),4)</f>
        <v>0</v>
      </c>
      <c r="S1873" s="423">
        <v>0.5</v>
      </c>
      <c r="T1873" s="419">
        <f>ROUND(+(R1873*C1873)*S1873,4)</f>
        <v>0</v>
      </c>
      <c r="U1873" s="419">
        <f>ROUND(+J1873+M1873+T1873,4)</f>
        <v>0</v>
      </c>
      <c r="V1873" s="235"/>
    </row>
    <row r="1874" spans="1:22" ht="15.75" x14ac:dyDescent="0.25">
      <c r="A1874" s="231"/>
      <c r="B1874" s="232"/>
      <c r="C1874" s="400"/>
      <c r="D1874" s="233"/>
      <c r="E1874" s="405"/>
      <c r="F1874" s="405"/>
      <c r="G1874" s="405"/>
      <c r="H1874" s="408">
        <f>ROUND(+E1874+F1874+G1874,4)</f>
        <v>0</v>
      </c>
      <c r="I1874" s="234"/>
      <c r="J1874" s="411"/>
      <c r="K1874" s="411"/>
      <c r="L1874" s="414">
        <v>0.1</v>
      </c>
      <c r="M1874" s="414">
        <f>ROUND(+L1874*C1874,4)</f>
        <v>0</v>
      </c>
      <c r="N1874" s="414"/>
      <c r="O1874" s="414"/>
      <c r="P1874" s="414"/>
      <c r="Q1874" s="419">
        <f>ROUND(+N1874+O1874+P1874,4)</f>
        <v>0</v>
      </c>
      <c r="R1874" s="419">
        <f>ROUND(IF(+Q1874-H1874&lt;=0,0,Q1874-H1874),4)</f>
        <v>0</v>
      </c>
      <c r="S1874" s="423">
        <v>0.5</v>
      </c>
      <c r="T1874" s="419">
        <f>ROUND(+(R1874*C1874)*S1874,4)</f>
        <v>0</v>
      </c>
      <c r="U1874" s="419">
        <f>ROUND(+J1874+M1874+T1874,4)</f>
        <v>0</v>
      </c>
      <c r="V1874" s="235"/>
    </row>
    <row r="1875" spans="1:22" ht="15.75" x14ac:dyDescent="0.25">
      <c r="A1875" s="231"/>
      <c r="B1875" s="232"/>
      <c r="C1875" s="400"/>
      <c r="D1875" s="233"/>
      <c r="E1875" s="405"/>
      <c r="F1875" s="405"/>
      <c r="G1875" s="405"/>
      <c r="H1875" s="408">
        <f>ROUND(+E1875+F1875+G1875,4)</f>
        <v>0</v>
      </c>
      <c r="I1875" s="234"/>
      <c r="J1875" s="411"/>
      <c r="K1875" s="411"/>
      <c r="L1875" s="414">
        <v>0.1</v>
      </c>
      <c r="M1875" s="414">
        <f>ROUND(+L1875*C1875,4)</f>
        <v>0</v>
      </c>
      <c r="N1875" s="414"/>
      <c r="O1875" s="414"/>
      <c r="P1875" s="414"/>
      <c r="Q1875" s="419">
        <f>ROUND(+N1875+O1875+P1875,4)</f>
        <v>0</v>
      </c>
      <c r="R1875" s="419">
        <f>ROUND(IF(+Q1875-H1875&lt;=0,0,Q1875-H1875),4)</f>
        <v>0</v>
      </c>
      <c r="S1875" s="423">
        <v>0.5</v>
      </c>
      <c r="T1875" s="419">
        <f>ROUND(+(R1875*C1875)*S1875,4)</f>
        <v>0</v>
      </c>
      <c r="U1875" s="419">
        <f>ROUND(+J1875+M1875+T1875,4)</f>
        <v>0</v>
      </c>
      <c r="V1875" s="235"/>
    </row>
    <row r="1876" spans="1:22" ht="15.75" x14ac:dyDescent="0.25">
      <c r="A1876" s="231"/>
      <c r="B1876" s="232"/>
      <c r="C1876" s="400"/>
      <c r="D1876" s="233"/>
      <c r="E1876" s="405"/>
      <c r="F1876" s="405"/>
      <c r="G1876" s="405"/>
      <c r="H1876" s="408">
        <f>ROUND(+E1876+F1876+G1876,4)</f>
        <v>0</v>
      </c>
      <c r="I1876" s="234"/>
      <c r="J1876" s="411"/>
      <c r="K1876" s="411"/>
      <c r="L1876" s="414">
        <v>0.1</v>
      </c>
      <c r="M1876" s="414">
        <f>ROUND(+L1876*C1876,4)</f>
        <v>0</v>
      </c>
      <c r="N1876" s="414"/>
      <c r="O1876" s="414"/>
      <c r="P1876" s="414"/>
      <c r="Q1876" s="419">
        <f>ROUND(+N1876+O1876+P1876,4)</f>
        <v>0</v>
      </c>
      <c r="R1876" s="419">
        <f>ROUND(IF(+Q1876-H1876&lt;=0,0,Q1876-H1876),4)</f>
        <v>0</v>
      </c>
      <c r="S1876" s="423">
        <v>0.5</v>
      </c>
      <c r="T1876" s="419">
        <f>ROUND(+(R1876*C1876)*S1876,4)</f>
        <v>0</v>
      </c>
      <c r="U1876" s="419">
        <f>ROUND(+J1876+M1876+T1876,4)</f>
        <v>0</v>
      </c>
      <c r="V1876" s="235"/>
    </row>
    <row r="1877" spans="1:22" ht="15.75" x14ac:dyDescent="0.25">
      <c r="A1877" s="231"/>
      <c r="B1877" s="232"/>
      <c r="C1877" s="400"/>
      <c r="D1877" s="233"/>
      <c r="E1877" s="405"/>
      <c r="F1877" s="405"/>
      <c r="G1877" s="405"/>
      <c r="H1877" s="408">
        <f>ROUND(+E1877+F1877+G1877,4)</f>
        <v>0</v>
      </c>
      <c r="I1877" s="234"/>
      <c r="J1877" s="411"/>
      <c r="K1877" s="411"/>
      <c r="L1877" s="414">
        <v>0.1</v>
      </c>
      <c r="M1877" s="414">
        <f>ROUND(+L1877*C1877,4)</f>
        <v>0</v>
      </c>
      <c r="N1877" s="414"/>
      <c r="O1877" s="414"/>
      <c r="P1877" s="414"/>
      <c r="Q1877" s="419">
        <f>ROUND(+N1877+O1877+P1877,4)</f>
        <v>0</v>
      </c>
      <c r="R1877" s="419">
        <f>ROUND(IF(+Q1877-H1877&lt;=0,0,Q1877-H1877),4)</f>
        <v>0</v>
      </c>
      <c r="S1877" s="423">
        <v>0.5</v>
      </c>
      <c r="T1877" s="419">
        <f>ROUND(+(R1877*C1877)*S1877,4)</f>
        <v>0</v>
      </c>
      <c r="U1877" s="419">
        <f>ROUND(+J1877+M1877+T1877,4)</f>
        <v>0</v>
      </c>
      <c r="V1877" s="235"/>
    </row>
    <row r="1878" spans="1:22" ht="15.75" x14ac:dyDescent="0.25">
      <c r="A1878" s="231"/>
      <c r="B1878" s="232"/>
      <c r="C1878" s="400"/>
      <c r="D1878" s="233"/>
      <c r="E1878" s="405"/>
      <c r="F1878" s="405"/>
      <c r="G1878" s="405"/>
      <c r="H1878" s="408">
        <f>ROUND(+E1878+F1878+G1878,4)</f>
        <v>0</v>
      </c>
      <c r="I1878" s="234"/>
      <c r="J1878" s="411"/>
      <c r="K1878" s="411"/>
      <c r="L1878" s="414">
        <v>0.1</v>
      </c>
      <c r="M1878" s="414">
        <f>ROUND(+L1878*C1878,4)</f>
        <v>0</v>
      </c>
      <c r="N1878" s="414"/>
      <c r="O1878" s="414"/>
      <c r="P1878" s="414"/>
      <c r="Q1878" s="419">
        <f>ROUND(+N1878+O1878+P1878,4)</f>
        <v>0</v>
      </c>
      <c r="R1878" s="419">
        <f>ROUND(IF(+Q1878-H1878&lt;=0,0,Q1878-H1878),4)</f>
        <v>0</v>
      </c>
      <c r="S1878" s="423">
        <v>0.5</v>
      </c>
      <c r="T1878" s="419">
        <f>ROUND(+(R1878*C1878)*S1878,4)</f>
        <v>0</v>
      </c>
      <c r="U1878" s="419">
        <f>ROUND(+J1878+M1878+T1878,4)</f>
        <v>0</v>
      </c>
      <c r="V1878" s="235"/>
    </row>
    <row r="1879" spans="1:22" ht="15.75" x14ac:dyDescent="0.25">
      <c r="A1879" s="231"/>
      <c r="B1879" s="232"/>
      <c r="C1879" s="400"/>
      <c r="D1879" s="233"/>
      <c r="E1879" s="405"/>
      <c r="F1879" s="405"/>
      <c r="G1879" s="405"/>
      <c r="H1879" s="408">
        <f>ROUND(+E1879+F1879+G1879,4)</f>
        <v>0</v>
      </c>
      <c r="I1879" s="234"/>
      <c r="J1879" s="411"/>
      <c r="K1879" s="411"/>
      <c r="L1879" s="414">
        <v>0.1</v>
      </c>
      <c r="M1879" s="414">
        <f>ROUND(+L1879*C1879,4)</f>
        <v>0</v>
      </c>
      <c r="N1879" s="414"/>
      <c r="O1879" s="414"/>
      <c r="P1879" s="414"/>
      <c r="Q1879" s="419">
        <f>ROUND(+N1879+O1879+P1879,4)</f>
        <v>0</v>
      </c>
      <c r="R1879" s="419">
        <f>ROUND(IF(+Q1879-H1879&lt;=0,0,Q1879-H1879),4)</f>
        <v>0</v>
      </c>
      <c r="S1879" s="423">
        <v>0.5</v>
      </c>
      <c r="T1879" s="419">
        <f>ROUND(+(R1879*C1879)*S1879,4)</f>
        <v>0</v>
      </c>
      <c r="U1879" s="419">
        <f>ROUND(+J1879+M1879+T1879,4)</f>
        <v>0</v>
      </c>
      <c r="V1879" s="235"/>
    </row>
    <row r="1880" spans="1:22" ht="15.75" x14ac:dyDescent="0.25">
      <c r="A1880" s="231"/>
      <c r="B1880" s="232"/>
      <c r="C1880" s="400"/>
      <c r="D1880" s="233"/>
      <c r="E1880" s="405"/>
      <c r="F1880" s="405"/>
      <c r="G1880" s="405"/>
      <c r="H1880" s="408">
        <f>ROUND(+E1880+F1880+G1880,4)</f>
        <v>0</v>
      </c>
      <c r="I1880" s="234"/>
      <c r="J1880" s="411"/>
      <c r="K1880" s="411"/>
      <c r="L1880" s="414">
        <v>0.1</v>
      </c>
      <c r="M1880" s="414">
        <f>ROUND(+L1880*C1880,4)</f>
        <v>0</v>
      </c>
      <c r="N1880" s="414"/>
      <c r="O1880" s="414"/>
      <c r="P1880" s="414"/>
      <c r="Q1880" s="419">
        <f>ROUND(+N1880+O1880+P1880,4)</f>
        <v>0</v>
      </c>
      <c r="R1880" s="419">
        <f>ROUND(IF(+Q1880-H1880&lt;=0,0,Q1880-H1880),4)</f>
        <v>0</v>
      </c>
      <c r="S1880" s="423">
        <v>0.5</v>
      </c>
      <c r="T1880" s="419">
        <f>ROUND(+(R1880*C1880)*S1880,4)</f>
        <v>0</v>
      </c>
      <c r="U1880" s="419">
        <f>ROUND(+J1880+M1880+T1880,4)</f>
        <v>0</v>
      </c>
      <c r="V1880" s="235"/>
    </row>
    <row r="1881" spans="1:22" ht="15.75" x14ac:dyDescent="0.25">
      <c r="A1881" s="231"/>
      <c r="B1881" s="232"/>
      <c r="C1881" s="400"/>
      <c r="D1881" s="233"/>
      <c r="E1881" s="405"/>
      <c r="F1881" s="405"/>
      <c r="G1881" s="405"/>
      <c r="H1881" s="408">
        <f>ROUND(+E1881+F1881+G1881,4)</f>
        <v>0</v>
      </c>
      <c r="I1881" s="234"/>
      <c r="J1881" s="411"/>
      <c r="K1881" s="411"/>
      <c r="L1881" s="414">
        <v>0.1</v>
      </c>
      <c r="M1881" s="414">
        <f>ROUND(+L1881*C1881,4)</f>
        <v>0</v>
      </c>
      <c r="N1881" s="414"/>
      <c r="O1881" s="414"/>
      <c r="P1881" s="414"/>
      <c r="Q1881" s="419">
        <f>ROUND(+N1881+O1881+P1881,4)</f>
        <v>0</v>
      </c>
      <c r="R1881" s="419">
        <f>ROUND(IF(+Q1881-H1881&lt;=0,0,Q1881-H1881),4)</f>
        <v>0</v>
      </c>
      <c r="S1881" s="423">
        <v>0.5</v>
      </c>
      <c r="T1881" s="419">
        <f>ROUND(+(R1881*C1881)*S1881,4)</f>
        <v>0</v>
      </c>
      <c r="U1881" s="419">
        <f>ROUND(+J1881+M1881+T1881,4)</f>
        <v>0</v>
      </c>
      <c r="V1881" s="235"/>
    </row>
    <row r="1882" spans="1:22" ht="15.75" x14ac:dyDescent="0.25">
      <c r="A1882" s="231"/>
      <c r="B1882" s="232"/>
      <c r="C1882" s="400"/>
      <c r="D1882" s="233"/>
      <c r="E1882" s="405"/>
      <c r="F1882" s="405"/>
      <c r="G1882" s="405"/>
      <c r="H1882" s="408">
        <f>ROUND(+E1882+F1882+G1882,4)</f>
        <v>0</v>
      </c>
      <c r="I1882" s="234"/>
      <c r="J1882" s="411"/>
      <c r="K1882" s="411"/>
      <c r="L1882" s="414">
        <v>0.1</v>
      </c>
      <c r="M1882" s="414">
        <f>ROUND(+L1882*C1882,4)</f>
        <v>0</v>
      </c>
      <c r="N1882" s="414"/>
      <c r="O1882" s="414"/>
      <c r="P1882" s="414"/>
      <c r="Q1882" s="419">
        <f>ROUND(+N1882+O1882+P1882,4)</f>
        <v>0</v>
      </c>
      <c r="R1882" s="419">
        <f>ROUND(IF(+Q1882-H1882&lt;=0,0,Q1882-H1882),4)</f>
        <v>0</v>
      </c>
      <c r="S1882" s="423">
        <v>0.5</v>
      </c>
      <c r="T1882" s="419">
        <f>ROUND(+(R1882*C1882)*S1882,4)</f>
        <v>0</v>
      </c>
      <c r="U1882" s="419">
        <f>ROUND(+J1882+M1882+T1882,4)</f>
        <v>0</v>
      </c>
      <c r="V1882" s="235"/>
    </row>
    <row r="1883" spans="1:22" ht="15.75" x14ac:dyDescent="0.25">
      <c r="A1883" s="231"/>
      <c r="B1883" s="232"/>
      <c r="C1883" s="400"/>
      <c r="D1883" s="233"/>
      <c r="E1883" s="405"/>
      <c r="F1883" s="405"/>
      <c r="G1883" s="405"/>
      <c r="H1883" s="408">
        <f>ROUND(+E1883+F1883+G1883,4)</f>
        <v>0</v>
      </c>
      <c r="I1883" s="234"/>
      <c r="J1883" s="411"/>
      <c r="K1883" s="411"/>
      <c r="L1883" s="414">
        <v>0.1</v>
      </c>
      <c r="M1883" s="414">
        <f>ROUND(+L1883*C1883,4)</f>
        <v>0</v>
      </c>
      <c r="N1883" s="414"/>
      <c r="O1883" s="414"/>
      <c r="P1883" s="414"/>
      <c r="Q1883" s="419">
        <f>ROUND(+N1883+O1883+P1883,4)</f>
        <v>0</v>
      </c>
      <c r="R1883" s="419">
        <f>ROUND(IF(+Q1883-H1883&lt;=0,0,Q1883-H1883),4)</f>
        <v>0</v>
      </c>
      <c r="S1883" s="423">
        <v>0.5</v>
      </c>
      <c r="T1883" s="419">
        <f>ROUND(+(R1883*C1883)*S1883,4)</f>
        <v>0</v>
      </c>
      <c r="U1883" s="419">
        <f>ROUND(+J1883+M1883+T1883,4)</f>
        <v>0</v>
      </c>
      <c r="V1883" s="235"/>
    </row>
    <row r="1884" spans="1:22" ht="15.75" x14ac:dyDescent="0.25">
      <c r="A1884" s="231"/>
      <c r="B1884" s="232"/>
      <c r="C1884" s="400"/>
      <c r="D1884" s="233"/>
      <c r="E1884" s="405"/>
      <c r="F1884" s="405"/>
      <c r="G1884" s="405"/>
      <c r="H1884" s="408">
        <f>ROUND(+E1884+F1884+G1884,4)</f>
        <v>0</v>
      </c>
      <c r="I1884" s="234"/>
      <c r="J1884" s="411"/>
      <c r="K1884" s="411"/>
      <c r="L1884" s="414">
        <v>0.1</v>
      </c>
      <c r="M1884" s="414">
        <f>ROUND(+L1884*C1884,4)</f>
        <v>0</v>
      </c>
      <c r="N1884" s="414"/>
      <c r="O1884" s="414"/>
      <c r="P1884" s="414"/>
      <c r="Q1884" s="419">
        <f>ROUND(+N1884+O1884+P1884,4)</f>
        <v>0</v>
      </c>
      <c r="R1884" s="419">
        <f>ROUND(IF(+Q1884-H1884&lt;=0,0,Q1884-H1884),4)</f>
        <v>0</v>
      </c>
      <c r="S1884" s="423">
        <v>0.5</v>
      </c>
      <c r="T1884" s="419">
        <f>ROUND(+(R1884*C1884)*S1884,4)</f>
        <v>0</v>
      </c>
      <c r="U1884" s="419">
        <f>ROUND(+J1884+M1884+T1884,4)</f>
        <v>0</v>
      </c>
      <c r="V1884" s="235"/>
    </row>
    <row r="1885" spans="1:22" ht="15.75" x14ac:dyDescent="0.25">
      <c r="A1885" s="231"/>
      <c r="B1885" s="232"/>
      <c r="C1885" s="400"/>
      <c r="D1885" s="233"/>
      <c r="E1885" s="405"/>
      <c r="F1885" s="405"/>
      <c r="G1885" s="405"/>
      <c r="H1885" s="408">
        <f>ROUND(+E1885+F1885+G1885,4)</f>
        <v>0</v>
      </c>
      <c r="I1885" s="234"/>
      <c r="J1885" s="411"/>
      <c r="K1885" s="411"/>
      <c r="L1885" s="414">
        <v>0.1</v>
      </c>
      <c r="M1885" s="414">
        <f>ROUND(+L1885*C1885,4)</f>
        <v>0</v>
      </c>
      <c r="N1885" s="414"/>
      <c r="O1885" s="414"/>
      <c r="P1885" s="414"/>
      <c r="Q1885" s="419">
        <f>ROUND(+N1885+O1885+P1885,4)</f>
        <v>0</v>
      </c>
      <c r="R1885" s="419">
        <f>ROUND(IF(+Q1885-H1885&lt;=0,0,Q1885-H1885),4)</f>
        <v>0</v>
      </c>
      <c r="S1885" s="423">
        <v>0.5</v>
      </c>
      <c r="T1885" s="419">
        <f>ROUND(+(R1885*C1885)*S1885,4)</f>
        <v>0</v>
      </c>
      <c r="U1885" s="419">
        <f>ROUND(+J1885+M1885+T1885,4)</f>
        <v>0</v>
      </c>
      <c r="V1885" s="235"/>
    </row>
    <row r="1886" spans="1:22" ht="15.75" x14ac:dyDescent="0.25">
      <c r="A1886" s="231"/>
      <c r="B1886" s="232"/>
      <c r="C1886" s="400"/>
      <c r="D1886" s="233"/>
      <c r="E1886" s="405"/>
      <c r="F1886" s="405"/>
      <c r="G1886" s="405"/>
      <c r="H1886" s="408">
        <f>ROUND(+E1886+F1886+G1886,4)</f>
        <v>0</v>
      </c>
      <c r="I1886" s="234"/>
      <c r="J1886" s="411"/>
      <c r="K1886" s="411"/>
      <c r="L1886" s="414">
        <v>0.1</v>
      </c>
      <c r="M1886" s="414">
        <f>ROUND(+L1886*C1886,4)</f>
        <v>0</v>
      </c>
      <c r="N1886" s="414"/>
      <c r="O1886" s="414"/>
      <c r="P1886" s="414"/>
      <c r="Q1886" s="419">
        <f>ROUND(+N1886+O1886+P1886,4)</f>
        <v>0</v>
      </c>
      <c r="R1886" s="419">
        <f>ROUND(IF(+Q1886-H1886&lt;=0,0,Q1886-H1886),4)</f>
        <v>0</v>
      </c>
      <c r="S1886" s="423">
        <v>0.5</v>
      </c>
      <c r="T1886" s="419">
        <f>ROUND(+(R1886*C1886)*S1886,4)</f>
        <v>0</v>
      </c>
      <c r="U1886" s="419">
        <f>ROUND(+J1886+M1886+T1886,4)</f>
        <v>0</v>
      </c>
      <c r="V1886" s="235"/>
    </row>
    <row r="1887" spans="1:22" ht="15.75" x14ac:dyDescent="0.25">
      <c r="A1887" s="231"/>
      <c r="B1887" s="232"/>
      <c r="C1887" s="400"/>
      <c r="D1887" s="233"/>
      <c r="E1887" s="405"/>
      <c r="F1887" s="405"/>
      <c r="G1887" s="405"/>
      <c r="H1887" s="408">
        <f>ROUND(+E1887+F1887+G1887,4)</f>
        <v>0</v>
      </c>
      <c r="I1887" s="234"/>
      <c r="J1887" s="411"/>
      <c r="K1887" s="411"/>
      <c r="L1887" s="414">
        <v>0.1</v>
      </c>
      <c r="M1887" s="414">
        <f>ROUND(+L1887*C1887,4)</f>
        <v>0</v>
      </c>
      <c r="N1887" s="414"/>
      <c r="O1887" s="414"/>
      <c r="P1887" s="414"/>
      <c r="Q1887" s="419">
        <f>ROUND(+N1887+O1887+P1887,4)</f>
        <v>0</v>
      </c>
      <c r="R1887" s="419">
        <f>ROUND(IF(+Q1887-H1887&lt;=0,0,Q1887-H1887),4)</f>
        <v>0</v>
      </c>
      <c r="S1887" s="423">
        <v>0.5</v>
      </c>
      <c r="T1887" s="419">
        <f>ROUND(+(R1887*C1887)*S1887,4)</f>
        <v>0</v>
      </c>
      <c r="U1887" s="419">
        <f>ROUND(+J1887+M1887+T1887,4)</f>
        <v>0</v>
      </c>
      <c r="V1887" s="235"/>
    </row>
    <row r="1888" spans="1:22" ht="15.75" x14ac:dyDescent="0.25">
      <c r="A1888" s="231"/>
      <c r="B1888" s="232"/>
      <c r="C1888" s="400"/>
      <c r="D1888" s="233"/>
      <c r="E1888" s="405"/>
      <c r="F1888" s="405"/>
      <c r="G1888" s="405"/>
      <c r="H1888" s="408">
        <f>ROUND(+E1888+F1888+G1888,4)</f>
        <v>0</v>
      </c>
      <c r="I1888" s="234"/>
      <c r="J1888" s="411"/>
      <c r="K1888" s="411"/>
      <c r="L1888" s="414">
        <v>0.1</v>
      </c>
      <c r="M1888" s="414">
        <f>ROUND(+L1888*C1888,4)</f>
        <v>0</v>
      </c>
      <c r="N1888" s="414"/>
      <c r="O1888" s="414"/>
      <c r="P1888" s="414"/>
      <c r="Q1888" s="419">
        <f>ROUND(+N1888+O1888+P1888,4)</f>
        <v>0</v>
      </c>
      <c r="R1888" s="419">
        <f>ROUND(IF(+Q1888-H1888&lt;=0,0,Q1888-H1888),4)</f>
        <v>0</v>
      </c>
      <c r="S1888" s="423">
        <v>0.5</v>
      </c>
      <c r="T1888" s="419">
        <f>ROUND(+(R1888*C1888)*S1888,4)</f>
        <v>0</v>
      </c>
      <c r="U1888" s="419">
        <f>ROUND(+J1888+M1888+T1888,4)</f>
        <v>0</v>
      </c>
      <c r="V1888" s="235"/>
    </row>
    <row r="1889" spans="1:22" ht="15.75" x14ac:dyDescent="0.25">
      <c r="A1889" s="231"/>
      <c r="B1889" s="232"/>
      <c r="C1889" s="400"/>
      <c r="D1889" s="233"/>
      <c r="E1889" s="405"/>
      <c r="F1889" s="405"/>
      <c r="G1889" s="405"/>
      <c r="H1889" s="408">
        <f>ROUND(+E1889+F1889+G1889,4)</f>
        <v>0</v>
      </c>
      <c r="I1889" s="234"/>
      <c r="J1889" s="411"/>
      <c r="K1889" s="411"/>
      <c r="L1889" s="414">
        <v>0.1</v>
      </c>
      <c r="M1889" s="414">
        <f>ROUND(+L1889*C1889,4)</f>
        <v>0</v>
      </c>
      <c r="N1889" s="414"/>
      <c r="O1889" s="414"/>
      <c r="P1889" s="414"/>
      <c r="Q1889" s="419">
        <f>ROUND(+N1889+O1889+P1889,4)</f>
        <v>0</v>
      </c>
      <c r="R1889" s="419">
        <f>ROUND(IF(+Q1889-H1889&lt;=0,0,Q1889-H1889),4)</f>
        <v>0</v>
      </c>
      <c r="S1889" s="423">
        <v>0.5</v>
      </c>
      <c r="T1889" s="419">
        <f>ROUND(+(R1889*C1889)*S1889,4)</f>
        <v>0</v>
      </c>
      <c r="U1889" s="419">
        <f>ROUND(+J1889+M1889+T1889,4)</f>
        <v>0</v>
      </c>
      <c r="V1889" s="235"/>
    </row>
    <row r="1890" spans="1:22" ht="15.75" x14ac:dyDescent="0.25">
      <c r="A1890" s="231"/>
      <c r="B1890" s="232"/>
      <c r="C1890" s="400"/>
      <c r="D1890" s="233"/>
      <c r="E1890" s="405"/>
      <c r="F1890" s="405"/>
      <c r="G1890" s="405"/>
      <c r="H1890" s="408">
        <f>ROUND(+E1890+F1890+G1890,4)</f>
        <v>0</v>
      </c>
      <c r="I1890" s="234"/>
      <c r="J1890" s="411"/>
      <c r="K1890" s="411"/>
      <c r="L1890" s="414">
        <v>0.1</v>
      </c>
      <c r="M1890" s="414">
        <f>ROUND(+L1890*C1890,4)</f>
        <v>0</v>
      </c>
      <c r="N1890" s="414"/>
      <c r="O1890" s="414"/>
      <c r="P1890" s="414"/>
      <c r="Q1890" s="419">
        <f>ROUND(+N1890+O1890+P1890,4)</f>
        <v>0</v>
      </c>
      <c r="R1890" s="419">
        <f>ROUND(IF(+Q1890-H1890&lt;=0,0,Q1890-H1890),4)</f>
        <v>0</v>
      </c>
      <c r="S1890" s="423">
        <v>0.5</v>
      </c>
      <c r="T1890" s="419">
        <f>ROUND(+(R1890*C1890)*S1890,4)</f>
        <v>0</v>
      </c>
      <c r="U1890" s="419">
        <f>ROUND(+J1890+M1890+T1890,4)</f>
        <v>0</v>
      </c>
      <c r="V1890" s="235"/>
    </row>
    <row r="1891" spans="1:22" ht="15.75" x14ac:dyDescent="0.25">
      <c r="A1891" s="231"/>
      <c r="B1891" s="232"/>
      <c r="C1891" s="400"/>
      <c r="D1891" s="233"/>
      <c r="E1891" s="405"/>
      <c r="F1891" s="405"/>
      <c r="G1891" s="405"/>
      <c r="H1891" s="408">
        <f>ROUND(+E1891+F1891+G1891,4)</f>
        <v>0</v>
      </c>
      <c r="I1891" s="234"/>
      <c r="J1891" s="411"/>
      <c r="K1891" s="411"/>
      <c r="L1891" s="414">
        <v>0.1</v>
      </c>
      <c r="M1891" s="414">
        <f>ROUND(+L1891*C1891,4)</f>
        <v>0</v>
      </c>
      <c r="N1891" s="414"/>
      <c r="O1891" s="414"/>
      <c r="P1891" s="414"/>
      <c r="Q1891" s="419">
        <f>ROUND(+N1891+O1891+P1891,4)</f>
        <v>0</v>
      </c>
      <c r="R1891" s="419">
        <f>ROUND(IF(+Q1891-H1891&lt;=0,0,Q1891-H1891),4)</f>
        <v>0</v>
      </c>
      <c r="S1891" s="423">
        <v>0.5</v>
      </c>
      <c r="T1891" s="419">
        <f>ROUND(+(R1891*C1891)*S1891,4)</f>
        <v>0</v>
      </c>
      <c r="U1891" s="419">
        <f>ROUND(+J1891+M1891+T1891,4)</f>
        <v>0</v>
      </c>
      <c r="V1891" s="235"/>
    </row>
    <row r="1892" spans="1:22" ht="15.75" x14ac:dyDescent="0.25">
      <c r="A1892" s="231"/>
      <c r="B1892" s="232"/>
      <c r="C1892" s="400"/>
      <c r="D1892" s="233"/>
      <c r="E1892" s="405"/>
      <c r="F1892" s="405"/>
      <c r="G1892" s="405"/>
      <c r="H1892" s="408">
        <f>ROUND(+E1892+F1892+G1892,4)</f>
        <v>0</v>
      </c>
      <c r="I1892" s="234"/>
      <c r="J1892" s="411"/>
      <c r="K1892" s="411"/>
      <c r="L1892" s="414">
        <v>0.1</v>
      </c>
      <c r="M1892" s="414">
        <f>ROUND(+L1892*C1892,4)</f>
        <v>0</v>
      </c>
      <c r="N1892" s="414"/>
      <c r="O1892" s="414"/>
      <c r="P1892" s="414"/>
      <c r="Q1892" s="419">
        <f>ROUND(+N1892+O1892+P1892,4)</f>
        <v>0</v>
      </c>
      <c r="R1892" s="419">
        <f>ROUND(IF(+Q1892-H1892&lt;=0,0,Q1892-H1892),4)</f>
        <v>0</v>
      </c>
      <c r="S1892" s="423">
        <v>0.5</v>
      </c>
      <c r="T1892" s="419">
        <f>ROUND(+(R1892*C1892)*S1892,4)</f>
        <v>0</v>
      </c>
      <c r="U1892" s="419">
        <f>ROUND(+J1892+M1892+T1892,4)</f>
        <v>0</v>
      </c>
      <c r="V1892" s="235"/>
    </row>
    <row r="1893" spans="1:22" ht="15.75" x14ac:dyDescent="0.25">
      <c r="A1893" s="231"/>
      <c r="B1893" s="232"/>
      <c r="C1893" s="400"/>
      <c r="D1893" s="233"/>
      <c r="E1893" s="405"/>
      <c r="F1893" s="405"/>
      <c r="G1893" s="405"/>
      <c r="H1893" s="408">
        <f>ROUND(+E1893+F1893+G1893,4)</f>
        <v>0</v>
      </c>
      <c r="I1893" s="234"/>
      <c r="J1893" s="411"/>
      <c r="K1893" s="411"/>
      <c r="L1893" s="414">
        <v>0.1</v>
      </c>
      <c r="M1893" s="414">
        <f>ROUND(+L1893*C1893,4)</f>
        <v>0</v>
      </c>
      <c r="N1893" s="414"/>
      <c r="O1893" s="414"/>
      <c r="P1893" s="414"/>
      <c r="Q1893" s="419">
        <f>ROUND(+N1893+O1893+P1893,4)</f>
        <v>0</v>
      </c>
      <c r="R1893" s="419">
        <f>ROUND(IF(+Q1893-H1893&lt;=0,0,Q1893-H1893),4)</f>
        <v>0</v>
      </c>
      <c r="S1893" s="423">
        <v>0.5</v>
      </c>
      <c r="T1893" s="419">
        <f>ROUND(+(R1893*C1893)*S1893,4)</f>
        <v>0</v>
      </c>
      <c r="U1893" s="419">
        <f>ROUND(+J1893+M1893+T1893,4)</f>
        <v>0</v>
      </c>
      <c r="V1893" s="235"/>
    </row>
    <row r="1894" spans="1:22" ht="15.75" x14ac:dyDescent="0.25">
      <c r="A1894" s="231"/>
      <c r="B1894" s="232"/>
      <c r="C1894" s="400"/>
      <c r="D1894" s="233"/>
      <c r="E1894" s="405"/>
      <c r="F1894" s="405"/>
      <c r="G1894" s="405"/>
      <c r="H1894" s="408">
        <f>ROUND(+E1894+F1894+G1894,4)</f>
        <v>0</v>
      </c>
      <c r="I1894" s="234"/>
      <c r="J1894" s="411"/>
      <c r="K1894" s="411"/>
      <c r="L1894" s="414">
        <v>0.1</v>
      </c>
      <c r="M1894" s="414">
        <f>ROUND(+L1894*C1894,4)</f>
        <v>0</v>
      </c>
      <c r="N1894" s="414"/>
      <c r="O1894" s="414"/>
      <c r="P1894" s="414"/>
      <c r="Q1894" s="419">
        <f>ROUND(+N1894+O1894+P1894,4)</f>
        <v>0</v>
      </c>
      <c r="R1894" s="419">
        <f>ROUND(IF(+Q1894-H1894&lt;=0,0,Q1894-H1894),4)</f>
        <v>0</v>
      </c>
      <c r="S1894" s="423">
        <v>0.5</v>
      </c>
      <c r="T1894" s="419">
        <f>ROUND(+(R1894*C1894)*S1894,4)</f>
        <v>0</v>
      </c>
      <c r="U1894" s="419">
        <f>ROUND(+J1894+M1894+T1894,4)</f>
        <v>0</v>
      </c>
      <c r="V1894" s="235"/>
    </row>
    <row r="1895" spans="1:22" ht="15.75" x14ac:dyDescent="0.25">
      <c r="A1895" s="231"/>
      <c r="B1895" s="232"/>
      <c r="C1895" s="400"/>
      <c r="D1895" s="233"/>
      <c r="E1895" s="405"/>
      <c r="F1895" s="405"/>
      <c r="G1895" s="405"/>
      <c r="H1895" s="408">
        <f>ROUND(+E1895+F1895+G1895,4)</f>
        <v>0</v>
      </c>
      <c r="I1895" s="234"/>
      <c r="J1895" s="411"/>
      <c r="K1895" s="411"/>
      <c r="L1895" s="414">
        <v>0.1</v>
      </c>
      <c r="M1895" s="414">
        <f>ROUND(+L1895*C1895,4)</f>
        <v>0</v>
      </c>
      <c r="N1895" s="414"/>
      <c r="O1895" s="414"/>
      <c r="P1895" s="414"/>
      <c r="Q1895" s="419">
        <f>ROUND(+N1895+O1895+P1895,4)</f>
        <v>0</v>
      </c>
      <c r="R1895" s="419">
        <f>ROUND(IF(+Q1895-H1895&lt;=0,0,Q1895-H1895),4)</f>
        <v>0</v>
      </c>
      <c r="S1895" s="423">
        <v>0.5</v>
      </c>
      <c r="T1895" s="419">
        <f>ROUND(+(R1895*C1895)*S1895,4)</f>
        <v>0</v>
      </c>
      <c r="U1895" s="419">
        <f>ROUND(+J1895+M1895+T1895,4)</f>
        <v>0</v>
      </c>
      <c r="V1895" s="235"/>
    </row>
    <row r="1896" spans="1:22" ht="15.75" x14ac:dyDescent="0.25">
      <c r="A1896" s="231"/>
      <c r="B1896" s="232"/>
      <c r="C1896" s="400"/>
      <c r="D1896" s="233"/>
      <c r="E1896" s="405"/>
      <c r="F1896" s="405"/>
      <c r="G1896" s="405"/>
      <c r="H1896" s="408">
        <f>ROUND(+E1896+F1896+G1896,4)</f>
        <v>0</v>
      </c>
      <c r="I1896" s="234"/>
      <c r="J1896" s="411"/>
      <c r="K1896" s="411"/>
      <c r="L1896" s="414">
        <v>0.1</v>
      </c>
      <c r="M1896" s="414">
        <f>ROUND(+L1896*C1896,4)</f>
        <v>0</v>
      </c>
      <c r="N1896" s="414"/>
      <c r="O1896" s="414"/>
      <c r="P1896" s="414"/>
      <c r="Q1896" s="419">
        <f>ROUND(+N1896+O1896+P1896,4)</f>
        <v>0</v>
      </c>
      <c r="R1896" s="419">
        <f>ROUND(IF(+Q1896-H1896&lt;=0,0,Q1896-H1896),4)</f>
        <v>0</v>
      </c>
      <c r="S1896" s="423">
        <v>0.5</v>
      </c>
      <c r="T1896" s="419">
        <f>ROUND(+(R1896*C1896)*S1896,4)</f>
        <v>0</v>
      </c>
      <c r="U1896" s="419">
        <f>ROUND(+J1896+M1896+T1896,4)</f>
        <v>0</v>
      </c>
      <c r="V1896" s="235"/>
    </row>
    <row r="1897" spans="1:22" ht="15.75" x14ac:dyDescent="0.25">
      <c r="A1897" s="231"/>
      <c r="B1897" s="232"/>
      <c r="C1897" s="400"/>
      <c r="D1897" s="233"/>
      <c r="E1897" s="405"/>
      <c r="F1897" s="405"/>
      <c r="G1897" s="405"/>
      <c r="H1897" s="408">
        <f>ROUND(+E1897+F1897+G1897,4)</f>
        <v>0</v>
      </c>
      <c r="I1897" s="234"/>
      <c r="J1897" s="411"/>
      <c r="K1897" s="411"/>
      <c r="L1897" s="414">
        <v>0.1</v>
      </c>
      <c r="M1897" s="414">
        <f>ROUND(+L1897*C1897,4)</f>
        <v>0</v>
      </c>
      <c r="N1897" s="414"/>
      <c r="O1897" s="414"/>
      <c r="P1897" s="414"/>
      <c r="Q1897" s="419">
        <f>ROUND(+N1897+O1897+P1897,4)</f>
        <v>0</v>
      </c>
      <c r="R1897" s="419">
        <f>ROUND(IF(+Q1897-H1897&lt;=0,0,Q1897-H1897),4)</f>
        <v>0</v>
      </c>
      <c r="S1897" s="423">
        <v>0.5</v>
      </c>
      <c r="T1897" s="419">
        <f>ROUND(+(R1897*C1897)*S1897,4)</f>
        <v>0</v>
      </c>
      <c r="U1897" s="419">
        <f>ROUND(+J1897+M1897+T1897,4)</f>
        <v>0</v>
      </c>
      <c r="V1897" s="235"/>
    </row>
    <row r="1898" spans="1:22" ht="15.75" x14ac:dyDescent="0.25">
      <c r="A1898" s="231"/>
      <c r="B1898" s="232"/>
      <c r="C1898" s="400"/>
      <c r="D1898" s="233"/>
      <c r="E1898" s="405"/>
      <c r="F1898" s="405"/>
      <c r="G1898" s="405"/>
      <c r="H1898" s="408">
        <f>ROUND(+E1898+F1898+G1898,4)</f>
        <v>0</v>
      </c>
      <c r="I1898" s="234"/>
      <c r="J1898" s="411"/>
      <c r="K1898" s="411"/>
      <c r="L1898" s="414">
        <v>0.1</v>
      </c>
      <c r="M1898" s="414">
        <f>ROUND(+L1898*C1898,4)</f>
        <v>0</v>
      </c>
      <c r="N1898" s="414"/>
      <c r="O1898" s="414"/>
      <c r="P1898" s="414"/>
      <c r="Q1898" s="419">
        <f>ROUND(+N1898+O1898+P1898,4)</f>
        <v>0</v>
      </c>
      <c r="R1898" s="419">
        <f>ROUND(IF(+Q1898-H1898&lt;=0,0,Q1898-H1898),4)</f>
        <v>0</v>
      </c>
      <c r="S1898" s="423">
        <v>0.5</v>
      </c>
      <c r="T1898" s="419">
        <f>ROUND(+(R1898*C1898)*S1898,4)</f>
        <v>0</v>
      </c>
      <c r="U1898" s="419">
        <f>ROUND(+J1898+M1898+T1898,4)</f>
        <v>0</v>
      </c>
      <c r="V1898" s="235"/>
    </row>
    <row r="1899" spans="1:22" ht="15.75" x14ac:dyDescent="0.25">
      <c r="A1899" s="231"/>
      <c r="B1899" s="232"/>
      <c r="C1899" s="400"/>
      <c r="D1899" s="233"/>
      <c r="E1899" s="405"/>
      <c r="F1899" s="405"/>
      <c r="G1899" s="405"/>
      <c r="H1899" s="408">
        <f>ROUND(+E1899+F1899+G1899,4)</f>
        <v>0</v>
      </c>
      <c r="I1899" s="234"/>
      <c r="J1899" s="411"/>
      <c r="K1899" s="411"/>
      <c r="L1899" s="414">
        <v>0.1</v>
      </c>
      <c r="M1899" s="414">
        <f>ROUND(+L1899*C1899,4)</f>
        <v>0</v>
      </c>
      <c r="N1899" s="414"/>
      <c r="O1899" s="414"/>
      <c r="P1899" s="414"/>
      <c r="Q1899" s="419">
        <f>ROUND(+N1899+O1899+P1899,4)</f>
        <v>0</v>
      </c>
      <c r="R1899" s="419">
        <f>ROUND(IF(+Q1899-H1899&lt;=0,0,Q1899-H1899),4)</f>
        <v>0</v>
      </c>
      <c r="S1899" s="423">
        <v>0.5</v>
      </c>
      <c r="T1899" s="419">
        <f>ROUND(+(R1899*C1899)*S1899,4)</f>
        <v>0</v>
      </c>
      <c r="U1899" s="419">
        <f>ROUND(+J1899+M1899+T1899,4)</f>
        <v>0</v>
      </c>
      <c r="V1899" s="235"/>
    </row>
    <row r="1900" spans="1:22" ht="15.75" x14ac:dyDescent="0.25">
      <c r="A1900" s="231"/>
      <c r="B1900" s="232"/>
      <c r="C1900" s="400"/>
      <c r="D1900" s="233"/>
      <c r="E1900" s="405"/>
      <c r="F1900" s="405"/>
      <c r="G1900" s="405"/>
      <c r="H1900" s="408">
        <f>ROUND(+E1900+F1900+G1900,4)</f>
        <v>0</v>
      </c>
      <c r="I1900" s="234"/>
      <c r="J1900" s="411"/>
      <c r="K1900" s="411"/>
      <c r="L1900" s="414">
        <v>0.1</v>
      </c>
      <c r="M1900" s="414">
        <f>ROUND(+L1900*C1900,4)</f>
        <v>0</v>
      </c>
      <c r="N1900" s="414"/>
      <c r="O1900" s="414"/>
      <c r="P1900" s="414"/>
      <c r="Q1900" s="419">
        <f>ROUND(+N1900+O1900+P1900,4)</f>
        <v>0</v>
      </c>
      <c r="R1900" s="419">
        <f>ROUND(IF(+Q1900-H1900&lt;=0,0,Q1900-H1900),4)</f>
        <v>0</v>
      </c>
      <c r="S1900" s="423">
        <v>0.5</v>
      </c>
      <c r="T1900" s="419">
        <f>ROUND(+(R1900*C1900)*S1900,4)</f>
        <v>0</v>
      </c>
      <c r="U1900" s="419">
        <f>ROUND(+J1900+M1900+T1900,4)</f>
        <v>0</v>
      </c>
      <c r="V1900" s="235"/>
    </row>
    <row r="1901" spans="1:22" ht="15.75" x14ac:dyDescent="0.25">
      <c r="A1901" s="231"/>
      <c r="B1901" s="232"/>
      <c r="C1901" s="400"/>
      <c r="D1901" s="233"/>
      <c r="E1901" s="405"/>
      <c r="F1901" s="405"/>
      <c r="G1901" s="405"/>
      <c r="H1901" s="408">
        <f>ROUND(+E1901+F1901+G1901,4)</f>
        <v>0</v>
      </c>
      <c r="I1901" s="234"/>
      <c r="J1901" s="411"/>
      <c r="K1901" s="411"/>
      <c r="L1901" s="414">
        <v>0.1</v>
      </c>
      <c r="M1901" s="414">
        <f>ROUND(+L1901*C1901,4)</f>
        <v>0</v>
      </c>
      <c r="N1901" s="414"/>
      <c r="O1901" s="414"/>
      <c r="P1901" s="414"/>
      <c r="Q1901" s="419">
        <f>ROUND(+N1901+O1901+P1901,4)</f>
        <v>0</v>
      </c>
      <c r="R1901" s="419">
        <f>ROUND(IF(+Q1901-H1901&lt;=0,0,Q1901-H1901),4)</f>
        <v>0</v>
      </c>
      <c r="S1901" s="423">
        <v>0.5</v>
      </c>
      <c r="T1901" s="419">
        <f>ROUND(+(R1901*C1901)*S1901,4)</f>
        <v>0</v>
      </c>
      <c r="U1901" s="419">
        <f>ROUND(+J1901+M1901+T1901,4)</f>
        <v>0</v>
      </c>
      <c r="V1901" s="235"/>
    </row>
    <row r="1902" spans="1:22" ht="15.75" x14ac:dyDescent="0.25">
      <c r="A1902" s="231"/>
      <c r="B1902" s="232"/>
      <c r="C1902" s="400"/>
      <c r="D1902" s="233"/>
      <c r="E1902" s="405"/>
      <c r="F1902" s="405"/>
      <c r="G1902" s="405"/>
      <c r="H1902" s="408">
        <f>ROUND(+E1902+F1902+G1902,4)</f>
        <v>0</v>
      </c>
      <c r="I1902" s="234"/>
      <c r="J1902" s="411"/>
      <c r="K1902" s="411"/>
      <c r="L1902" s="414">
        <v>0.1</v>
      </c>
      <c r="M1902" s="414">
        <f>ROUND(+L1902*C1902,4)</f>
        <v>0</v>
      </c>
      <c r="N1902" s="414"/>
      <c r="O1902" s="414"/>
      <c r="P1902" s="414"/>
      <c r="Q1902" s="419">
        <f>ROUND(+N1902+O1902+P1902,4)</f>
        <v>0</v>
      </c>
      <c r="R1902" s="419">
        <f>ROUND(IF(+Q1902-H1902&lt;=0,0,Q1902-H1902),4)</f>
        <v>0</v>
      </c>
      <c r="S1902" s="423">
        <v>0.5</v>
      </c>
      <c r="T1902" s="419">
        <f>ROUND(+(R1902*C1902)*S1902,4)</f>
        <v>0</v>
      </c>
      <c r="U1902" s="419">
        <f>ROUND(+J1902+M1902+T1902,4)</f>
        <v>0</v>
      </c>
      <c r="V1902" s="235"/>
    </row>
    <row r="1903" spans="1:22" ht="15.75" x14ac:dyDescent="0.25">
      <c r="A1903" s="231"/>
      <c r="B1903" s="232"/>
      <c r="C1903" s="400"/>
      <c r="D1903" s="233"/>
      <c r="E1903" s="405"/>
      <c r="F1903" s="405"/>
      <c r="G1903" s="405"/>
      <c r="H1903" s="408">
        <f>ROUND(+E1903+F1903+G1903,4)</f>
        <v>0</v>
      </c>
      <c r="I1903" s="234"/>
      <c r="J1903" s="411"/>
      <c r="K1903" s="411"/>
      <c r="L1903" s="414">
        <v>0.1</v>
      </c>
      <c r="M1903" s="414">
        <f>ROUND(+L1903*C1903,4)</f>
        <v>0</v>
      </c>
      <c r="N1903" s="414"/>
      <c r="O1903" s="414"/>
      <c r="P1903" s="414"/>
      <c r="Q1903" s="419">
        <f>ROUND(+N1903+O1903+P1903,4)</f>
        <v>0</v>
      </c>
      <c r="R1903" s="419">
        <f>ROUND(IF(+Q1903-H1903&lt;=0,0,Q1903-H1903),4)</f>
        <v>0</v>
      </c>
      <c r="S1903" s="423">
        <v>0.5</v>
      </c>
      <c r="T1903" s="419">
        <f>ROUND(+(R1903*C1903)*S1903,4)</f>
        <v>0</v>
      </c>
      <c r="U1903" s="419">
        <f>ROUND(+J1903+M1903+T1903,4)</f>
        <v>0</v>
      </c>
      <c r="V1903" s="235"/>
    </row>
    <row r="1904" spans="1:22" ht="15.75" x14ac:dyDescent="0.25">
      <c r="A1904" s="231"/>
      <c r="B1904" s="232"/>
      <c r="C1904" s="400"/>
      <c r="D1904" s="233"/>
      <c r="E1904" s="405"/>
      <c r="F1904" s="405"/>
      <c r="G1904" s="405"/>
      <c r="H1904" s="408">
        <f>ROUND(+E1904+F1904+G1904,4)</f>
        <v>0</v>
      </c>
      <c r="I1904" s="234"/>
      <c r="J1904" s="411"/>
      <c r="K1904" s="411"/>
      <c r="L1904" s="414">
        <v>0.1</v>
      </c>
      <c r="M1904" s="414">
        <f>ROUND(+L1904*C1904,4)</f>
        <v>0</v>
      </c>
      <c r="N1904" s="414"/>
      <c r="O1904" s="414"/>
      <c r="P1904" s="414"/>
      <c r="Q1904" s="419">
        <f>ROUND(+N1904+O1904+P1904,4)</f>
        <v>0</v>
      </c>
      <c r="R1904" s="419">
        <f>ROUND(IF(+Q1904-H1904&lt;=0,0,Q1904-H1904),4)</f>
        <v>0</v>
      </c>
      <c r="S1904" s="423">
        <v>0.5</v>
      </c>
      <c r="T1904" s="419">
        <f>ROUND(+(R1904*C1904)*S1904,4)</f>
        <v>0</v>
      </c>
      <c r="U1904" s="419">
        <f>ROUND(+J1904+M1904+T1904,4)</f>
        <v>0</v>
      </c>
      <c r="V1904" s="235"/>
    </row>
    <row r="1905" spans="1:22" ht="15.75" x14ac:dyDescent="0.25">
      <c r="A1905" s="231"/>
      <c r="B1905" s="232"/>
      <c r="C1905" s="400"/>
      <c r="D1905" s="233"/>
      <c r="E1905" s="405"/>
      <c r="F1905" s="405"/>
      <c r="G1905" s="405"/>
      <c r="H1905" s="408">
        <f>ROUND(+E1905+F1905+G1905,4)</f>
        <v>0</v>
      </c>
      <c r="I1905" s="234"/>
      <c r="J1905" s="411"/>
      <c r="K1905" s="411"/>
      <c r="L1905" s="414">
        <v>0.1</v>
      </c>
      <c r="M1905" s="414">
        <f>ROUND(+L1905*C1905,4)</f>
        <v>0</v>
      </c>
      <c r="N1905" s="414"/>
      <c r="O1905" s="414"/>
      <c r="P1905" s="414"/>
      <c r="Q1905" s="419">
        <f>ROUND(+N1905+O1905+P1905,4)</f>
        <v>0</v>
      </c>
      <c r="R1905" s="419">
        <f>ROUND(IF(+Q1905-H1905&lt;=0,0,Q1905-H1905),4)</f>
        <v>0</v>
      </c>
      <c r="S1905" s="423">
        <v>0.5</v>
      </c>
      <c r="T1905" s="419">
        <f>ROUND(+(R1905*C1905)*S1905,4)</f>
        <v>0</v>
      </c>
      <c r="U1905" s="419">
        <f>ROUND(+J1905+M1905+T1905,4)</f>
        <v>0</v>
      </c>
      <c r="V1905" s="235"/>
    </row>
    <row r="1906" spans="1:22" ht="15.75" x14ac:dyDescent="0.25">
      <c r="A1906" s="231"/>
      <c r="B1906" s="232"/>
      <c r="C1906" s="400"/>
      <c r="D1906" s="233"/>
      <c r="E1906" s="405"/>
      <c r="F1906" s="405"/>
      <c r="G1906" s="405"/>
      <c r="H1906" s="408">
        <f>ROUND(+E1906+F1906+G1906,4)</f>
        <v>0</v>
      </c>
      <c r="I1906" s="234"/>
      <c r="J1906" s="411"/>
      <c r="K1906" s="411"/>
      <c r="L1906" s="414">
        <v>0.1</v>
      </c>
      <c r="M1906" s="414">
        <f>ROUND(+L1906*C1906,4)</f>
        <v>0</v>
      </c>
      <c r="N1906" s="414"/>
      <c r="O1906" s="414"/>
      <c r="P1906" s="414"/>
      <c r="Q1906" s="419">
        <f>ROUND(+N1906+O1906+P1906,4)</f>
        <v>0</v>
      </c>
      <c r="R1906" s="419">
        <f>ROUND(IF(+Q1906-H1906&lt;=0,0,Q1906-H1906),4)</f>
        <v>0</v>
      </c>
      <c r="S1906" s="423">
        <v>0.5</v>
      </c>
      <c r="T1906" s="419">
        <f>ROUND(+(R1906*C1906)*S1906,4)</f>
        <v>0</v>
      </c>
      <c r="U1906" s="419">
        <f>ROUND(+J1906+M1906+T1906,4)</f>
        <v>0</v>
      </c>
      <c r="V1906" s="235"/>
    </row>
    <row r="1907" spans="1:22" ht="15.75" x14ac:dyDescent="0.25">
      <c r="A1907" s="231"/>
      <c r="B1907" s="232"/>
      <c r="C1907" s="400"/>
      <c r="D1907" s="233"/>
      <c r="E1907" s="405"/>
      <c r="F1907" s="405"/>
      <c r="G1907" s="405"/>
      <c r="H1907" s="408">
        <f>ROUND(+E1907+F1907+G1907,4)</f>
        <v>0</v>
      </c>
      <c r="I1907" s="234"/>
      <c r="J1907" s="411"/>
      <c r="K1907" s="411"/>
      <c r="L1907" s="414">
        <v>0.1</v>
      </c>
      <c r="M1907" s="414">
        <f>ROUND(+L1907*C1907,4)</f>
        <v>0</v>
      </c>
      <c r="N1907" s="414"/>
      <c r="O1907" s="414"/>
      <c r="P1907" s="414"/>
      <c r="Q1907" s="419">
        <f>ROUND(+N1907+O1907+P1907,4)</f>
        <v>0</v>
      </c>
      <c r="R1907" s="419">
        <f>ROUND(IF(+Q1907-H1907&lt;=0,0,Q1907-H1907),4)</f>
        <v>0</v>
      </c>
      <c r="S1907" s="423">
        <v>0.5</v>
      </c>
      <c r="T1907" s="419">
        <f>ROUND(+(R1907*C1907)*S1907,4)</f>
        <v>0</v>
      </c>
      <c r="U1907" s="419">
        <f>ROUND(+J1907+M1907+T1907,4)</f>
        <v>0</v>
      </c>
      <c r="V1907" s="235"/>
    </row>
    <row r="1908" spans="1:22" ht="15.75" x14ac:dyDescent="0.25">
      <c r="A1908" s="231"/>
      <c r="B1908" s="232"/>
      <c r="C1908" s="400"/>
      <c r="D1908" s="233"/>
      <c r="E1908" s="405"/>
      <c r="F1908" s="405"/>
      <c r="G1908" s="405"/>
      <c r="H1908" s="408">
        <f>ROUND(+E1908+F1908+G1908,4)</f>
        <v>0</v>
      </c>
      <c r="I1908" s="234"/>
      <c r="J1908" s="411"/>
      <c r="K1908" s="411"/>
      <c r="L1908" s="414">
        <v>0.1</v>
      </c>
      <c r="M1908" s="414">
        <f>ROUND(+L1908*C1908,4)</f>
        <v>0</v>
      </c>
      <c r="N1908" s="414"/>
      <c r="O1908" s="414"/>
      <c r="P1908" s="414"/>
      <c r="Q1908" s="419">
        <f>ROUND(+N1908+O1908+P1908,4)</f>
        <v>0</v>
      </c>
      <c r="R1908" s="419">
        <f>ROUND(IF(+Q1908-H1908&lt;=0,0,Q1908-H1908),4)</f>
        <v>0</v>
      </c>
      <c r="S1908" s="423">
        <v>0.5</v>
      </c>
      <c r="T1908" s="419">
        <f>ROUND(+(R1908*C1908)*S1908,4)</f>
        <v>0</v>
      </c>
      <c r="U1908" s="419">
        <f>ROUND(+J1908+M1908+T1908,4)</f>
        <v>0</v>
      </c>
      <c r="V1908" s="235"/>
    </row>
    <row r="1909" spans="1:22" ht="15.75" x14ac:dyDescent="0.25">
      <c r="A1909" s="231"/>
      <c r="B1909" s="232"/>
      <c r="C1909" s="400"/>
      <c r="D1909" s="233"/>
      <c r="E1909" s="405"/>
      <c r="F1909" s="405"/>
      <c r="G1909" s="405"/>
      <c r="H1909" s="408">
        <f>ROUND(+E1909+F1909+G1909,4)</f>
        <v>0</v>
      </c>
      <c r="I1909" s="234"/>
      <c r="J1909" s="411"/>
      <c r="K1909" s="411"/>
      <c r="L1909" s="414">
        <v>0.1</v>
      </c>
      <c r="M1909" s="414">
        <f>ROUND(+L1909*C1909,4)</f>
        <v>0</v>
      </c>
      <c r="N1909" s="414"/>
      <c r="O1909" s="414"/>
      <c r="P1909" s="414"/>
      <c r="Q1909" s="419">
        <f>ROUND(+N1909+O1909+P1909,4)</f>
        <v>0</v>
      </c>
      <c r="R1909" s="419">
        <f>ROUND(IF(+Q1909-H1909&lt;=0,0,Q1909-H1909),4)</f>
        <v>0</v>
      </c>
      <c r="S1909" s="423">
        <v>0.5</v>
      </c>
      <c r="T1909" s="419">
        <f>ROUND(+(R1909*C1909)*S1909,4)</f>
        <v>0</v>
      </c>
      <c r="U1909" s="419">
        <f>ROUND(+J1909+M1909+T1909,4)</f>
        <v>0</v>
      </c>
      <c r="V1909" s="235"/>
    </row>
    <row r="1910" spans="1:22" ht="15.75" x14ac:dyDescent="0.25">
      <c r="A1910" s="231"/>
      <c r="B1910" s="232"/>
      <c r="C1910" s="400"/>
      <c r="D1910" s="233"/>
      <c r="E1910" s="405"/>
      <c r="F1910" s="405"/>
      <c r="G1910" s="405"/>
      <c r="H1910" s="408">
        <f>ROUND(+E1910+F1910+G1910,4)</f>
        <v>0</v>
      </c>
      <c r="I1910" s="234"/>
      <c r="J1910" s="411"/>
      <c r="K1910" s="411"/>
      <c r="L1910" s="414">
        <v>0.1</v>
      </c>
      <c r="M1910" s="414">
        <f>ROUND(+L1910*C1910,4)</f>
        <v>0</v>
      </c>
      <c r="N1910" s="414"/>
      <c r="O1910" s="414"/>
      <c r="P1910" s="414"/>
      <c r="Q1910" s="419">
        <f>ROUND(+N1910+O1910+P1910,4)</f>
        <v>0</v>
      </c>
      <c r="R1910" s="419">
        <f>ROUND(IF(+Q1910-H1910&lt;=0,0,Q1910-H1910),4)</f>
        <v>0</v>
      </c>
      <c r="S1910" s="423">
        <v>0.5</v>
      </c>
      <c r="T1910" s="419">
        <f>ROUND(+(R1910*C1910)*S1910,4)</f>
        <v>0</v>
      </c>
      <c r="U1910" s="419">
        <f>ROUND(+J1910+M1910+T1910,4)</f>
        <v>0</v>
      </c>
      <c r="V1910" s="235"/>
    </row>
    <row r="1911" spans="1:22" ht="15.75" x14ac:dyDescent="0.25">
      <c r="A1911" s="231"/>
      <c r="B1911" s="232"/>
      <c r="C1911" s="400"/>
      <c r="D1911" s="233"/>
      <c r="E1911" s="405"/>
      <c r="F1911" s="405"/>
      <c r="G1911" s="405"/>
      <c r="H1911" s="408">
        <f>ROUND(+E1911+F1911+G1911,4)</f>
        <v>0</v>
      </c>
      <c r="I1911" s="234"/>
      <c r="J1911" s="411"/>
      <c r="K1911" s="411"/>
      <c r="L1911" s="414">
        <v>0.1</v>
      </c>
      <c r="M1911" s="414">
        <f>ROUND(+L1911*C1911,4)</f>
        <v>0</v>
      </c>
      <c r="N1911" s="414"/>
      <c r="O1911" s="414"/>
      <c r="P1911" s="414"/>
      <c r="Q1911" s="419">
        <f>ROUND(+N1911+O1911+P1911,4)</f>
        <v>0</v>
      </c>
      <c r="R1911" s="419">
        <f>ROUND(IF(+Q1911-H1911&lt;=0,0,Q1911-H1911),4)</f>
        <v>0</v>
      </c>
      <c r="S1911" s="423">
        <v>0.5</v>
      </c>
      <c r="T1911" s="419">
        <f>ROUND(+(R1911*C1911)*S1911,4)</f>
        <v>0</v>
      </c>
      <c r="U1911" s="419">
        <f>ROUND(+J1911+M1911+T1911,4)</f>
        <v>0</v>
      </c>
      <c r="V1911" s="235"/>
    </row>
    <row r="1912" spans="1:22" ht="15.75" x14ac:dyDescent="0.25">
      <c r="A1912" s="231"/>
      <c r="B1912" s="232"/>
      <c r="C1912" s="400"/>
      <c r="D1912" s="233"/>
      <c r="E1912" s="405"/>
      <c r="F1912" s="405"/>
      <c r="G1912" s="405"/>
      <c r="H1912" s="408">
        <f>ROUND(+E1912+F1912+G1912,4)</f>
        <v>0</v>
      </c>
      <c r="I1912" s="234"/>
      <c r="J1912" s="411"/>
      <c r="K1912" s="411"/>
      <c r="L1912" s="414">
        <v>0.1</v>
      </c>
      <c r="M1912" s="414">
        <f>ROUND(+L1912*C1912,4)</f>
        <v>0</v>
      </c>
      <c r="N1912" s="414"/>
      <c r="O1912" s="414"/>
      <c r="P1912" s="414"/>
      <c r="Q1912" s="419">
        <f>ROUND(+N1912+O1912+P1912,4)</f>
        <v>0</v>
      </c>
      <c r="R1912" s="419">
        <f>ROUND(IF(+Q1912-H1912&lt;=0,0,Q1912-H1912),4)</f>
        <v>0</v>
      </c>
      <c r="S1912" s="423">
        <v>0.5</v>
      </c>
      <c r="T1912" s="419">
        <f>ROUND(+(R1912*C1912)*S1912,4)</f>
        <v>0</v>
      </c>
      <c r="U1912" s="419">
        <f>ROUND(+J1912+M1912+T1912,4)</f>
        <v>0</v>
      </c>
      <c r="V1912" s="235"/>
    </row>
    <row r="1913" spans="1:22" ht="15.75" x14ac:dyDescent="0.25">
      <c r="A1913" s="231"/>
      <c r="B1913" s="232"/>
      <c r="C1913" s="400"/>
      <c r="D1913" s="233"/>
      <c r="E1913" s="405"/>
      <c r="F1913" s="405"/>
      <c r="G1913" s="405"/>
      <c r="H1913" s="408">
        <f>ROUND(+E1913+F1913+G1913,4)</f>
        <v>0</v>
      </c>
      <c r="I1913" s="234"/>
      <c r="J1913" s="411"/>
      <c r="K1913" s="411"/>
      <c r="L1913" s="414">
        <v>0.1</v>
      </c>
      <c r="M1913" s="414">
        <f>ROUND(+L1913*C1913,4)</f>
        <v>0</v>
      </c>
      <c r="N1913" s="414"/>
      <c r="O1913" s="414"/>
      <c r="P1913" s="414"/>
      <c r="Q1913" s="419">
        <f>ROUND(+N1913+O1913+P1913,4)</f>
        <v>0</v>
      </c>
      <c r="R1913" s="419">
        <f>ROUND(IF(+Q1913-H1913&lt;=0,0,Q1913-H1913),4)</f>
        <v>0</v>
      </c>
      <c r="S1913" s="423">
        <v>0.5</v>
      </c>
      <c r="T1913" s="419">
        <f>ROUND(+(R1913*C1913)*S1913,4)</f>
        <v>0</v>
      </c>
      <c r="U1913" s="419">
        <f>ROUND(+J1913+M1913+T1913,4)</f>
        <v>0</v>
      </c>
      <c r="V1913" s="235"/>
    </row>
    <row r="1914" spans="1:22" ht="15.75" x14ac:dyDescent="0.25">
      <c r="A1914" s="231"/>
      <c r="B1914" s="232"/>
      <c r="C1914" s="400"/>
      <c r="D1914" s="233"/>
      <c r="E1914" s="405"/>
      <c r="F1914" s="405"/>
      <c r="G1914" s="405"/>
      <c r="H1914" s="408">
        <f>ROUND(+E1914+F1914+G1914,4)</f>
        <v>0</v>
      </c>
      <c r="I1914" s="234"/>
      <c r="J1914" s="411"/>
      <c r="K1914" s="411"/>
      <c r="L1914" s="414">
        <v>0.1</v>
      </c>
      <c r="M1914" s="414">
        <f>ROUND(+L1914*C1914,4)</f>
        <v>0</v>
      </c>
      <c r="N1914" s="414"/>
      <c r="O1914" s="414"/>
      <c r="P1914" s="414"/>
      <c r="Q1914" s="419">
        <f>ROUND(+N1914+O1914+P1914,4)</f>
        <v>0</v>
      </c>
      <c r="R1914" s="419">
        <f>ROUND(IF(+Q1914-H1914&lt;=0,0,Q1914-H1914),4)</f>
        <v>0</v>
      </c>
      <c r="S1914" s="423">
        <v>0.5</v>
      </c>
      <c r="T1914" s="419">
        <f>ROUND(+(R1914*C1914)*S1914,4)</f>
        <v>0</v>
      </c>
      <c r="U1914" s="419">
        <f>ROUND(+J1914+M1914+T1914,4)</f>
        <v>0</v>
      </c>
      <c r="V1914" s="235"/>
    </row>
    <row r="1915" spans="1:22" ht="15.75" x14ac:dyDescent="0.25">
      <c r="A1915" s="231"/>
      <c r="B1915" s="232"/>
      <c r="C1915" s="400"/>
      <c r="D1915" s="233"/>
      <c r="E1915" s="405"/>
      <c r="F1915" s="405"/>
      <c r="G1915" s="405"/>
      <c r="H1915" s="408">
        <f>ROUND(+E1915+F1915+G1915,4)</f>
        <v>0</v>
      </c>
      <c r="I1915" s="234"/>
      <c r="J1915" s="411"/>
      <c r="K1915" s="411"/>
      <c r="L1915" s="414">
        <v>0.1</v>
      </c>
      <c r="M1915" s="414">
        <f>ROUND(+L1915*C1915,4)</f>
        <v>0</v>
      </c>
      <c r="N1915" s="414"/>
      <c r="O1915" s="414"/>
      <c r="P1915" s="414"/>
      <c r="Q1915" s="419">
        <f>ROUND(+N1915+O1915+P1915,4)</f>
        <v>0</v>
      </c>
      <c r="R1915" s="419">
        <f>ROUND(IF(+Q1915-H1915&lt;=0,0,Q1915-H1915),4)</f>
        <v>0</v>
      </c>
      <c r="S1915" s="423">
        <v>0.5</v>
      </c>
      <c r="T1915" s="419">
        <f>ROUND(+(R1915*C1915)*S1915,4)</f>
        <v>0</v>
      </c>
      <c r="U1915" s="419">
        <f>ROUND(+J1915+M1915+T1915,4)</f>
        <v>0</v>
      </c>
      <c r="V1915" s="235"/>
    </row>
    <row r="1916" spans="1:22" ht="15.75" x14ac:dyDescent="0.25">
      <c r="A1916" s="231"/>
      <c r="B1916" s="232"/>
      <c r="C1916" s="400"/>
      <c r="D1916" s="233"/>
      <c r="E1916" s="405"/>
      <c r="F1916" s="405"/>
      <c r="G1916" s="405"/>
      <c r="H1916" s="408">
        <f>ROUND(+E1916+F1916+G1916,4)</f>
        <v>0</v>
      </c>
      <c r="I1916" s="234"/>
      <c r="J1916" s="411"/>
      <c r="K1916" s="411"/>
      <c r="L1916" s="414">
        <v>0.1</v>
      </c>
      <c r="M1916" s="414">
        <f>ROUND(+L1916*C1916,4)</f>
        <v>0</v>
      </c>
      <c r="N1916" s="414"/>
      <c r="O1916" s="414"/>
      <c r="P1916" s="414"/>
      <c r="Q1916" s="419">
        <f>ROUND(+N1916+O1916+P1916,4)</f>
        <v>0</v>
      </c>
      <c r="R1916" s="419">
        <f>ROUND(IF(+Q1916-H1916&lt;=0,0,Q1916-H1916),4)</f>
        <v>0</v>
      </c>
      <c r="S1916" s="423">
        <v>0.5</v>
      </c>
      <c r="T1916" s="419">
        <f>ROUND(+(R1916*C1916)*S1916,4)</f>
        <v>0</v>
      </c>
      <c r="U1916" s="419">
        <f>ROUND(+J1916+M1916+T1916,4)</f>
        <v>0</v>
      </c>
      <c r="V1916" s="235"/>
    </row>
    <row r="1917" spans="1:22" ht="15.75" x14ac:dyDescent="0.25">
      <c r="A1917" s="231"/>
      <c r="B1917" s="232"/>
      <c r="C1917" s="400"/>
      <c r="D1917" s="233"/>
      <c r="E1917" s="405"/>
      <c r="F1917" s="405"/>
      <c r="G1917" s="405"/>
      <c r="H1917" s="408">
        <f>ROUND(+E1917+F1917+G1917,4)</f>
        <v>0</v>
      </c>
      <c r="I1917" s="234"/>
      <c r="J1917" s="411"/>
      <c r="K1917" s="411"/>
      <c r="L1917" s="414">
        <v>0.1</v>
      </c>
      <c r="M1917" s="414">
        <f>ROUND(+L1917*C1917,4)</f>
        <v>0</v>
      </c>
      <c r="N1917" s="414"/>
      <c r="O1917" s="414"/>
      <c r="P1917" s="414"/>
      <c r="Q1917" s="419">
        <f>ROUND(+N1917+O1917+P1917,4)</f>
        <v>0</v>
      </c>
      <c r="R1917" s="419">
        <f>ROUND(IF(+Q1917-H1917&lt;=0,0,Q1917-H1917),4)</f>
        <v>0</v>
      </c>
      <c r="S1917" s="423">
        <v>0.5</v>
      </c>
      <c r="T1917" s="419">
        <f>ROUND(+(R1917*C1917)*S1917,4)</f>
        <v>0</v>
      </c>
      <c r="U1917" s="419">
        <f>ROUND(+J1917+M1917+T1917,4)</f>
        <v>0</v>
      </c>
      <c r="V1917" s="235"/>
    </row>
    <row r="1918" spans="1:22" ht="15.75" x14ac:dyDescent="0.25">
      <c r="A1918" s="231"/>
      <c r="B1918" s="232"/>
      <c r="C1918" s="400"/>
      <c r="D1918" s="233"/>
      <c r="E1918" s="405"/>
      <c r="F1918" s="405"/>
      <c r="G1918" s="405"/>
      <c r="H1918" s="408">
        <f>ROUND(+E1918+F1918+G1918,4)</f>
        <v>0</v>
      </c>
      <c r="I1918" s="234"/>
      <c r="J1918" s="411"/>
      <c r="K1918" s="411"/>
      <c r="L1918" s="414">
        <v>0.1</v>
      </c>
      <c r="M1918" s="414">
        <f>ROUND(+L1918*C1918,4)</f>
        <v>0</v>
      </c>
      <c r="N1918" s="414"/>
      <c r="O1918" s="414"/>
      <c r="P1918" s="414"/>
      <c r="Q1918" s="419">
        <f>ROUND(+N1918+O1918+P1918,4)</f>
        <v>0</v>
      </c>
      <c r="R1918" s="419">
        <f>ROUND(IF(+Q1918-H1918&lt;=0,0,Q1918-H1918),4)</f>
        <v>0</v>
      </c>
      <c r="S1918" s="423">
        <v>0.5</v>
      </c>
      <c r="T1918" s="419">
        <f>ROUND(+(R1918*C1918)*S1918,4)</f>
        <v>0</v>
      </c>
      <c r="U1918" s="419">
        <f>ROUND(+J1918+M1918+T1918,4)</f>
        <v>0</v>
      </c>
      <c r="V1918" s="235"/>
    </row>
    <row r="1919" spans="1:22" ht="15.75" x14ac:dyDescent="0.25">
      <c r="A1919" s="231"/>
      <c r="B1919" s="232"/>
      <c r="C1919" s="400"/>
      <c r="D1919" s="233"/>
      <c r="E1919" s="405"/>
      <c r="F1919" s="405"/>
      <c r="G1919" s="405"/>
      <c r="H1919" s="408">
        <f>ROUND(+E1919+F1919+G1919,4)</f>
        <v>0</v>
      </c>
      <c r="I1919" s="234"/>
      <c r="J1919" s="411"/>
      <c r="K1919" s="411"/>
      <c r="L1919" s="414">
        <v>0.1</v>
      </c>
      <c r="M1919" s="414">
        <f>ROUND(+L1919*C1919,4)</f>
        <v>0</v>
      </c>
      <c r="N1919" s="414"/>
      <c r="O1919" s="414"/>
      <c r="P1919" s="414"/>
      <c r="Q1919" s="419">
        <f>ROUND(+N1919+O1919+P1919,4)</f>
        <v>0</v>
      </c>
      <c r="R1919" s="419">
        <f>ROUND(IF(+Q1919-H1919&lt;=0,0,Q1919-H1919),4)</f>
        <v>0</v>
      </c>
      <c r="S1919" s="423">
        <v>0.5</v>
      </c>
      <c r="T1919" s="419">
        <f>ROUND(+(R1919*C1919)*S1919,4)</f>
        <v>0</v>
      </c>
      <c r="U1919" s="419">
        <f>ROUND(+J1919+M1919+T1919,4)</f>
        <v>0</v>
      </c>
      <c r="V1919" s="235"/>
    </row>
    <row r="1920" spans="1:22" ht="15.75" x14ac:dyDescent="0.25">
      <c r="A1920" s="231"/>
      <c r="B1920" s="232"/>
      <c r="C1920" s="400"/>
      <c r="D1920" s="233"/>
      <c r="E1920" s="405"/>
      <c r="F1920" s="405"/>
      <c r="G1920" s="405"/>
      <c r="H1920" s="408">
        <f>ROUND(+E1920+F1920+G1920,4)</f>
        <v>0</v>
      </c>
      <c r="I1920" s="234"/>
      <c r="J1920" s="411"/>
      <c r="K1920" s="411"/>
      <c r="L1920" s="414">
        <v>0.1</v>
      </c>
      <c r="M1920" s="414">
        <f>ROUND(+L1920*C1920,4)</f>
        <v>0</v>
      </c>
      <c r="N1920" s="414"/>
      <c r="O1920" s="414"/>
      <c r="P1920" s="414"/>
      <c r="Q1920" s="419">
        <f>ROUND(+N1920+O1920+P1920,4)</f>
        <v>0</v>
      </c>
      <c r="R1920" s="419">
        <f>ROUND(IF(+Q1920-H1920&lt;=0,0,Q1920-H1920),4)</f>
        <v>0</v>
      </c>
      <c r="S1920" s="423">
        <v>0.5</v>
      </c>
      <c r="T1920" s="419">
        <f>ROUND(+(R1920*C1920)*S1920,4)</f>
        <v>0</v>
      </c>
      <c r="U1920" s="419">
        <f>ROUND(+J1920+M1920+T1920,4)</f>
        <v>0</v>
      </c>
      <c r="V1920" s="235"/>
    </row>
    <row r="1921" spans="1:22" ht="15.75" x14ac:dyDescent="0.25">
      <c r="A1921" s="231"/>
      <c r="B1921" s="232"/>
      <c r="C1921" s="400"/>
      <c r="D1921" s="233"/>
      <c r="E1921" s="405"/>
      <c r="F1921" s="405"/>
      <c r="G1921" s="405"/>
      <c r="H1921" s="408">
        <f>ROUND(+E1921+F1921+G1921,4)</f>
        <v>0</v>
      </c>
      <c r="I1921" s="234"/>
      <c r="J1921" s="411"/>
      <c r="K1921" s="411"/>
      <c r="L1921" s="414">
        <v>0.1</v>
      </c>
      <c r="M1921" s="414">
        <f>ROUND(+L1921*C1921,4)</f>
        <v>0</v>
      </c>
      <c r="N1921" s="414"/>
      <c r="O1921" s="414"/>
      <c r="P1921" s="414"/>
      <c r="Q1921" s="419">
        <f>ROUND(+N1921+O1921+P1921,4)</f>
        <v>0</v>
      </c>
      <c r="R1921" s="419">
        <f>ROUND(IF(+Q1921-H1921&lt;=0,0,Q1921-H1921),4)</f>
        <v>0</v>
      </c>
      <c r="S1921" s="423">
        <v>0.5</v>
      </c>
      <c r="T1921" s="419">
        <f>ROUND(+(R1921*C1921)*S1921,4)</f>
        <v>0</v>
      </c>
      <c r="U1921" s="419">
        <f>ROUND(+J1921+M1921+T1921,4)</f>
        <v>0</v>
      </c>
      <c r="V1921" s="235"/>
    </row>
    <row r="1922" spans="1:22" ht="15.75" x14ac:dyDescent="0.25">
      <c r="A1922" s="231"/>
      <c r="B1922" s="232"/>
      <c r="C1922" s="400"/>
      <c r="D1922" s="233"/>
      <c r="E1922" s="405"/>
      <c r="F1922" s="405"/>
      <c r="G1922" s="405"/>
      <c r="H1922" s="408">
        <f>ROUND(+E1922+F1922+G1922,4)</f>
        <v>0</v>
      </c>
      <c r="I1922" s="234"/>
      <c r="J1922" s="411"/>
      <c r="K1922" s="411"/>
      <c r="L1922" s="414">
        <v>0.1</v>
      </c>
      <c r="M1922" s="414">
        <f>ROUND(+L1922*C1922,4)</f>
        <v>0</v>
      </c>
      <c r="N1922" s="414"/>
      <c r="O1922" s="414"/>
      <c r="P1922" s="414"/>
      <c r="Q1922" s="419">
        <f>ROUND(+N1922+O1922+P1922,4)</f>
        <v>0</v>
      </c>
      <c r="R1922" s="419">
        <f>ROUND(IF(+Q1922-H1922&lt;=0,0,Q1922-H1922),4)</f>
        <v>0</v>
      </c>
      <c r="S1922" s="423">
        <v>0.5</v>
      </c>
      <c r="T1922" s="419">
        <f>ROUND(+(R1922*C1922)*S1922,4)</f>
        <v>0</v>
      </c>
      <c r="U1922" s="419">
        <f>ROUND(+J1922+M1922+T1922,4)</f>
        <v>0</v>
      </c>
      <c r="V1922" s="235"/>
    </row>
    <row r="1923" spans="1:22" ht="15.75" x14ac:dyDescent="0.25">
      <c r="A1923" s="231"/>
      <c r="B1923" s="232"/>
      <c r="C1923" s="400"/>
      <c r="D1923" s="233"/>
      <c r="E1923" s="405"/>
      <c r="F1923" s="405"/>
      <c r="G1923" s="405"/>
      <c r="H1923" s="408">
        <f>ROUND(+E1923+F1923+G1923,4)</f>
        <v>0</v>
      </c>
      <c r="I1923" s="234"/>
      <c r="J1923" s="411"/>
      <c r="K1923" s="411"/>
      <c r="L1923" s="414">
        <v>0.1</v>
      </c>
      <c r="M1923" s="414">
        <f>ROUND(+L1923*C1923,4)</f>
        <v>0</v>
      </c>
      <c r="N1923" s="414"/>
      <c r="O1923" s="414"/>
      <c r="P1923" s="414"/>
      <c r="Q1923" s="419">
        <f>ROUND(+N1923+O1923+P1923,4)</f>
        <v>0</v>
      </c>
      <c r="R1923" s="419">
        <f>ROUND(IF(+Q1923-H1923&lt;=0,0,Q1923-H1923),4)</f>
        <v>0</v>
      </c>
      <c r="S1923" s="423">
        <v>0.5</v>
      </c>
      <c r="T1923" s="419">
        <f>ROUND(+(R1923*C1923)*S1923,4)</f>
        <v>0</v>
      </c>
      <c r="U1923" s="419">
        <f>ROUND(+J1923+M1923+T1923,4)</f>
        <v>0</v>
      </c>
      <c r="V1923" s="235"/>
    </row>
    <row r="1924" spans="1:22" ht="15.75" x14ac:dyDescent="0.25">
      <c r="A1924" s="231"/>
      <c r="B1924" s="232"/>
      <c r="C1924" s="400"/>
      <c r="D1924" s="233"/>
      <c r="E1924" s="405"/>
      <c r="F1924" s="405"/>
      <c r="G1924" s="405"/>
      <c r="H1924" s="408">
        <f>ROUND(+E1924+F1924+G1924,4)</f>
        <v>0</v>
      </c>
      <c r="I1924" s="234"/>
      <c r="J1924" s="411"/>
      <c r="K1924" s="411"/>
      <c r="L1924" s="414">
        <v>0.1</v>
      </c>
      <c r="M1924" s="414">
        <f>ROUND(+L1924*C1924,4)</f>
        <v>0</v>
      </c>
      <c r="N1924" s="414"/>
      <c r="O1924" s="414"/>
      <c r="P1924" s="414"/>
      <c r="Q1924" s="419">
        <f>ROUND(+N1924+O1924+P1924,4)</f>
        <v>0</v>
      </c>
      <c r="R1924" s="419">
        <f>ROUND(IF(+Q1924-H1924&lt;=0,0,Q1924-H1924),4)</f>
        <v>0</v>
      </c>
      <c r="S1924" s="423">
        <v>0.5</v>
      </c>
      <c r="T1924" s="419">
        <f>ROUND(+(R1924*C1924)*S1924,4)</f>
        <v>0</v>
      </c>
      <c r="U1924" s="419">
        <f>ROUND(+J1924+M1924+T1924,4)</f>
        <v>0</v>
      </c>
      <c r="V1924" s="235"/>
    </row>
    <row r="1925" spans="1:22" ht="15.75" x14ac:dyDescent="0.25">
      <c r="A1925" s="231"/>
      <c r="B1925" s="232"/>
      <c r="C1925" s="400"/>
      <c r="D1925" s="233"/>
      <c r="E1925" s="405"/>
      <c r="F1925" s="405"/>
      <c r="G1925" s="405"/>
      <c r="H1925" s="408">
        <f>ROUND(+E1925+F1925+G1925,4)</f>
        <v>0</v>
      </c>
      <c r="I1925" s="234"/>
      <c r="J1925" s="411"/>
      <c r="K1925" s="411"/>
      <c r="L1925" s="414">
        <v>0.1</v>
      </c>
      <c r="M1925" s="414">
        <f>ROUND(+L1925*C1925,4)</f>
        <v>0</v>
      </c>
      <c r="N1925" s="414"/>
      <c r="O1925" s="414"/>
      <c r="P1925" s="414"/>
      <c r="Q1925" s="419">
        <f>ROUND(+N1925+O1925+P1925,4)</f>
        <v>0</v>
      </c>
      <c r="R1925" s="419">
        <f>ROUND(IF(+Q1925-H1925&lt;=0,0,Q1925-H1925),4)</f>
        <v>0</v>
      </c>
      <c r="S1925" s="423">
        <v>0.5</v>
      </c>
      <c r="T1925" s="419">
        <f>ROUND(+(R1925*C1925)*S1925,4)</f>
        <v>0</v>
      </c>
      <c r="U1925" s="419">
        <f>ROUND(+J1925+M1925+T1925,4)</f>
        <v>0</v>
      </c>
      <c r="V1925" s="235"/>
    </row>
    <row r="1926" spans="1:22" ht="15.75" x14ac:dyDescent="0.25">
      <c r="A1926" s="231"/>
      <c r="B1926" s="232"/>
      <c r="C1926" s="400"/>
      <c r="D1926" s="233"/>
      <c r="E1926" s="405"/>
      <c r="F1926" s="405"/>
      <c r="G1926" s="405"/>
      <c r="H1926" s="408">
        <f>ROUND(+E1926+F1926+G1926,4)</f>
        <v>0</v>
      </c>
      <c r="I1926" s="234"/>
      <c r="J1926" s="411"/>
      <c r="K1926" s="411"/>
      <c r="L1926" s="414">
        <v>0.1</v>
      </c>
      <c r="M1926" s="414">
        <f>ROUND(+L1926*C1926,4)</f>
        <v>0</v>
      </c>
      <c r="N1926" s="414"/>
      <c r="O1926" s="414"/>
      <c r="P1926" s="414"/>
      <c r="Q1926" s="419">
        <f>ROUND(+N1926+O1926+P1926,4)</f>
        <v>0</v>
      </c>
      <c r="R1926" s="419">
        <f>ROUND(IF(+Q1926-H1926&lt;=0,0,Q1926-H1926),4)</f>
        <v>0</v>
      </c>
      <c r="S1926" s="423">
        <v>0.5</v>
      </c>
      <c r="T1926" s="419">
        <f>ROUND(+(R1926*C1926)*S1926,4)</f>
        <v>0</v>
      </c>
      <c r="U1926" s="419">
        <f>ROUND(+J1926+M1926+T1926,4)</f>
        <v>0</v>
      </c>
      <c r="V1926" s="235"/>
    </row>
    <row r="1927" spans="1:22" ht="15.75" x14ac:dyDescent="0.25">
      <c r="A1927" s="231"/>
      <c r="B1927" s="232"/>
      <c r="C1927" s="400"/>
      <c r="D1927" s="233"/>
      <c r="E1927" s="405"/>
      <c r="F1927" s="405"/>
      <c r="G1927" s="405"/>
      <c r="H1927" s="408">
        <f>ROUND(+E1927+F1927+G1927,4)</f>
        <v>0</v>
      </c>
      <c r="I1927" s="234"/>
      <c r="J1927" s="411"/>
      <c r="K1927" s="411"/>
      <c r="L1927" s="414">
        <v>0.1</v>
      </c>
      <c r="M1927" s="414">
        <f>ROUND(+L1927*C1927,4)</f>
        <v>0</v>
      </c>
      <c r="N1927" s="414"/>
      <c r="O1927" s="414"/>
      <c r="P1927" s="414"/>
      <c r="Q1927" s="419">
        <f>ROUND(+N1927+O1927+P1927,4)</f>
        <v>0</v>
      </c>
      <c r="R1927" s="419">
        <f>ROUND(IF(+Q1927-H1927&lt;=0,0,Q1927-H1927),4)</f>
        <v>0</v>
      </c>
      <c r="S1927" s="423">
        <v>0.5</v>
      </c>
      <c r="T1927" s="419">
        <f>ROUND(+(R1927*C1927)*S1927,4)</f>
        <v>0</v>
      </c>
      <c r="U1927" s="419">
        <f>ROUND(+J1927+M1927+T1927,4)</f>
        <v>0</v>
      </c>
      <c r="V1927" s="235"/>
    </row>
    <row r="1928" spans="1:22" ht="15.75" x14ac:dyDescent="0.25">
      <c r="A1928" s="231"/>
      <c r="B1928" s="232"/>
      <c r="C1928" s="400"/>
      <c r="D1928" s="233"/>
      <c r="E1928" s="405"/>
      <c r="F1928" s="405"/>
      <c r="G1928" s="405"/>
      <c r="H1928" s="408">
        <f>ROUND(+E1928+F1928+G1928,4)</f>
        <v>0</v>
      </c>
      <c r="I1928" s="234"/>
      <c r="J1928" s="411"/>
      <c r="K1928" s="411"/>
      <c r="L1928" s="414">
        <v>0.1</v>
      </c>
      <c r="M1928" s="414">
        <f>ROUND(+L1928*C1928,4)</f>
        <v>0</v>
      </c>
      <c r="N1928" s="414"/>
      <c r="O1928" s="414"/>
      <c r="P1928" s="414"/>
      <c r="Q1928" s="419">
        <f>ROUND(+N1928+O1928+P1928,4)</f>
        <v>0</v>
      </c>
      <c r="R1928" s="419">
        <f>ROUND(IF(+Q1928-H1928&lt;=0,0,Q1928-H1928),4)</f>
        <v>0</v>
      </c>
      <c r="S1928" s="423">
        <v>0.5</v>
      </c>
      <c r="T1928" s="419">
        <f>ROUND(+(R1928*C1928)*S1928,4)</f>
        <v>0</v>
      </c>
      <c r="U1928" s="419">
        <f>ROUND(+J1928+M1928+T1928,4)</f>
        <v>0</v>
      </c>
      <c r="V1928" s="235"/>
    </row>
    <row r="1929" spans="1:22" ht="15.75" x14ac:dyDescent="0.25">
      <c r="A1929" s="231"/>
      <c r="B1929" s="232"/>
      <c r="C1929" s="400"/>
      <c r="D1929" s="233"/>
      <c r="E1929" s="405"/>
      <c r="F1929" s="405"/>
      <c r="G1929" s="405"/>
      <c r="H1929" s="408">
        <f>ROUND(+E1929+F1929+G1929,4)</f>
        <v>0</v>
      </c>
      <c r="I1929" s="234"/>
      <c r="J1929" s="411"/>
      <c r="K1929" s="411"/>
      <c r="L1929" s="414">
        <v>0.1</v>
      </c>
      <c r="M1929" s="414">
        <f>ROUND(+L1929*C1929,4)</f>
        <v>0</v>
      </c>
      <c r="N1929" s="414"/>
      <c r="O1929" s="414"/>
      <c r="P1929" s="414"/>
      <c r="Q1929" s="419">
        <f>ROUND(+N1929+O1929+P1929,4)</f>
        <v>0</v>
      </c>
      <c r="R1929" s="419">
        <f>ROUND(IF(+Q1929-H1929&lt;=0,0,Q1929-H1929),4)</f>
        <v>0</v>
      </c>
      <c r="S1929" s="423">
        <v>0.5</v>
      </c>
      <c r="T1929" s="419">
        <f>ROUND(+(R1929*C1929)*S1929,4)</f>
        <v>0</v>
      </c>
      <c r="U1929" s="419">
        <f>ROUND(+J1929+M1929+T1929,4)</f>
        <v>0</v>
      </c>
      <c r="V1929" s="235"/>
    </row>
    <row r="1930" spans="1:22" ht="15.75" x14ac:dyDescent="0.25">
      <c r="A1930" s="231"/>
      <c r="B1930" s="232"/>
      <c r="C1930" s="400"/>
      <c r="D1930" s="233"/>
      <c r="E1930" s="405"/>
      <c r="F1930" s="405"/>
      <c r="G1930" s="405"/>
      <c r="H1930" s="408">
        <f>ROUND(+E1930+F1930+G1930,4)</f>
        <v>0</v>
      </c>
      <c r="I1930" s="234"/>
      <c r="J1930" s="411"/>
      <c r="K1930" s="411"/>
      <c r="L1930" s="414">
        <v>0.1</v>
      </c>
      <c r="M1930" s="414">
        <f>ROUND(+L1930*C1930,4)</f>
        <v>0</v>
      </c>
      <c r="N1930" s="414"/>
      <c r="O1930" s="414"/>
      <c r="P1930" s="414"/>
      <c r="Q1930" s="419">
        <f>ROUND(+N1930+O1930+P1930,4)</f>
        <v>0</v>
      </c>
      <c r="R1930" s="419">
        <f>ROUND(IF(+Q1930-H1930&lt;=0,0,Q1930-H1930),4)</f>
        <v>0</v>
      </c>
      <c r="S1930" s="423">
        <v>0.5</v>
      </c>
      <c r="T1930" s="419">
        <f>ROUND(+(R1930*C1930)*S1930,4)</f>
        <v>0</v>
      </c>
      <c r="U1930" s="419">
        <f>ROUND(+J1930+M1930+T1930,4)</f>
        <v>0</v>
      </c>
      <c r="V1930" s="235"/>
    </row>
    <row r="1931" spans="1:22" ht="15.75" x14ac:dyDescent="0.25">
      <c r="A1931" s="231"/>
      <c r="B1931" s="232"/>
      <c r="C1931" s="400"/>
      <c r="D1931" s="233"/>
      <c r="E1931" s="405"/>
      <c r="F1931" s="405"/>
      <c r="G1931" s="405"/>
      <c r="H1931" s="408">
        <f>ROUND(+E1931+F1931+G1931,4)</f>
        <v>0</v>
      </c>
      <c r="I1931" s="234"/>
      <c r="J1931" s="411"/>
      <c r="K1931" s="411"/>
      <c r="L1931" s="414">
        <v>0.1</v>
      </c>
      <c r="M1931" s="414">
        <f>ROUND(+L1931*C1931,4)</f>
        <v>0</v>
      </c>
      <c r="N1931" s="414"/>
      <c r="O1931" s="414"/>
      <c r="P1931" s="414"/>
      <c r="Q1931" s="419">
        <f>ROUND(+N1931+O1931+P1931,4)</f>
        <v>0</v>
      </c>
      <c r="R1931" s="419">
        <f>ROUND(IF(+Q1931-H1931&lt;=0,0,Q1931-H1931),4)</f>
        <v>0</v>
      </c>
      <c r="S1931" s="423">
        <v>0.5</v>
      </c>
      <c r="T1931" s="419">
        <f>ROUND(+(R1931*C1931)*S1931,4)</f>
        <v>0</v>
      </c>
      <c r="U1931" s="419">
        <f>ROUND(+J1931+M1931+T1931,4)</f>
        <v>0</v>
      </c>
      <c r="V1931" s="235"/>
    </row>
    <row r="1932" spans="1:22" ht="15.75" x14ac:dyDescent="0.25">
      <c r="A1932" s="231"/>
      <c r="B1932" s="232"/>
      <c r="C1932" s="400"/>
      <c r="D1932" s="233"/>
      <c r="E1932" s="405"/>
      <c r="F1932" s="405"/>
      <c r="G1932" s="405"/>
      <c r="H1932" s="408">
        <f>ROUND(+E1932+F1932+G1932,4)</f>
        <v>0</v>
      </c>
      <c r="I1932" s="234"/>
      <c r="J1932" s="411"/>
      <c r="K1932" s="411"/>
      <c r="L1932" s="414">
        <v>0.1</v>
      </c>
      <c r="M1932" s="414">
        <f>ROUND(+L1932*C1932,4)</f>
        <v>0</v>
      </c>
      <c r="N1932" s="414"/>
      <c r="O1932" s="414"/>
      <c r="P1932" s="414"/>
      <c r="Q1932" s="419">
        <f>ROUND(+N1932+O1932+P1932,4)</f>
        <v>0</v>
      </c>
      <c r="R1932" s="419">
        <f>ROUND(IF(+Q1932-H1932&lt;=0,0,Q1932-H1932),4)</f>
        <v>0</v>
      </c>
      <c r="S1932" s="423">
        <v>0.5</v>
      </c>
      <c r="T1932" s="419">
        <f>ROUND(+(R1932*C1932)*S1932,4)</f>
        <v>0</v>
      </c>
      <c r="U1932" s="419">
        <f>ROUND(+J1932+M1932+T1932,4)</f>
        <v>0</v>
      </c>
      <c r="V1932" s="235"/>
    </row>
    <row r="1933" spans="1:22" ht="15.75" x14ac:dyDescent="0.25">
      <c r="A1933" s="231"/>
      <c r="B1933" s="232"/>
      <c r="C1933" s="400"/>
      <c r="D1933" s="233"/>
      <c r="E1933" s="405"/>
      <c r="F1933" s="405"/>
      <c r="G1933" s="405"/>
      <c r="H1933" s="408">
        <f>ROUND(+E1933+F1933+G1933,4)</f>
        <v>0</v>
      </c>
      <c r="I1933" s="234"/>
      <c r="J1933" s="411"/>
      <c r="K1933" s="411"/>
      <c r="L1933" s="414">
        <v>0.1</v>
      </c>
      <c r="M1933" s="414">
        <f>ROUND(+L1933*C1933,4)</f>
        <v>0</v>
      </c>
      <c r="N1933" s="414"/>
      <c r="O1933" s="414"/>
      <c r="P1933" s="414"/>
      <c r="Q1933" s="419">
        <f>ROUND(+N1933+O1933+P1933,4)</f>
        <v>0</v>
      </c>
      <c r="R1933" s="419">
        <f>ROUND(IF(+Q1933-H1933&lt;=0,0,Q1933-H1933),4)</f>
        <v>0</v>
      </c>
      <c r="S1933" s="423">
        <v>0.5</v>
      </c>
      <c r="T1933" s="419">
        <f>ROUND(+(R1933*C1933)*S1933,4)</f>
        <v>0</v>
      </c>
      <c r="U1933" s="419">
        <f>ROUND(+J1933+M1933+T1933,4)</f>
        <v>0</v>
      </c>
      <c r="V1933" s="235"/>
    </row>
    <row r="1934" spans="1:22" ht="15.75" x14ac:dyDescent="0.25">
      <c r="A1934" s="231"/>
      <c r="B1934" s="232"/>
      <c r="C1934" s="400"/>
      <c r="D1934" s="233"/>
      <c r="E1934" s="405"/>
      <c r="F1934" s="405"/>
      <c r="G1934" s="405"/>
      <c r="H1934" s="408">
        <f>ROUND(+E1934+F1934+G1934,4)</f>
        <v>0</v>
      </c>
      <c r="I1934" s="234"/>
      <c r="J1934" s="411"/>
      <c r="K1934" s="411"/>
      <c r="L1934" s="414">
        <v>0.1</v>
      </c>
      <c r="M1934" s="414">
        <f>ROUND(+L1934*C1934,4)</f>
        <v>0</v>
      </c>
      <c r="N1934" s="414"/>
      <c r="O1934" s="414"/>
      <c r="P1934" s="414"/>
      <c r="Q1934" s="419">
        <f>ROUND(+N1934+O1934+P1934,4)</f>
        <v>0</v>
      </c>
      <c r="R1934" s="419">
        <f>ROUND(IF(+Q1934-H1934&lt;=0,0,Q1934-H1934),4)</f>
        <v>0</v>
      </c>
      <c r="S1934" s="423">
        <v>0.5</v>
      </c>
      <c r="T1934" s="419">
        <f>ROUND(+(R1934*C1934)*S1934,4)</f>
        <v>0</v>
      </c>
      <c r="U1934" s="419">
        <f>ROUND(+J1934+M1934+T1934,4)</f>
        <v>0</v>
      </c>
      <c r="V1934" s="235"/>
    </row>
    <row r="1935" spans="1:22" ht="15.75" x14ac:dyDescent="0.25">
      <c r="A1935" s="231"/>
      <c r="B1935" s="232"/>
      <c r="C1935" s="400"/>
      <c r="D1935" s="233"/>
      <c r="E1935" s="405"/>
      <c r="F1935" s="405"/>
      <c r="G1935" s="405"/>
      <c r="H1935" s="408">
        <f>ROUND(+E1935+F1935+G1935,4)</f>
        <v>0</v>
      </c>
      <c r="I1935" s="234"/>
      <c r="J1935" s="411"/>
      <c r="K1935" s="411"/>
      <c r="L1935" s="414">
        <v>0.1</v>
      </c>
      <c r="M1935" s="414">
        <f>ROUND(+L1935*C1935,4)</f>
        <v>0</v>
      </c>
      <c r="N1935" s="414"/>
      <c r="O1935" s="414"/>
      <c r="P1935" s="414"/>
      <c r="Q1935" s="419">
        <f>ROUND(+N1935+O1935+P1935,4)</f>
        <v>0</v>
      </c>
      <c r="R1935" s="419">
        <f>ROUND(IF(+Q1935-H1935&lt;=0,0,Q1935-H1935),4)</f>
        <v>0</v>
      </c>
      <c r="S1935" s="423">
        <v>0.5</v>
      </c>
      <c r="T1935" s="419">
        <f>ROUND(+(R1935*C1935)*S1935,4)</f>
        <v>0</v>
      </c>
      <c r="U1935" s="419">
        <f>ROUND(+J1935+M1935+T1935,4)</f>
        <v>0</v>
      </c>
      <c r="V1935" s="235"/>
    </row>
    <row r="1936" spans="1:22" ht="15.75" x14ac:dyDescent="0.25">
      <c r="A1936" s="231"/>
      <c r="B1936" s="232"/>
      <c r="C1936" s="400"/>
      <c r="D1936" s="233"/>
      <c r="E1936" s="405"/>
      <c r="F1936" s="405"/>
      <c r="G1936" s="405"/>
      <c r="H1936" s="408">
        <f>ROUND(+E1936+F1936+G1936,4)</f>
        <v>0</v>
      </c>
      <c r="I1936" s="234"/>
      <c r="J1936" s="411"/>
      <c r="K1936" s="411"/>
      <c r="L1936" s="414">
        <v>0.1</v>
      </c>
      <c r="M1936" s="414">
        <f>ROUND(+L1936*C1936,4)</f>
        <v>0</v>
      </c>
      <c r="N1936" s="414"/>
      <c r="O1936" s="414"/>
      <c r="P1936" s="414"/>
      <c r="Q1936" s="419">
        <f>ROUND(+N1936+O1936+P1936,4)</f>
        <v>0</v>
      </c>
      <c r="R1936" s="419">
        <f>ROUND(IF(+Q1936-H1936&lt;=0,0,Q1936-H1936),4)</f>
        <v>0</v>
      </c>
      <c r="S1936" s="423">
        <v>0.5</v>
      </c>
      <c r="T1936" s="419">
        <f>ROUND(+(R1936*C1936)*S1936,4)</f>
        <v>0</v>
      </c>
      <c r="U1936" s="419">
        <f>ROUND(+J1936+M1936+T1936,4)</f>
        <v>0</v>
      </c>
      <c r="V1936" s="235"/>
    </row>
    <row r="1937" spans="1:22" ht="15.75" x14ac:dyDescent="0.25">
      <c r="A1937" s="231"/>
      <c r="B1937" s="232"/>
      <c r="C1937" s="400"/>
      <c r="D1937" s="233"/>
      <c r="E1937" s="405"/>
      <c r="F1937" s="405"/>
      <c r="G1937" s="405"/>
      <c r="H1937" s="408">
        <f>ROUND(+E1937+F1937+G1937,4)</f>
        <v>0</v>
      </c>
      <c r="I1937" s="234"/>
      <c r="J1937" s="411"/>
      <c r="K1937" s="411"/>
      <c r="L1937" s="414">
        <v>0.1</v>
      </c>
      <c r="M1937" s="414">
        <f>ROUND(+L1937*C1937,4)</f>
        <v>0</v>
      </c>
      <c r="N1937" s="414"/>
      <c r="O1937" s="414"/>
      <c r="P1937" s="414"/>
      <c r="Q1937" s="419">
        <f>ROUND(+N1937+O1937+P1937,4)</f>
        <v>0</v>
      </c>
      <c r="R1937" s="419">
        <f>ROUND(IF(+Q1937-H1937&lt;=0,0,Q1937-H1937),4)</f>
        <v>0</v>
      </c>
      <c r="S1937" s="423">
        <v>0.5</v>
      </c>
      <c r="T1937" s="419">
        <f>ROUND(+(R1937*C1937)*S1937,4)</f>
        <v>0</v>
      </c>
      <c r="U1937" s="419">
        <f>ROUND(+J1937+M1937+T1937,4)</f>
        <v>0</v>
      </c>
      <c r="V1937" s="235"/>
    </row>
    <row r="1938" spans="1:22" ht="15.75" x14ac:dyDescent="0.25">
      <c r="A1938" s="231"/>
      <c r="B1938" s="232"/>
      <c r="C1938" s="400"/>
      <c r="D1938" s="233"/>
      <c r="E1938" s="405"/>
      <c r="F1938" s="405"/>
      <c r="G1938" s="405"/>
      <c r="H1938" s="408">
        <f>ROUND(+E1938+F1938+G1938,4)</f>
        <v>0</v>
      </c>
      <c r="I1938" s="234"/>
      <c r="J1938" s="411"/>
      <c r="K1938" s="411"/>
      <c r="L1938" s="414">
        <v>0.1</v>
      </c>
      <c r="M1938" s="414">
        <f>ROUND(+L1938*C1938,4)</f>
        <v>0</v>
      </c>
      <c r="N1938" s="414"/>
      <c r="O1938" s="414"/>
      <c r="P1938" s="414"/>
      <c r="Q1938" s="419">
        <f>ROUND(+N1938+O1938+P1938,4)</f>
        <v>0</v>
      </c>
      <c r="R1938" s="419">
        <f>ROUND(IF(+Q1938-H1938&lt;=0,0,Q1938-H1938),4)</f>
        <v>0</v>
      </c>
      <c r="S1938" s="423">
        <v>0.5</v>
      </c>
      <c r="T1938" s="419">
        <f>ROUND(+(R1938*C1938)*S1938,4)</f>
        <v>0</v>
      </c>
      <c r="U1938" s="419">
        <f>ROUND(+J1938+M1938+T1938,4)</f>
        <v>0</v>
      </c>
      <c r="V1938" s="235"/>
    </row>
    <row r="1939" spans="1:22" ht="15.75" x14ac:dyDescent="0.25">
      <c r="A1939" s="231"/>
      <c r="B1939" s="232"/>
      <c r="C1939" s="400"/>
      <c r="D1939" s="233"/>
      <c r="E1939" s="405"/>
      <c r="F1939" s="405"/>
      <c r="G1939" s="405"/>
      <c r="H1939" s="408">
        <f>ROUND(+E1939+F1939+G1939,4)</f>
        <v>0</v>
      </c>
      <c r="I1939" s="234"/>
      <c r="J1939" s="411"/>
      <c r="K1939" s="411"/>
      <c r="L1939" s="414">
        <v>0.1</v>
      </c>
      <c r="M1939" s="414">
        <f>ROUND(+L1939*C1939,4)</f>
        <v>0</v>
      </c>
      <c r="N1939" s="414"/>
      <c r="O1939" s="414"/>
      <c r="P1939" s="414"/>
      <c r="Q1939" s="419">
        <f>ROUND(+N1939+O1939+P1939,4)</f>
        <v>0</v>
      </c>
      <c r="R1939" s="419">
        <f>ROUND(IF(+Q1939-H1939&lt;=0,0,Q1939-H1939),4)</f>
        <v>0</v>
      </c>
      <c r="S1939" s="423">
        <v>0.5</v>
      </c>
      <c r="T1939" s="419">
        <f>ROUND(+(R1939*C1939)*S1939,4)</f>
        <v>0</v>
      </c>
      <c r="U1939" s="419">
        <f>ROUND(+J1939+M1939+T1939,4)</f>
        <v>0</v>
      </c>
      <c r="V1939" s="235"/>
    </row>
    <row r="1940" spans="1:22" ht="15.75" x14ac:dyDescent="0.25">
      <c r="A1940" s="231"/>
      <c r="B1940" s="232"/>
      <c r="C1940" s="400"/>
      <c r="D1940" s="233"/>
      <c r="E1940" s="405"/>
      <c r="F1940" s="405"/>
      <c r="G1940" s="405"/>
      <c r="H1940" s="408">
        <f>ROUND(+E1940+F1940+G1940,4)</f>
        <v>0</v>
      </c>
      <c r="I1940" s="234"/>
      <c r="J1940" s="411"/>
      <c r="K1940" s="411"/>
      <c r="L1940" s="414">
        <v>0.1</v>
      </c>
      <c r="M1940" s="414">
        <f>ROUND(+L1940*C1940,4)</f>
        <v>0</v>
      </c>
      <c r="N1940" s="414"/>
      <c r="O1940" s="414"/>
      <c r="P1940" s="414"/>
      <c r="Q1940" s="419">
        <f>ROUND(+N1940+O1940+P1940,4)</f>
        <v>0</v>
      </c>
      <c r="R1940" s="419">
        <f>ROUND(IF(+Q1940-H1940&lt;=0,0,Q1940-H1940),4)</f>
        <v>0</v>
      </c>
      <c r="S1940" s="423">
        <v>0.5</v>
      </c>
      <c r="T1940" s="419">
        <f>ROUND(+(R1940*C1940)*S1940,4)</f>
        <v>0</v>
      </c>
      <c r="U1940" s="419">
        <f>ROUND(+J1940+M1940+T1940,4)</f>
        <v>0</v>
      </c>
      <c r="V1940" s="235"/>
    </row>
    <row r="1941" spans="1:22" ht="15.75" x14ac:dyDescent="0.25">
      <c r="A1941" s="231"/>
      <c r="B1941" s="232"/>
      <c r="C1941" s="400"/>
      <c r="D1941" s="233"/>
      <c r="E1941" s="405"/>
      <c r="F1941" s="405"/>
      <c r="G1941" s="405"/>
      <c r="H1941" s="408">
        <f>ROUND(+E1941+F1941+G1941,4)</f>
        <v>0</v>
      </c>
      <c r="I1941" s="234"/>
      <c r="J1941" s="411"/>
      <c r="K1941" s="411"/>
      <c r="L1941" s="414">
        <v>0.1</v>
      </c>
      <c r="M1941" s="414">
        <f>ROUND(+L1941*C1941,4)</f>
        <v>0</v>
      </c>
      <c r="N1941" s="414"/>
      <c r="O1941" s="414"/>
      <c r="P1941" s="414"/>
      <c r="Q1941" s="419">
        <f>ROUND(+N1941+O1941+P1941,4)</f>
        <v>0</v>
      </c>
      <c r="R1941" s="419">
        <f>ROUND(IF(+Q1941-H1941&lt;=0,0,Q1941-H1941),4)</f>
        <v>0</v>
      </c>
      <c r="S1941" s="423">
        <v>0.5</v>
      </c>
      <c r="T1941" s="419">
        <f>ROUND(+(R1941*C1941)*S1941,4)</f>
        <v>0</v>
      </c>
      <c r="U1941" s="419">
        <f>ROUND(+J1941+M1941+T1941,4)</f>
        <v>0</v>
      </c>
      <c r="V1941" s="235"/>
    </row>
    <row r="1942" spans="1:22" ht="15.75" x14ac:dyDescent="0.25">
      <c r="A1942" s="231"/>
      <c r="B1942" s="232"/>
      <c r="C1942" s="400"/>
      <c r="D1942" s="233"/>
      <c r="E1942" s="405"/>
      <c r="F1942" s="405"/>
      <c r="G1942" s="405"/>
      <c r="H1942" s="408">
        <f>ROUND(+E1942+F1942+G1942,4)</f>
        <v>0</v>
      </c>
      <c r="I1942" s="234"/>
      <c r="J1942" s="411"/>
      <c r="K1942" s="411"/>
      <c r="L1942" s="414">
        <v>0.1</v>
      </c>
      <c r="M1942" s="414">
        <f>ROUND(+L1942*C1942,4)</f>
        <v>0</v>
      </c>
      <c r="N1942" s="414"/>
      <c r="O1942" s="414"/>
      <c r="P1942" s="414"/>
      <c r="Q1942" s="419">
        <f>ROUND(+N1942+O1942+P1942,4)</f>
        <v>0</v>
      </c>
      <c r="R1942" s="419">
        <f>ROUND(IF(+Q1942-H1942&lt;=0,0,Q1942-H1942),4)</f>
        <v>0</v>
      </c>
      <c r="S1942" s="423">
        <v>0.5</v>
      </c>
      <c r="T1942" s="419">
        <f>ROUND(+(R1942*C1942)*S1942,4)</f>
        <v>0</v>
      </c>
      <c r="U1942" s="419">
        <f>ROUND(+J1942+M1942+T1942,4)</f>
        <v>0</v>
      </c>
      <c r="V1942" s="235"/>
    </row>
    <row r="1943" spans="1:22" ht="15.75" x14ac:dyDescent="0.25">
      <c r="A1943" s="231"/>
      <c r="B1943" s="232"/>
      <c r="C1943" s="400"/>
      <c r="D1943" s="233"/>
      <c r="E1943" s="405"/>
      <c r="F1943" s="405"/>
      <c r="G1943" s="405"/>
      <c r="H1943" s="408">
        <f>ROUND(+E1943+F1943+G1943,4)</f>
        <v>0</v>
      </c>
      <c r="I1943" s="234"/>
      <c r="J1943" s="411"/>
      <c r="K1943" s="411"/>
      <c r="L1943" s="414">
        <v>0.1</v>
      </c>
      <c r="M1943" s="414">
        <f>ROUND(+L1943*C1943,4)</f>
        <v>0</v>
      </c>
      <c r="N1943" s="414"/>
      <c r="O1943" s="414"/>
      <c r="P1943" s="414"/>
      <c r="Q1943" s="419">
        <f>ROUND(+N1943+O1943+P1943,4)</f>
        <v>0</v>
      </c>
      <c r="R1943" s="419">
        <f>ROUND(IF(+Q1943-H1943&lt;=0,0,Q1943-H1943),4)</f>
        <v>0</v>
      </c>
      <c r="S1943" s="423">
        <v>0.5</v>
      </c>
      <c r="T1943" s="419">
        <f>ROUND(+(R1943*C1943)*S1943,4)</f>
        <v>0</v>
      </c>
      <c r="U1943" s="419">
        <f>ROUND(+J1943+M1943+T1943,4)</f>
        <v>0</v>
      </c>
      <c r="V1943" s="235"/>
    </row>
    <row r="1944" spans="1:22" ht="15.75" x14ac:dyDescent="0.25">
      <c r="A1944" s="231"/>
      <c r="B1944" s="232"/>
      <c r="C1944" s="400"/>
      <c r="D1944" s="233"/>
      <c r="E1944" s="405"/>
      <c r="F1944" s="405"/>
      <c r="G1944" s="405"/>
      <c r="H1944" s="408">
        <f>ROUND(+E1944+F1944+G1944,4)</f>
        <v>0</v>
      </c>
      <c r="I1944" s="234"/>
      <c r="J1944" s="411"/>
      <c r="K1944" s="411"/>
      <c r="L1944" s="414">
        <v>0.1</v>
      </c>
      <c r="M1944" s="414">
        <f>ROUND(+L1944*C1944,4)</f>
        <v>0</v>
      </c>
      <c r="N1944" s="414"/>
      <c r="O1944" s="414"/>
      <c r="P1944" s="414"/>
      <c r="Q1944" s="419">
        <f>ROUND(+N1944+O1944+P1944,4)</f>
        <v>0</v>
      </c>
      <c r="R1944" s="419">
        <f>ROUND(IF(+Q1944-H1944&lt;=0,0,Q1944-H1944),4)</f>
        <v>0</v>
      </c>
      <c r="S1944" s="423">
        <v>0.5</v>
      </c>
      <c r="T1944" s="419">
        <f>ROUND(+(R1944*C1944)*S1944,4)</f>
        <v>0</v>
      </c>
      <c r="U1944" s="419">
        <f>ROUND(+J1944+M1944+T1944,4)</f>
        <v>0</v>
      </c>
      <c r="V1944" s="235"/>
    </row>
    <row r="1945" spans="1:22" ht="15.75" x14ac:dyDescent="0.25">
      <c r="A1945" s="231"/>
      <c r="B1945" s="232"/>
      <c r="C1945" s="400"/>
      <c r="D1945" s="233"/>
      <c r="E1945" s="405"/>
      <c r="F1945" s="405"/>
      <c r="G1945" s="405"/>
      <c r="H1945" s="408">
        <f>ROUND(+E1945+F1945+G1945,4)</f>
        <v>0</v>
      </c>
      <c r="I1945" s="234"/>
      <c r="J1945" s="411"/>
      <c r="K1945" s="411"/>
      <c r="L1945" s="414">
        <v>0.1</v>
      </c>
      <c r="M1945" s="414">
        <f>ROUND(+L1945*C1945,4)</f>
        <v>0</v>
      </c>
      <c r="N1945" s="414"/>
      <c r="O1945" s="414"/>
      <c r="P1945" s="414"/>
      <c r="Q1945" s="419">
        <f>ROUND(+N1945+O1945+P1945,4)</f>
        <v>0</v>
      </c>
      <c r="R1945" s="419">
        <f>ROUND(IF(+Q1945-H1945&lt;=0,0,Q1945-H1945),4)</f>
        <v>0</v>
      </c>
      <c r="S1945" s="423">
        <v>0.5</v>
      </c>
      <c r="T1945" s="419">
        <f>ROUND(+(R1945*C1945)*S1945,4)</f>
        <v>0</v>
      </c>
      <c r="U1945" s="419">
        <f>ROUND(+J1945+M1945+T1945,4)</f>
        <v>0</v>
      </c>
      <c r="V1945" s="235"/>
    </row>
    <row r="1946" spans="1:22" ht="15.75" x14ac:dyDescent="0.25">
      <c r="A1946" s="231"/>
      <c r="B1946" s="232"/>
      <c r="C1946" s="400"/>
      <c r="D1946" s="233"/>
      <c r="E1946" s="405"/>
      <c r="F1946" s="405"/>
      <c r="G1946" s="405"/>
      <c r="H1946" s="408">
        <f>ROUND(+E1946+F1946+G1946,4)</f>
        <v>0</v>
      </c>
      <c r="I1946" s="234"/>
      <c r="J1946" s="411"/>
      <c r="K1946" s="411"/>
      <c r="L1946" s="414">
        <v>0.1</v>
      </c>
      <c r="M1946" s="414">
        <f>ROUND(+L1946*C1946,4)</f>
        <v>0</v>
      </c>
      <c r="N1946" s="414"/>
      <c r="O1946" s="414"/>
      <c r="P1946" s="414"/>
      <c r="Q1946" s="419">
        <f>ROUND(+N1946+O1946+P1946,4)</f>
        <v>0</v>
      </c>
      <c r="R1946" s="419">
        <f>ROUND(IF(+Q1946-H1946&lt;=0,0,Q1946-H1946),4)</f>
        <v>0</v>
      </c>
      <c r="S1946" s="423">
        <v>0.5</v>
      </c>
      <c r="T1946" s="419">
        <f>ROUND(+(R1946*C1946)*S1946,4)</f>
        <v>0</v>
      </c>
      <c r="U1946" s="419">
        <f>ROUND(+J1946+M1946+T1946,4)</f>
        <v>0</v>
      </c>
      <c r="V1946" s="235"/>
    </row>
    <row r="1947" spans="1:22" ht="15.75" x14ac:dyDescent="0.25">
      <c r="A1947" s="231"/>
      <c r="B1947" s="232"/>
      <c r="C1947" s="400"/>
      <c r="D1947" s="233"/>
      <c r="E1947" s="405"/>
      <c r="F1947" s="405"/>
      <c r="G1947" s="405"/>
      <c r="H1947" s="408">
        <f>ROUND(+E1947+F1947+G1947,4)</f>
        <v>0</v>
      </c>
      <c r="I1947" s="234"/>
      <c r="J1947" s="411"/>
      <c r="K1947" s="411"/>
      <c r="L1947" s="414">
        <v>0.1</v>
      </c>
      <c r="M1947" s="414">
        <f>ROUND(+L1947*C1947,4)</f>
        <v>0</v>
      </c>
      <c r="N1947" s="414"/>
      <c r="O1947" s="414"/>
      <c r="P1947" s="414"/>
      <c r="Q1947" s="419">
        <f>ROUND(+N1947+O1947+P1947,4)</f>
        <v>0</v>
      </c>
      <c r="R1947" s="419">
        <f>ROUND(IF(+Q1947-H1947&lt;=0,0,Q1947-H1947),4)</f>
        <v>0</v>
      </c>
      <c r="S1947" s="423">
        <v>0.5</v>
      </c>
      <c r="T1947" s="419">
        <f>ROUND(+(R1947*C1947)*S1947,4)</f>
        <v>0</v>
      </c>
      <c r="U1947" s="419">
        <f>ROUND(+J1947+M1947+T1947,4)</f>
        <v>0</v>
      </c>
      <c r="V1947" s="235"/>
    </row>
    <row r="1948" spans="1:22" ht="15.75" x14ac:dyDescent="0.25">
      <c r="A1948" s="231"/>
      <c r="B1948" s="232"/>
      <c r="C1948" s="400"/>
      <c r="D1948" s="233"/>
      <c r="E1948" s="405"/>
      <c r="F1948" s="405"/>
      <c r="G1948" s="405"/>
      <c r="H1948" s="408">
        <f>ROUND(+E1948+F1948+G1948,4)</f>
        <v>0</v>
      </c>
      <c r="I1948" s="234"/>
      <c r="J1948" s="411"/>
      <c r="K1948" s="411"/>
      <c r="L1948" s="414">
        <v>0.1</v>
      </c>
      <c r="M1948" s="414">
        <f>ROUND(+L1948*C1948,4)</f>
        <v>0</v>
      </c>
      <c r="N1948" s="414"/>
      <c r="O1948" s="414"/>
      <c r="P1948" s="414"/>
      <c r="Q1948" s="419">
        <f>ROUND(+N1948+O1948+P1948,4)</f>
        <v>0</v>
      </c>
      <c r="R1948" s="419">
        <f>ROUND(IF(+Q1948-H1948&lt;=0,0,Q1948-H1948),4)</f>
        <v>0</v>
      </c>
      <c r="S1948" s="423">
        <v>0.5</v>
      </c>
      <c r="T1948" s="419">
        <f>ROUND(+(R1948*C1948)*S1948,4)</f>
        <v>0</v>
      </c>
      <c r="U1948" s="419">
        <f>ROUND(+J1948+M1948+T1948,4)</f>
        <v>0</v>
      </c>
      <c r="V1948" s="235"/>
    </row>
    <row r="1949" spans="1:22" ht="15.75" x14ac:dyDescent="0.25">
      <c r="A1949" s="231"/>
      <c r="B1949" s="232"/>
      <c r="C1949" s="400"/>
      <c r="D1949" s="233"/>
      <c r="E1949" s="405"/>
      <c r="F1949" s="405"/>
      <c r="G1949" s="405"/>
      <c r="H1949" s="408">
        <f>ROUND(+E1949+F1949+G1949,4)</f>
        <v>0</v>
      </c>
      <c r="I1949" s="234"/>
      <c r="J1949" s="411"/>
      <c r="K1949" s="411"/>
      <c r="L1949" s="414">
        <v>0.1</v>
      </c>
      <c r="M1949" s="414">
        <f>ROUND(+L1949*C1949,4)</f>
        <v>0</v>
      </c>
      <c r="N1949" s="414"/>
      <c r="O1949" s="414"/>
      <c r="P1949" s="414"/>
      <c r="Q1949" s="419">
        <f>ROUND(+N1949+O1949+P1949,4)</f>
        <v>0</v>
      </c>
      <c r="R1949" s="419">
        <f>ROUND(IF(+Q1949-H1949&lt;=0,0,Q1949-H1949),4)</f>
        <v>0</v>
      </c>
      <c r="S1949" s="423">
        <v>0.5</v>
      </c>
      <c r="T1949" s="419">
        <f>ROUND(+(R1949*C1949)*S1949,4)</f>
        <v>0</v>
      </c>
      <c r="U1949" s="419">
        <f>ROUND(+J1949+M1949+T1949,4)</f>
        <v>0</v>
      </c>
      <c r="V1949" s="235"/>
    </row>
    <row r="1950" spans="1:22" ht="15.75" x14ac:dyDescent="0.25">
      <c r="A1950" s="231"/>
      <c r="B1950" s="232"/>
      <c r="C1950" s="400"/>
      <c r="D1950" s="233"/>
      <c r="E1950" s="405"/>
      <c r="F1950" s="405"/>
      <c r="G1950" s="405"/>
      <c r="H1950" s="408">
        <f>ROUND(+E1950+F1950+G1950,4)</f>
        <v>0</v>
      </c>
      <c r="I1950" s="234"/>
      <c r="J1950" s="411"/>
      <c r="K1950" s="411"/>
      <c r="L1950" s="414">
        <v>0.1</v>
      </c>
      <c r="M1950" s="414">
        <f>ROUND(+L1950*C1950,4)</f>
        <v>0</v>
      </c>
      <c r="N1950" s="414"/>
      <c r="O1950" s="414"/>
      <c r="P1950" s="414"/>
      <c r="Q1950" s="419">
        <f>ROUND(+N1950+O1950+P1950,4)</f>
        <v>0</v>
      </c>
      <c r="R1950" s="419">
        <f>ROUND(IF(+Q1950-H1950&lt;=0,0,Q1950-H1950),4)</f>
        <v>0</v>
      </c>
      <c r="S1950" s="423">
        <v>0.5</v>
      </c>
      <c r="T1950" s="419">
        <f>ROUND(+(R1950*C1950)*S1950,4)</f>
        <v>0</v>
      </c>
      <c r="U1950" s="419">
        <f>ROUND(+J1950+M1950+T1950,4)</f>
        <v>0</v>
      </c>
      <c r="V1950" s="235"/>
    </row>
    <row r="1951" spans="1:22" ht="15.75" x14ac:dyDescent="0.25">
      <c r="A1951" s="231"/>
      <c r="B1951" s="232"/>
      <c r="C1951" s="400"/>
      <c r="D1951" s="233"/>
      <c r="E1951" s="405"/>
      <c r="F1951" s="405"/>
      <c r="G1951" s="405"/>
      <c r="H1951" s="408">
        <f>ROUND(+E1951+F1951+G1951,4)</f>
        <v>0</v>
      </c>
      <c r="I1951" s="234"/>
      <c r="J1951" s="411"/>
      <c r="K1951" s="411"/>
      <c r="L1951" s="414">
        <v>0.1</v>
      </c>
      <c r="M1951" s="414">
        <f>ROUND(+L1951*C1951,4)</f>
        <v>0</v>
      </c>
      <c r="N1951" s="414"/>
      <c r="O1951" s="414"/>
      <c r="P1951" s="414"/>
      <c r="Q1951" s="419">
        <f>ROUND(+N1951+O1951+P1951,4)</f>
        <v>0</v>
      </c>
      <c r="R1951" s="419">
        <f>ROUND(IF(+Q1951-H1951&lt;=0,0,Q1951-H1951),4)</f>
        <v>0</v>
      </c>
      <c r="S1951" s="423">
        <v>0.5</v>
      </c>
      <c r="T1951" s="419">
        <f>ROUND(+(R1951*C1951)*S1951,4)</f>
        <v>0</v>
      </c>
      <c r="U1951" s="419">
        <f>ROUND(+J1951+M1951+T1951,4)</f>
        <v>0</v>
      </c>
      <c r="V1951" s="235"/>
    </row>
    <row r="1952" spans="1:22" ht="15.75" x14ac:dyDescent="0.25">
      <c r="A1952" s="231"/>
      <c r="B1952" s="232"/>
      <c r="C1952" s="400"/>
      <c r="D1952" s="233"/>
      <c r="E1952" s="405"/>
      <c r="F1952" s="405"/>
      <c r="G1952" s="405"/>
      <c r="H1952" s="408">
        <f>ROUND(+E1952+F1952+G1952,4)</f>
        <v>0</v>
      </c>
      <c r="I1952" s="234"/>
      <c r="J1952" s="411"/>
      <c r="K1952" s="411"/>
      <c r="L1952" s="414">
        <v>0.1</v>
      </c>
      <c r="M1952" s="414">
        <f>ROUND(+L1952*C1952,4)</f>
        <v>0</v>
      </c>
      <c r="N1952" s="414"/>
      <c r="O1952" s="414"/>
      <c r="P1952" s="414"/>
      <c r="Q1952" s="419">
        <f>ROUND(+N1952+O1952+P1952,4)</f>
        <v>0</v>
      </c>
      <c r="R1952" s="419">
        <f>ROUND(IF(+Q1952-H1952&lt;=0,0,Q1952-H1952),4)</f>
        <v>0</v>
      </c>
      <c r="S1952" s="423">
        <v>0.5</v>
      </c>
      <c r="T1952" s="419">
        <f>ROUND(+(R1952*C1952)*S1952,4)</f>
        <v>0</v>
      </c>
      <c r="U1952" s="419">
        <f>ROUND(+J1952+M1952+T1952,4)</f>
        <v>0</v>
      </c>
      <c r="V1952" s="235"/>
    </row>
    <row r="1953" spans="1:22" ht="15.75" x14ac:dyDescent="0.25">
      <c r="A1953" s="231"/>
      <c r="B1953" s="232"/>
      <c r="C1953" s="400"/>
      <c r="D1953" s="233"/>
      <c r="E1953" s="405"/>
      <c r="F1953" s="405"/>
      <c r="G1953" s="405"/>
      <c r="H1953" s="408">
        <f>ROUND(+E1953+F1953+G1953,4)</f>
        <v>0</v>
      </c>
      <c r="I1953" s="234"/>
      <c r="J1953" s="411"/>
      <c r="K1953" s="411"/>
      <c r="L1953" s="414">
        <v>0.1</v>
      </c>
      <c r="M1953" s="414">
        <f>ROUND(+L1953*C1953,4)</f>
        <v>0</v>
      </c>
      <c r="N1953" s="414"/>
      <c r="O1953" s="414"/>
      <c r="P1953" s="414"/>
      <c r="Q1953" s="419">
        <f>ROUND(+N1953+O1953+P1953,4)</f>
        <v>0</v>
      </c>
      <c r="R1953" s="419">
        <f>ROUND(IF(+Q1953-H1953&lt;=0,0,Q1953-H1953),4)</f>
        <v>0</v>
      </c>
      <c r="S1953" s="423">
        <v>0.5</v>
      </c>
      <c r="T1953" s="419">
        <f>ROUND(+(R1953*C1953)*S1953,4)</f>
        <v>0</v>
      </c>
      <c r="U1953" s="419">
        <f>ROUND(+J1953+M1953+T1953,4)</f>
        <v>0</v>
      </c>
      <c r="V1953" s="235"/>
    </row>
    <row r="1954" spans="1:22" ht="15.75" x14ac:dyDescent="0.25">
      <c r="A1954" s="231"/>
      <c r="B1954" s="232"/>
      <c r="C1954" s="400"/>
      <c r="D1954" s="233"/>
      <c r="E1954" s="405"/>
      <c r="F1954" s="405"/>
      <c r="G1954" s="405"/>
      <c r="H1954" s="408">
        <f>ROUND(+E1954+F1954+G1954,4)</f>
        <v>0</v>
      </c>
      <c r="I1954" s="234"/>
      <c r="J1954" s="411"/>
      <c r="K1954" s="411"/>
      <c r="L1954" s="414">
        <v>0.1</v>
      </c>
      <c r="M1954" s="414">
        <f>ROUND(+L1954*C1954,4)</f>
        <v>0</v>
      </c>
      <c r="N1954" s="414"/>
      <c r="O1954" s="414"/>
      <c r="P1954" s="414"/>
      <c r="Q1954" s="419">
        <f>ROUND(+N1954+O1954+P1954,4)</f>
        <v>0</v>
      </c>
      <c r="R1954" s="419">
        <f>ROUND(IF(+Q1954-H1954&lt;=0,0,Q1954-H1954),4)</f>
        <v>0</v>
      </c>
      <c r="S1954" s="423">
        <v>0.5</v>
      </c>
      <c r="T1954" s="419">
        <f>ROUND(+(R1954*C1954)*S1954,4)</f>
        <v>0</v>
      </c>
      <c r="U1954" s="419">
        <f>ROUND(+J1954+M1954+T1954,4)</f>
        <v>0</v>
      </c>
      <c r="V1954" s="235"/>
    </row>
    <row r="1955" spans="1:22" ht="15.75" x14ac:dyDescent="0.25">
      <c r="A1955" s="231"/>
      <c r="B1955" s="232"/>
      <c r="C1955" s="400"/>
      <c r="D1955" s="233"/>
      <c r="E1955" s="405"/>
      <c r="F1955" s="405"/>
      <c r="G1955" s="405"/>
      <c r="H1955" s="408">
        <f>ROUND(+E1955+F1955+G1955,4)</f>
        <v>0</v>
      </c>
      <c r="I1955" s="234"/>
      <c r="J1955" s="411"/>
      <c r="K1955" s="411"/>
      <c r="L1955" s="414">
        <v>0.1</v>
      </c>
      <c r="M1955" s="414">
        <f>ROUND(+L1955*C1955,4)</f>
        <v>0</v>
      </c>
      <c r="N1955" s="414"/>
      <c r="O1955" s="414"/>
      <c r="P1955" s="414"/>
      <c r="Q1955" s="419">
        <f>ROUND(+N1955+O1955+P1955,4)</f>
        <v>0</v>
      </c>
      <c r="R1955" s="419">
        <f>ROUND(IF(+Q1955-H1955&lt;=0,0,Q1955-H1955),4)</f>
        <v>0</v>
      </c>
      <c r="S1955" s="423">
        <v>0.5</v>
      </c>
      <c r="T1955" s="419">
        <f>ROUND(+(R1955*C1955)*S1955,4)</f>
        <v>0</v>
      </c>
      <c r="U1955" s="419">
        <f>ROUND(+J1955+M1955+T1955,4)</f>
        <v>0</v>
      </c>
      <c r="V1955" s="235"/>
    </row>
    <row r="1956" spans="1:22" ht="15.75" x14ac:dyDescent="0.25">
      <c r="A1956" s="231"/>
      <c r="B1956" s="232"/>
      <c r="C1956" s="400"/>
      <c r="D1956" s="233"/>
      <c r="E1956" s="405"/>
      <c r="F1956" s="405"/>
      <c r="G1956" s="405"/>
      <c r="H1956" s="408">
        <f>ROUND(+E1956+F1956+G1956,4)</f>
        <v>0</v>
      </c>
      <c r="I1956" s="234"/>
      <c r="J1956" s="411"/>
      <c r="K1956" s="411"/>
      <c r="L1956" s="414">
        <v>0.1</v>
      </c>
      <c r="M1956" s="414">
        <f>ROUND(+L1956*C1956,4)</f>
        <v>0</v>
      </c>
      <c r="N1956" s="414"/>
      <c r="O1956" s="414"/>
      <c r="P1956" s="414"/>
      <c r="Q1956" s="419">
        <f>ROUND(+N1956+O1956+P1956,4)</f>
        <v>0</v>
      </c>
      <c r="R1956" s="419">
        <f>ROUND(IF(+Q1956-H1956&lt;=0,0,Q1956-H1956),4)</f>
        <v>0</v>
      </c>
      <c r="S1956" s="423">
        <v>0.5</v>
      </c>
      <c r="T1956" s="419">
        <f>ROUND(+(R1956*C1956)*S1956,4)</f>
        <v>0</v>
      </c>
      <c r="U1956" s="419">
        <f>ROUND(+J1956+M1956+T1956,4)</f>
        <v>0</v>
      </c>
      <c r="V1956" s="235"/>
    </row>
    <row r="1957" spans="1:22" ht="15.75" x14ac:dyDescent="0.25">
      <c r="A1957" s="231"/>
      <c r="B1957" s="232"/>
      <c r="C1957" s="400"/>
      <c r="D1957" s="233"/>
      <c r="E1957" s="405"/>
      <c r="F1957" s="405"/>
      <c r="G1957" s="405"/>
      <c r="H1957" s="408">
        <f>ROUND(+E1957+F1957+G1957,4)</f>
        <v>0</v>
      </c>
      <c r="I1957" s="234"/>
      <c r="J1957" s="411"/>
      <c r="K1957" s="411"/>
      <c r="L1957" s="414">
        <v>0.1</v>
      </c>
      <c r="M1957" s="414">
        <f>ROUND(+L1957*C1957,4)</f>
        <v>0</v>
      </c>
      <c r="N1957" s="414"/>
      <c r="O1957" s="414"/>
      <c r="P1957" s="414"/>
      <c r="Q1957" s="419">
        <f>ROUND(+N1957+O1957+P1957,4)</f>
        <v>0</v>
      </c>
      <c r="R1957" s="419">
        <f>ROUND(IF(+Q1957-H1957&lt;=0,0,Q1957-H1957),4)</f>
        <v>0</v>
      </c>
      <c r="S1957" s="423">
        <v>0.5</v>
      </c>
      <c r="T1957" s="419">
        <f>ROUND(+(R1957*C1957)*S1957,4)</f>
        <v>0</v>
      </c>
      <c r="U1957" s="419">
        <f>ROUND(+J1957+M1957+T1957,4)</f>
        <v>0</v>
      </c>
      <c r="V1957" s="235"/>
    </row>
    <row r="1958" spans="1:22" ht="15.75" x14ac:dyDescent="0.25">
      <c r="A1958" s="231"/>
      <c r="B1958" s="232"/>
      <c r="C1958" s="400"/>
      <c r="D1958" s="233"/>
      <c r="E1958" s="405"/>
      <c r="F1958" s="405"/>
      <c r="G1958" s="405"/>
      <c r="H1958" s="408">
        <f>ROUND(+E1958+F1958+G1958,4)</f>
        <v>0</v>
      </c>
      <c r="I1958" s="234"/>
      <c r="J1958" s="411"/>
      <c r="K1958" s="411"/>
      <c r="L1958" s="414">
        <v>0.1</v>
      </c>
      <c r="M1958" s="414">
        <f>ROUND(+L1958*C1958,4)</f>
        <v>0</v>
      </c>
      <c r="N1958" s="414"/>
      <c r="O1958" s="414"/>
      <c r="P1958" s="414"/>
      <c r="Q1958" s="419">
        <f>ROUND(+N1958+O1958+P1958,4)</f>
        <v>0</v>
      </c>
      <c r="R1958" s="419">
        <f>ROUND(IF(+Q1958-H1958&lt;=0,0,Q1958-H1958),4)</f>
        <v>0</v>
      </c>
      <c r="S1958" s="423">
        <v>0.5</v>
      </c>
      <c r="T1958" s="419">
        <f>ROUND(+(R1958*C1958)*S1958,4)</f>
        <v>0</v>
      </c>
      <c r="U1958" s="419">
        <f>ROUND(+J1958+M1958+T1958,4)</f>
        <v>0</v>
      </c>
      <c r="V1958" s="235"/>
    </row>
    <row r="1959" spans="1:22" ht="15.75" x14ac:dyDescent="0.25">
      <c r="A1959" s="231"/>
      <c r="B1959" s="232"/>
      <c r="C1959" s="400"/>
      <c r="D1959" s="233"/>
      <c r="E1959" s="405"/>
      <c r="F1959" s="405"/>
      <c r="G1959" s="405"/>
      <c r="H1959" s="408">
        <f>ROUND(+E1959+F1959+G1959,4)</f>
        <v>0</v>
      </c>
      <c r="I1959" s="234"/>
      <c r="J1959" s="411"/>
      <c r="K1959" s="411"/>
      <c r="L1959" s="414">
        <v>0.1</v>
      </c>
      <c r="M1959" s="414">
        <f>ROUND(+L1959*C1959,4)</f>
        <v>0</v>
      </c>
      <c r="N1959" s="414"/>
      <c r="O1959" s="414"/>
      <c r="P1959" s="414"/>
      <c r="Q1959" s="419">
        <f>ROUND(+N1959+O1959+P1959,4)</f>
        <v>0</v>
      </c>
      <c r="R1959" s="419">
        <f>ROUND(IF(+Q1959-H1959&lt;=0,0,Q1959-H1959),4)</f>
        <v>0</v>
      </c>
      <c r="S1959" s="423">
        <v>0.5</v>
      </c>
      <c r="T1959" s="419">
        <f>ROUND(+(R1959*C1959)*S1959,4)</f>
        <v>0</v>
      </c>
      <c r="U1959" s="419">
        <f>ROUND(+J1959+M1959+T1959,4)</f>
        <v>0</v>
      </c>
      <c r="V1959" s="235"/>
    </row>
    <row r="1960" spans="1:22" ht="15.75" x14ac:dyDescent="0.25">
      <c r="A1960" s="231"/>
      <c r="B1960" s="232"/>
      <c r="C1960" s="400"/>
      <c r="D1960" s="233"/>
      <c r="E1960" s="405"/>
      <c r="F1960" s="405"/>
      <c r="G1960" s="405"/>
      <c r="H1960" s="408">
        <f>ROUND(+E1960+F1960+G1960,4)</f>
        <v>0</v>
      </c>
      <c r="I1960" s="234"/>
      <c r="J1960" s="411"/>
      <c r="K1960" s="411"/>
      <c r="L1960" s="414">
        <v>0.1</v>
      </c>
      <c r="M1960" s="414">
        <f>ROUND(+L1960*C1960,4)</f>
        <v>0</v>
      </c>
      <c r="N1960" s="414"/>
      <c r="O1960" s="414"/>
      <c r="P1960" s="414"/>
      <c r="Q1960" s="419">
        <f>ROUND(+N1960+O1960+P1960,4)</f>
        <v>0</v>
      </c>
      <c r="R1960" s="419">
        <f>ROUND(IF(+Q1960-H1960&lt;=0,0,Q1960-H1960),4)</f>
        <v>0</v>
      </c>
      <c r="S1960" s="423">
        <v>0.5</v>
      </c>
      <c r="T1960" s="419">
        <f>ROUND(+(R1960*C1960)*S1960,4)</f>
        <v>0</v>
      </c>
      <c r="U1960" s="419">
        <f>ROUND(+J1960+M1960+T1960,4)</f>
        <v>0</v>
      </c>
      <c r="V1960" s="235"/>
    </row>
    <row r="1961" spans="1:22" ht="15.75" x14ac:dyDescent="0.25">
      <c r="A1961" s="231"/>
      <c r="B1961" s="232"/>
      <c r="C1961" s="400"/>
      <c r="D1961" s="233"/>
      <c r="E1961" s="405"/>
      <c r="F1961" s="405"/>
      <c r="G1961" s="405"/>
      <c r="H1961" s="408">
        <f>ROUND(+E1961+F1961+G1961,4)</f>
        <v>0</v>
      </c>
      <c r="I1961" s="234"/>
      <c r="J1961" s="411"/>
      <c r="K1961" s="411"/>
      <c r="L1961" s="414">
        <v>0.1</v>
      </c>
      <c r="M1961" s="414">
        <f>ROUND(+L1961*C1961,4)</f>
        <v>0</v>
      </c>
      <c r="N1961" s="414"/>
      <c r="O1961" s="414"/>
      <c r="P1961" s="414"/>
      <c r="Q1961" s="419">
        <f>ROUND(+N1961+O1961+P1961,4)</f>
        <v>0</v>
      </c>
      <c r="R1961" s="419">
        <f>ROUND(IF(+Q1961-H1961&lt;=0,0,Q1961-H1961),4)</f>
        <v>0</v>
      </c>
      <c r="S1961" s="423">
        <v>0.5</v>
      </c>
      <c r="T1961" s="419">
        <f>ROUND(+(R1961*C1961)*S1961,4)</f>
        <v>0</v>
      </c>
      <c r="U1961" s="419">
        <f>ROUND(+J1961+M1961+T1961,4)</f>
        <v>0</v>
      </c>
      <c r="V1961" s="235"/>
    </row>
    <row r="1962" spans="1:22" ht="15.75" x14ac:dyDescent="0.25">
      <c r="A1962" s="231"/>
      <c r="B1962" s="232"/>
      <c r="C1962" s="400"/>
      <c r="D1962" s="233"/>
      <c r="E1962" s="405"/>
      <c r="F1962" s="405"/>
      <c r="G1962" s="405"/>
      <c r="H1962" s="408">
        <f>ROUND(+E1962+F1962+G1962,4)</f>
        <v>0</v>
      </c>
      <c r="I1962" s="234"/>
      <c r="J1962" s="411"/>
      <c r="K1962" s="411"/>
      <c r="L1962" s="414">
        <v>0.1</v>
      </c>
      <c r="M1962" s="414">
        <f>ROUND(+L1962*C1962,4)</f>
        <v>0</v>
      </c>
      <c r="N1962" s="414"/>
      <c r="O1962" s="414"/>
      <c r="P1962" s="414"/>
      <c r="Q1962" s="419">
        <f>ROUND(+N1962+O1962+P1962,4)</f>
        <v>0</v>
      </c>
      <c r="R1962" s="419">
        <f>ROUND(IF(+Q1962-H1962&lt;=0,0,Q1962-H1962),4)</f>
        <v>0</v>
      </c>
      <c r="S1962" s="423">
        <v>0.5</v>
      </c>
      <c r="T1962" s="419">
        <f>ROUND(+(R1962*C1962)*S1962,4)</f>
        <v>0</v>
      </c>
      <c r="U1962" s="419">
        <f>ROUND(+J1962+M1962+T1962,4)</f>
        <v>0</v>
      </c>
      <c r="V1962" s="235"/>
    </row>
    <row r="1963" spans="1:22" ht="15.75" x14ac:dyDescent="0.25">
      <c r="A1963" s="231"/>
      <c r="B1963" s="232"/>
      <c r="C1963" s="400"/>
      <c r="D1963" s="233"/>
      <c r="E1963" s="405"/>
      <c r="F1963" s="405"/>
      <c r="G1963" s="405"/>
      <c r="H1963" s="408">
        <f>ROUND(+E1963+F1963+G1963,4)</f>
        <v>0</v>
      </c>
      <c r="I1963" s="234"/>
      <c r="J1963" s="411"/>
      <c r="K1963" s="411"/>
      <c r="L1963" s="414">
        <v>0.1</v>
      </c>
      <c r="M1963" s="414">
        <f>ROUND(+L1963*C1963,4)</f>
        <v>0</v>
      </c>
      <c r="N1963" s="414"/>
      <c r="O1963" s="414"/>
      <c r="P1963" s="414"/>
      <c r="Q1963" s="419">
        <f>ROUND(+N1963+O1963+P1963,4)</f>
        <v>0</v>
      </c>
      <c r="R1963" s="419">
        <f>ROUND(IF(+Q1963-H1963&lt;=0,0,Q1963-H1963),4)</f>
        <v>0</v>
      </c>
      <c r="S1963" s="423">
        <v>0.5</v>
      </c>
      <c r="T1963" s="419">
        <f>ROUND(+(R1963*C1963)*S1963,4)</f>
        <v>0</v>
      </c>
      <c r="U1963" s="419">
        <f>ROUND(+J1963+M1963+T1963,4)</f>
        <v>0</v>
      </c>
      <c r="V1963" s="235"/>
    </row>
    <row r="1964" spans="1:22" ht="15.75" x14ac:dyDescent="0.25">
      <c r="A1964" s="231"/>
      <c r="B1964" s="232"/>
      <c r="C1964" s="400"/>
      <c r="D1964" s="233"/>
      <c r="E1964" s="405"/>
      <c r="F1964" s="405"/>
      <c r="G1964" s="405"/>
      <c r="H1964" s="408">
        <f>ROUND(+E1964+F1964+G1964,4)</f>
        <v>0</v>
      </c>
      <c r="I1964" s="234"/>
      <c r="J1964" s="411"/>
      <c r="K1964" s="411"/>
      <c r="L1964" s="414">
        <v>0.1</v>
      </c>
      <c r="M1964" s="414">
        <f>ROUND(+L1964*C1964,4)</f>
        <v>0</v>
      </c>
      <c r="N1964" s="414"/>
      <c r="O1964" s="414"/>
      <c r="P1964" s="414"/>
      <c r="Q1964" s="419">
        <f>ROUND(+N1964+O1964+P1964,4)</f>
        <v>0</v>
      </c>
      <c r="R1964" s="419">
        <f>ROUND(IF(+Q1964-H1964&lt;=0,0,Q1964-H1964),4)</f>
        <v>0</v>
      </c>
      <c r="S1964" s="423">
        <v>0.5</v>
      </c>
      <c r="T1964" s="419">
        <f>ROUND(+(R1964*C1964)*S1964,4)</f>
        <v>0</v>
      </c>
      <c r="U1964" s="419">
        <f>ROUND(+J1964+M1964+T1964,4)</f>
        <v>0</v>
      </c>
      <c r="V1964" s="235"/>
    </row>
    <row r="1965" spans="1:22" ht="15.75" x14ac:dyDescent="0.25">
      <c r="A1965" s="231"/>
      <c r="B1965" s="232"/>
      <c r="C1965" s="400"/>
      <c r="D1965" s="233"/>
      <c r="E1965" s="405"/>
      <c r="F1965" s="405"/>
      <c r="G1965" s="405"/>
      <c r="H1965" s="408">
        <f>ROUND(+E1965+F1965+G1965,4)</f>
        <v>0</v>
      </c>
      <c r="I1965" s="234"/>
      <c r="J1965" s="411"/>
      <c r="K1965" s="411"/>
      <c r="L1965" s="414">
        <v>0.1</v>
      </c>
      <c r="M1965" s="414">
        <f>ROUND(+L1965*C1965,4)</f>
        <v>0</v>
      </c>
      <c r="N1965" s="414"/>
      <c r="O1965" s="414"/>
      <c r="P1965" s="414"/>
      <c r="Q1965" s="419">
        <f>ROUND(+N1965+O1965+P1965,4)</f>
        <v>0</v>
      </c>
      <c r="R1965" s="419">
        <f>ROUND(IF(+Q1965-H1965&lt;=0,0,Q1965-H1965),4)</f>
        <v>0</v>
      </c>
      <c r="S1965" s="423">
        <v>0.5</v>
      </c>
      <c r="T1965" s="419">
        <f>ROUND(+(R1965*C1965)*S1965,4)</f>
        <v>0</v>
      </c>
      <c r="U1965" s="419">
        <f>ROUND(+J1965+M1965+T1965,4)</f>
        <v>0</v>
      </c>
      <c r="V1965" s="235"/>
    </row>
    <row r="1966" spans="1:22" ht="15.75" x14ac:dyDescent="0.25">
      <c r="A1966" s="231"/>
      <c r="B1966" s="232"/>
      <c r="C1966" s="400"/>
      <c r="D1966" s="233"/>
      <c r="E1966" s="405"/>
      <c r="F1966" s="405"/>
      <c r="G1966" s="405"/>
      <c r="H1966" s="408">
        <f>ROUND(+E1966+F1966+G1966,4)</f>
        <v>0</v>
      </c>
      <c r="I1966" s="234"/>
      <c r="J1966" s="411"/>
      <c r="K1966" s="411"/>
      <c r="L1966" s="414">
        <v>0.1</v>
      </c>
      <c r="M1966" s="414">
        <f>ROUND(+L1966*C1966,4)</f>
        <v>0</v>
      </c>
      <c r="N1966" s="414"/>
      <c r="O1966" s="414"/>
      <c r="P1966" s="414"/>
      <c r="Q1966" s="419">
        <f>ROUND(+N1966+O1966+P1966,4)</f>
        <v>0</v>
      </c>
      <c r="R1966" s="419">
        <f>ROUND(IF(+Q1966-H1966&lt;=0,0,Q1966-H1966),4)</f>
        <v>0</v>
      </c>
      <c r="S1966" s="423">
        <v>0.5</v>
      </c>
      <c r="T1966" s="419">
        <f>ROUND(+(R1966*C1966)*S1966,4)</f>
        <v>0</v>
      </c>
      <c r="U1966" s="419">
        <f>ROUND(+J1966+M1966+T1966,4)</f>
        <v>0</v>
      </c>
      <c r="V1966" s="235"/>
    </row>
    <row r="1967" spans="1:22" ht="15.75" x14ac:dyDescent="0.25">
      <c r="A1967" s="231"/>
      <c r="B1967" s="232"/>
      <c r="C1967" s="400"/>
      <c r="D1967" s="233"/>
      <c r="E1967" s="405"/>
      <c r="F1967" s="405"/>
      <c r="G1967" s="405"/>
      <c r="H1967" s="408">
        <f>ROUND(+E1967+F1967+G1967,4)</f>
        <v>0</v>
      </c>
      <c r="I1967" s="234"/>
      <c r="J1967" s="411"/>
      <c r="K1967" s="411"/>
      <c r="L1967" s="414">
        <v>0.1</v>
      </c>
      <c r="M1967" s="414">
        <f>ROUND(+L1967*C1967,4)</f>
        <v>0</v>
      </c>
      <c r="N1967" s="414"/>
      <c r="O1967" s="414"/>
      <c r="P1967" s="414"/>
      <c r="Q1967" s="419">
        <f>ROUND(+N1967+O1967+P1967,4)</f>
        <v>0</v>
      </c>
      <c r="R1967" s="419">
        <f>ROUND(IF(+Q1967-H1967&lt;=0,0,Q1967-H1967),4)</f>
        <v>0</v>
      </c>
      <c r="S1967" s="423">
        <v>0.5</v>
      </c>
      <c r="T1967" s="419">
        <f>ROUND(+(R1967*C1967)*S1967,4)</f>
        <v>0</v>
      </c>
      <c r="U1967" s="419">
        <f>ROUND(+J1967+M1967+T1967,4)</f>
        <v>0</v>
      </c>
      <c r="V1967" s="235"/>
    </row>
    <row r="1968" spans="1:22" ht="15.75" x14ac:dyDescent="0.25">
      <c r="A1968" s="231"/>
      <c r="B1968" s="232"/>
      <c r="C1968" s="400"/>
      <c r="D1968" s="233"/>
      <c r="E1968" s="405"/>
      <c r="F1968" s="405"/>
      <c r="G1968" s="405"/>
      <c r="H1968" s="408">
        <f>ROUND(+E1968+F1968+G1968,4)</f>
        <v>0</v>
      </c>
      <c r="I1968" s="234"/>
      <c r="J1968" s="411"/>
      <c r="K1968" s="411"/>
      <c r="L1968" s="414">
        <v>0.1</v>
      </c>
      <c r="M1968" s="414">
        <f>ROUND(+L1968*C1968,4)</f>
        <v>0</v>
      </c>
      <c r="N1968" s="414"/>
      <c r="O1968" s="414"/>
      <c r="P1968" s="414"/>
      <c r="Q1968" s="419">
        <f>ROUND(+N1968+O1968+P1968,4)</f>
        <v>0</v>
      </c>
      <c r="R1968" s="419">
        <f>ROUND(IF(+Q1968-H1968&lt;=0,0,Q1968-H1968),4)</f>
        <v>0</v>
      </c>
      <c r="S1968" s="423">
        <v>0.5</v>
      </c>
      <c r="T1968" s="419">
        <f>ROUND(+(R1968*C1968)*S1968,4)</f>
        <v>0</v>
      </c>
      <c r="U1968" s="419">
        <f>ROUND(+J1968+M1968+T1968,4)</f>
        <v>0</v>
      </c>
      <c r="V1968" s="235"/>
    </row>
    <row r="1969" spans="1:22" ht="15.75" x14ac:dyDescent="0.25">
      <c r="A1969" s="231"/>
      <c r="B1969" s="232"/>
      <c r="C1969" s="400"/>
      <c r="D1969" s="233"/>
      <c r="E1969" s="405"/>
      <c r="F1969" s="405"/>
      <c r="G1969" s="405"/>
      <c r="H1969" s="408">
        <f>ROUND(+E1969+F1969+G1969,4)</f>
        <v>0</v>
      </c>
      <c r="I1969" s="234"/>
      <c r="J1969" s="411"/>
      <c r="K1969" s="411"/>
      <c r="L1969" s="414">
        <v>0.1</v>
      </c>
      <c r="M1969" s="414">
        <f>ROUND(+L1969*C1969,4)</f>
        <v>0</v>
      </c>
      <c r="N1969" s="414"/>
      <c r="O1969" s="414"/>
      <c r="P1969" s="414"/>
      <c r="Q1969" s="419">
        <f>ROUND(+N1969+O1969+P1969,4)</f>
        <v>0</v>
      </c>
      <c r="R1969" s="419">
        <f>ROUND(IF(+Q1969-H1969&lt;=0,0,Q1969-H1969),4)</f>
        <v>0</v>
      </c>
      <c r="S1969" s="423">
        <v>0.5</v>
      </c>
      <c r="T1969" s="419">
        <f>ROUND(+(R1969*C1969)*S1969,4)</f>
        <v>0</v>
      </c>
      <c r="U1969" s="419">
        <f>ROUND(+J1969+M1969+T1969,4)</f>
        <v>0</v>
      </c>
      <c r="V1969" s="235"/>
    </row>
    <row r="1970" spans="1:22" ht="15.75" x14ac:dyDescent="0.25">
      <c r="A1970" s="231"/>
      <c r="B1970" s="232"/>
      <c r="C1970" s="400"/>
      <c r="D1970" s="233"/>
      <c r="E1970" s="405"/>
      <c r="F1970" s="405"/>
      <c r="G1970" s="405"/>
      <c r="H1970" s="408">
        <f>ROUND(+E1970+F1970+G1970,4)</f>
        <v>0</v>
      </c>
      <c r="I1970" s="234"/>
      <c r="J1970" s="411"/>
      <c r="K1970" s="411"/>
      <c r="L1970" s="414">
        <v>0.1</v>
      </c>
      <c r="M1970" s="414">
        <f>ROUND(+L1970*C1970,4)</f>
        <v>0</v>
      </c>
      <c r="N1970" s="414"/>
      <c r="O1970" s="414"/>
      <c r="P1970" s="414"/>
      <c r="Q1970" s="419">
        <f>ROUND(+N1970+O1970+P1970,4)</f>
        <v>0</v>
      </c>
      <c r="R1970" s="419">
        <f>ROUND(IF(+Q1970-H1970&lt;=0,0,Q1970-H1970),4)</f>
        <v>0</v>
      </c>
      <c r="S1970" s="423">
        <v>0.5</v>
      </c>
      <c r="T1970" s="419">
        <f>ROUND(+(R1970*C1970)*S1970,4)</f>
        <v>0</v>
      </c>
      <c r="U1970" s="419">
        <f>ROUND(+J1970+M1970+T1970,4)</f>
        <v>0</v>
      </c>
      <c r="V1970" s="235"/>
    </row>
    <row r="1971" spans="1:22" ht="15.75" x14ac:dyDescent="0.25">
      <c r="A1971" s="231"/>
      <c r="B1971" s="232"/>
      <c r="C1971" s="400"/>
      <c r="D1971" s="233"/>
      <c r="E1971" s="405"/>
      <c r="F1971" s="405"/>
      <c r="G1971" s="405"/>
      <c r="H1971" s="408">
        <f>ROUND(+E1971+F1971+G1971,4)</f>
        <v>0</v>
      </c>
      <c r="I1971" s="234"/>
      <c r="J1971" s="411"/>
      <c r="K1971" s="411"/>
      <c r="L1971" s="414">
        <v>0.1</v>
      </c>
      <c r="M1971" s="414">
        <f>ROUND(+L1971*C1971,4)</f>
        <v>0</v>
      </c>
      <c r="N1971" s="414"/>
      <c r="O1971" s="414"/>
      <c r="P1971" s="414"/>
      <c r="Q1971" s="419">
        <f>ROUND(+N1971+O1971+P1971,4)</f>
        <v>0</v>
      </c>
      <c r="R1971" s="419">
        <f>ROUND(IF(+Q1971-H1971&lt;=0,0,Q1971-H1971),4)</f>
        <v>0</v>
      </c>
      <c r="S1971" s="423">
        <v>0.5</v>
      </c>
      <c r="T1971" s="419">
        <f>ROUND(+(R1971*C1971)*S1971,4)</f>
        <v>0</v>
      </c>
      <c r="U1971" s="419">
        <f>ROUND(+J1971+M1971+T1971,4)</f>
        <v>0</v>
      </c>
      <c r="V1971" s="235"/>
    </row>
    <row r="1972" spans="1:22" ht="15.75" x14ac:dyDescent="0.25">
      <c r="A1972" s="231"/>
      <c r="B1972" s="232"/>
      <c r="C1972" s="400"/>
      <c r="D1972" s="233"/>
      <c r="E1972" s="405"/>
      <c r="F1972" s="405"/>
      <c r="G1972" s="405"/>
      <c r="H1972" s="408">
        <f>ROUND(+E1972+F1972+G1972,4)</f>
        <v>0</v>
      </c>
      <c r="I1972" s="234"/>
      <c r="J1972" s="411"/>
      <c r="K1972" s="411"/>
      <c r="L1972" s="414">
        <v>0.1</v>
      </c>
      <c r="M1972" s="414">
        <f>ROUND(+L1972*C1972,4)</f>
        <v>0</v>
      </c>
      <c r="N1972" s="414"/>
      <c r="O1972" s="414"/>
      <c r="P1972" s="414"/>
      <c r="Q1972" s="419">
        <f>ROUND(+N1972+O1972+P1972,4)</f>
        <v>0</v>
      </c>
      <c r="R1972" s="419">
        <f>ROUND(IF(+Q1972-H1972&lt;=0,0,Q1972-H1972),4)</f>
        <v>0</v>
      </c>
      <c r="S1972" s="423">
        <v>0.5</v>
      </c>
      <c r="T1972" s="419">
        <f>ROUND(+(R1972*C1972)*S1972,4)</f>
        <v>0</v>
      </c>
      <c r="U1972" s="419">
        <f>ROUND(+J1972+M1972+T1972,4)</f>
        <v>0</v>
      </c>
      <c r="V1972" s="235"/>
    </row>
    <row r="1973" spans="1:22" ht="15.75" x14ac:dyDescent="0.25">
      <c r="A1973" s="231"/>
      <c r="B1973" s="232"/>
      <c r="C1973" s="400"/>
      <c r="D1973" s="233"/>
      <c r="E1973" s="405"/>
      <c r="F1973" s="405"/>
      <c r="G1973" s="405"/>
      <c r="H1973" s="408">
        <f>ROUND(+E1973+F1973+G1973,4)</f>
        <v>0</v>
      </c>
      <c r="I1973" s="234"/>
      <c r="J1973" s="411"/>
      <c r="K1973" s="411"/>
      <c r="L1973" s="414">
        <v>0.1</v>
      </c>
      <c r="M1973" s="414">
        <f>ROUND(+L1973*C1973,4)</f>
        <v>0</v>
      </c>
      <c r="N1973" s="414"/>
      <c r="O1973" s="414"/>
      <c r="P1973" s="414"/>
      <c r="Q1973" s="419">
        <f>ROUND(+N1973+O1973+P1973,4)</f>
        <v>0</v>
      </c>
      <c r="R1973" s="419">
        <f>ROUND(IF(+Q1973-H1973&lt;=0,0,Q1973-H1973),4)</f>
        <v>0</v>
      </c>
      <c r="S1973" s="423">
        <v>0.5</v>
      </c>
      <c r="T1973" s="419">
        <f>ROUND(+(R1973*C1973)*S1973,4)</f>
        <v>0</v>
      </c>
      <c r="U1973" s="419">
        <f>ROUND(+J1973+M1973+T1973,4)</f>
        <v>0</v>
      </c>
      <c r="V1973" s="235"/>
    </row>
    <row r="1974" spans="1:22" ht="15.75" x14ac:dyDescent="0.25">
      <c r="A1974" s="231"/>
      <c r="B1974" s="232"/>
      <c r="C1974" s="400"/>
      <c r="D1974" s="233"/>
      <c r="E1974" s="405"/>
      <c r="F1974" s="405"/>
      <c r="G1974" s="405"/>
      <c r="H1974" s="408">
        <f>ROUND(+E1974+F1974+G1974,4)</f>
        <v>0</v>
      </c>
      <c r="I1974" s="234"/>
      <c r="J1974" s="411"/>
      <c r="K1974" s="411"/>
      <c r="L1974" s="414">
        <v>0.1</v>
      </c>
      <c r="M1974" s="414">
        <f>ROUND(+L1974*C1974,4)</f>
        <v>0</v>
      </c>
      <c r="N1974" s="414"/>
      <c r="O1974" s="414"/>
      <c r="P1974" s="414"/>
      <c r="Q1974" s="419">
        <f>ROUND(+N1974+O1974+P1974,4)</f>
        <v>0</v>
      </c>
      <c r="R1974" s="419">
        <f>ROUND(IF(+Q1974-H1974&lt;=0,0,Q1974-H1974),4)</f>
        <v>0</v>
      </c>
      <c r="S1974" s="423">
        <v>0.5</v>
      </c>
      <c r="T1974" s="419">
        <f>ROUND(+(R1974*C1974)*S1974,4)</f>
        <v>0</v>
      </c>
      <c r="U1974" s="419">
        <f>ROUND(+J1974+M1974+T1974,4)</f>
        <v>0</v>
      </c>
      <c r="V1974" s="235"/>
    </row>
    <row r="1975" spans="1:22" ht="15.75" x14ac:dyDescent="0.25">
      <c r="A1975" s="231"/>
      <c r="B1975" s="232"/>
      <c r="C1975" s="400"/>
      <c r="D1975" s="233"/>
      <c r="E1975" s="405"/>
      <c r="F1975" s="405"/>
      <c r="G1975" s="405"/>
      <c r="H1975" s="408">
        <f>ROUND(+E1975+F1975+G1975,4)</f>
        <v>0</v>
      </c>
      <c r="I1975" s="234"/>
      <c r="J1975" s="411"/>
      <c r="K1975" s="411"/>
      <c r="L1975" s="414">
        <v>0.1</v>
      </c>
      <c r="M1975" s="414">
        <f>ROUND(+L1975*C1975,4)</f>
        <v>0</v>
      </c>
      <c r="N1975" s="414"/>
      <c r="O1975" s="414"/>
      <c r="P1975" s="414"/>
      <c r="Q1975" s="419">
        <f>ROUND(+N1975+O1975+P1975,4)</f>
        <v>0</v>
      </c>
      <c r="R1975" s="419">
        <f>ROUND(IF(+Q1975-H1975&lt;=0,0,Q1975-H1975),4)</f>
        <v>0</v>
      </c>
      <c r="S1975" s="423">
        <v>0.5</v>
      </c>
      <c r="T1975" s="419">
        <f>ROUND(+(R1975*C1975)*S1975,4)</f>
        <v>0</v>
      </c>
      <c r="U1975" s="419">
        <f>ROUND(+J1975+M1975+T1975,4)</f>
        <v>0</v>
      </c>
      <c r="V1975" s="235"/>
    </row>
    <row r="1976" spans="1:22" ht="15.75" x14ac:dyDescent="0.25">
      <c r="A1976" s="231"/>
      <c r="B1976" s="232"/>
      <c r="C1976" s="400"/>
      <c r="D1976" s="233"/>
      <c r="E1976" s="405"/>
      <c r="F1976" s="405"/>
      <c r="G1976" s="405"/>
      <c r="H1976" s="408">
        <f>ROUND(+E1976+F1976+G1976,4)</f>
        <v>0</v>
      </c>
      <c r="I1976" s="234"/>
      <c r="J1976" s="411"/>
      <c r="K1976" s="411"/>
      <c r="L1976" s="414">
        <v>0.1</v>
      </c>
      <c r="M1976" s="414">
        <f>ROUND(+L1976*C1976,4)</f>
        <v>0</v>
      </c>
      <c r="N1976" s="414"/>
      <c r="O1976" s="414"/>
      <c r="P1976" s="414"/>
      <c r="Q1976" s="419">
        <f>ROUND(+N1976+O1976+P1976,4)</f>
        <v>0</v>
      </c>
      <c r="R1976" s="419">
        <f>ROUND(IF(+Q1976-H1976&lt;=0,0,Q1976-H1976),4)</f>
        <v>0</v>
      </c>
      <c r="S1976" s="423">
        <v>0.5</v>
      </c>
      <c r="T1976" s="419">
        <f>ROUND(+(R1976*C1976)*S1976,4)</f>
        <v>0</v>
      </c>
      <c r="U1976" s="419">
        <f>ROUND(+J1976+M1976+T1976,4)</f>
        <v>0</v>
      </c>
      <c r="V1976" s="235"/>
    </row>
    <row r="1977" spans="1:22" ht="15.75" x14ac:dyDescent="0.25">
      <c r="A1977" s="231"/>
      <c r="B1977" s="232"/>
      <c r="C1977" s="400"/>
      <c r="D1977" s="233"/>
      <c r="E1977" s="405"/>
      <c r="F1977" s="405"/>
      <c r="G1977" s="405"/>
      <c r="H1977" s="408">
        <f>ROUND(+E1977+F1977+G1977,4)</f>
        <v>0</v>
      </c>
      <c r="I1977" s="234"/>
      <c r="J1977" s="411"/>
      <c r="K1977" s="411"/>
      <c r="L1977" s="414">
        <v>0.1</v>
      </c>
      <c r="M1977" s="414">
        <f>ROUND(+L1977*C1977,4)</f>
        <v>0</v>
      </c>
      <c r="N1977" s="414"/>
      <c r="O1977" s="414"/>
      <c r="P1977" s="414"/>
      <c r="Q1977" s="419">
        <f>ROUND(+N1977+O1977+P1977,4)</f>
        <v>0</v>
      </c>
      <c r="R1977" s="419">
        <f>ROUND(IF(+Q1977-H1977&lt;=0,0,Q1977-H1977),4)</f>
        <v>0</v>
      </c>
      <c r="S1977" s="423">
        <v>0.5</v>
      </c>
      <c r="T1977" s="419">
        <f>ROUND(+(R1977*C1977)*S1977,4)</f>
        <v>0</v>
      </c>
      <c r="U1977" s="419">
        <f>ROUND(+J1977+M1977+T1977,4)</f>
        <v>0</v>
      </c>
      <c r="V1977" s="235"/>
    </row>
    <row r="1978" spans="1:22" ht="15.75" x14ac:dyDescent="0.25">
      <c r="A1978" s="231"/>
      <c r="B1978" s="232"/>
      <c r="C1978" s="400"/>
      <c r="D1978" s="233"/>
      <c r="E1978" s="405"/>
      <c r="F1978" s="405"/>
      <c r="G1978" s="405"/>
      <c r="H1978" s="408">
        <f>ROUND(+E1978+F1978+G1978,4)</f>
        <v>0</v>
      </c>
      <c r="I1978" s="234"/>
      <c r="J1978" s="411"/>
      <c r="K1978" s="411"/>
      <c r="L1978" s="414">
        <v>0.1</v>
      </c>
      <c r="M1978" s="414">
        <f>ROUND(+L1978*C1978,4)</f>
        <v>0</v>
      </c>
      <c r="N1978" s="414"/>
      <c r="O1978" s="414"/>
      <c r="P1978" s="414"/>
      <c r="Q1978" s="419">
        <f>ROUND(+N1978+O1978+P1978,4)</f>
        <v>0</v>
      </c>
      <c r="R1978" s="419">
        <f>ROUND(IF(+Q1978-H1978&lt;=0,0,Q1978-H1978),4)</f>
        <v>0</v>
      </c>
      <c r="S1978" s="423">
        <v>0.5</v>
      </c>
      <c r="T1978" s="419">
        <f>ROUND(+(R1978*C1978)*S1978,4)</f>
        <v>0</v>
      </c>
      <c r="U1978" s="419">
        <f>ROUND(+J1978+M1978+T1978,4)</f>
        <v>0</v>
      </c>
      <c r="V1978" s="235"/>
    </row>
    <row r="1979" spans="1:22" ht="15.75" x14ac:dyDescent="0.25">
      <c r="A1979" s="231"/>
      <c r="B1979" s="232"/>
      <c r="C1979" s="400"/>
      <c r="D1979" s="233"/>
      <c r="E1979" s="405"/>
      <c r="F1979" s="405"/>
      <c r="G1979" s="405"/>
      <c r="H1979" s="408">
        <f>ROUND(+E1979+F1979+G1979,4)</f>
        <v>0</v>
      </c>
      <c r="I1979" s="234"/>
      <c r="J1979" s="411"/>
      <c r="K1979" s="411"/>
      <c r="L1979" s="414">
        <v>0.1</v>
      </c>
      <c r="M1979" s="414">
        <f>ROUND(+L1979*C1979,4)</f>
        <v>0</v>
      </c>
      <c r="N1979" s="414"/>
      <c r="O1979" s="414"/>
      <c r="P1979" s="414"/>
      <c r="Q1979" s="419">
        <f>ROUND(+N1979+O1979+P1979,4)</f>
        <v>0</v>
      </c>
      <c r="R1979" s="419">
        <f>ROUND(IF(+Q1979-H1979&lt;=0,0,Q1979-H1979),4)</f>
        <v>0</v>
      </c>
      <c r="S1979" s="423">
        <v>0.5</v>
      </c>
      <c r="T1979" s="419">
        <f>ROUND(+(R1979*C1979)*S1979,4)</f>
        <v>0</v>
      </c>
      <c r="U1979" s="419">
        <f>ROUND(+J1979+M1979+T1979,4)</f>
        <v>0</v>
      </c>
      <c r="V1979" s="235"/>
    </row>
    <row r="1980" spans="1:22" ht="15.75" x14ac:dyDescent="0.25">
      <c r="A1980" s="231"/>
      <c r="B1980" s="232"/>
      <c r="C1980" s="400"/>
      <c r="D1980" s="233"/>
      <c r="E1980" s="405"/>
      <c r="F1980" s="405"/>
      <c r="G1980" s="405"/>
      <c r="H1980" s="408">
        <f>ROUND(+E1980+F1980+G1980,4)</f>
        <v>0</v>
      </c>
      <c r="I1980" s="234"/>
      <c r="J1980" s="411"/>
      <c r="K1980" s="411"/>
      <c r="L1980" s="414">
        <v>0.1</v>
      </c>
      <c r="M1980" s="414">
        <f>ROUND(+L1980*C1980,4)</f>
        <v>0</v>
      </c>
      <c r="N1980" s="414"/>
      <c r="O1980" s="414"/>
      <c r="P1980" s="414"/>
      <c r="Q1980" s="419">
        <f>ROUND(+N1980+O1980+P1980,4)</f>
        <v>0</v>
      </c>
      <c r="R1980" s="419">
        <f>ROUND(IF(+Q1980-H1980&lt;=0,0,Q1980-H1980),4)</f>
        <v>0</v>
      </c>
      <c r="S1980" s="423">
        <v>0.5</v>
      </c>
      <c r="T1980" s="419">
        <f>ROUND(+(R1980*C1980)*S1980,4)</f>
        <v>0</v>
      </c>
      <c r="U1980" s="419">
        <f>ROUND(+J1980+M1980+T1980,4)</f>
        <v>0</v>
      </c>
      <c r="V1980" s="235"/>
    </row>
    <row r="1981" spans="1:22" ht="15.75" x14ac:dyDescent="0.25">
      <c r="A1981" s="231"/>
      <c r="B1981" s="232"/>
      <c r="C1981" s="400"/>
      <c r="D1981" s="233"/>
      <c r="E1981" s="405"/>
      <c r="F1981" s="405"/>
      <c r="G1981" s="405"/>
      <c r="H1981" s="408">
        <f>ROUND(+E1981+F1981+G1981,4)</f>
        <v>0</v>
      </c>
      <c r="I1981" s="234"/>
      <c r="J1981" s="411"/>
      <c r="K1981" s="411"/>
      <c r="L1981" s="414">
        <v>0.1</v>
      </c>
      <c r="M1981" s="414">
        <f>ROUND(+L1981*C1981,4)</f>
        <v>0</v>
      </c>
      <c r="N1981" s="414"/>
      <c r="O1981" s="414"/>
      <c r="P1981" s="414"/>
      <c r="Q1981" s="419">
        <f>ROUND(+N1981+O1981+P1981,4)</f>
        <v>0</v>
      </c>
      <c r="R1981" s="419">
        <f>ROUND(IF(+Q1981-H1981&lt;=0,0,Q1981-H1981),4)</f>
        <v>0</v>
      </c>
      <c r="S1981" s="423">
        <v>0.5</v>
      </c>
      <c r="T1981" s="419">
        <f>ROUND(+(R1981*C1981)*S1981,4)</f>
        <v>0</v>
      </c>
      <c r="U1981" s="419">
        <f>ROUND(+J1981+M1981+T1981,4)</f>
        <v>0</v>
      </c>
      <c r="V1981" s="235"/>
    </row>
    <row r="1982" spans="1:22" ht="15.75" x14ac:dyDescent="0.25">
      <c r="A1982" s="231"/>
      <c r="B1982" s="232"/>
      <c r="C1982" s="400"/>
      <c r="D1982" s="233"/>
      <c r="E1982" s="405"/>
      <c r="F1982" s="405"/>
      <c r="G1982" s="405"/>
      <c r="H1982" s="408">
        <f>ROUND(+E1982+F1982+G1982,4)</f>
        <v>0</v>
      </c>
      <c r="I1982" s="234"/>
      <c r="J1982" s="411"/>
      <c r="K1982" s="411"/>
      <c r="L1982" s="414">
        <v>0.1</v>
      </c>
      <c r="M1982" s="414">
        <f>ROUND(+L1982*C1982,4)</f>
        <v>0</v>
      </c>
      <c r="N1982" s="414"/>
      <c r="O1982" s="414"/>
      <c r="P1982" s="414"/>
      <c r="Q1982" s="419">
        <f>ROUND(+N1982+O1982+P1982,4)</f>
        <v>0</v>
      </c>
      <c r="R1982" s="419">
        <f>ROUND(IF(+Q1982-H1982&lt;=0,0,Q1982-H1982),4)</f>
        <v>0</v>
      </c>
      <c r="S1982" s="423">
        <v>0.5</v>
      </c>
      <c r="T1982" s="419">
        <f>ROUND(+(R1982*C1982)*S1982,4)</f>
        <v>0</v>
      </c>
      <c r="U1982" s="419">
        <f>ROUND(+J1982+M1982+T1982,4)</f>
        <v>0</v>
      </c>
      <c r="V1982" s="235"/>
    </row>
    <row r="1983" spans="1:22" ht="15.75" x14ac:dyDescent="0.25">
      <c r="A1983" s="231"/>
      <c r="B1983" s="232"/>
      <c r="C1983" s="400"/>
      <c r="D1983" s="233"/>
      <c r="E1983" s="405"/>
      <c r="F1983" s="405"/>
      <c r="G1983" s="405"/>
      <c r="H1983" s="408">
        <f>ROUND(+E1983+F1983+G1983,4)</f>
        <v>0</v>
      </c>
      <c r="I1983" s="234"/>
      <c r="J1983" s="411"/>
      <c r="K1983" s="411"/>
      <c r="L1983" s="414">
        <v>0.1</v>
      </c>
      <c r="M1983" s="414">
        <f>ROUND(+L1983*C1983,4)</f>
        <v>0</v>
      </c>
      <c r="N1983" s="414"/>
      <c r="O1983" s="414"/>
      <c r="P1983" s="414"/>
      <c r="Q1983" s="419">
        <f>ROUND(+N1983+O1983+P1983,4)</f>
        <v>0</v>
      </c>
      <c r="R1983" s="419">
        <f>ROUND(IF(+Q1983-H1983&lt;=0,0,Q1983-H1983),4)</f>
        <v>0</v>
      </c>
      <c r="S1983" s="423">
        <v>0.5</v>
      </c>
      <c r="T1983" s="419">
        <f>ROUND(+(R1983*C1983)*S1983,4)</f>
        <v>0</v>
      </c>
      <c r="U1983" s="419">
        <f>ROUND(+J1983+M1983+T1983,4)</f>
        <v>0</v>
      </c>
      <c r="V1983" s="235"/>
    </row>
    <row r="1984" spans="1:22" ht="15.75" x14ac:dyDescent="0.25">
      <c r="A1984" s="231"/>
      <c r="B1984" s="232"/>
      <c r="C1984" s="400"/>
      <c r="D1984" s="233"/>
      <c r="E1984" s="405"/>
      <c r="F1984" s="405"/>
      <c r="G1984" s="405"/>
      <c r="H1984" s="408">
        <f>ROUND(+E1984+F1984+G1984,4)</f>
        <v>0</v>
      </c>
      <c r="I1984" s="234"/>
      <c r="J1984" s="411"/>
      <c r="K1984" s="411"/>
      <c r="L1984" s="414">
        <v>0.1</v>
      </c>
      <c r="M1984" s="414">
        <f>ROUND(+L1984*C1984,4)</f>
        <v>0</v>
      </c>
      <c r="N1984" s="414"/>
      <c r="O1984" s="414"/>
      <c r="P1984" s="414"/>
      <c r="Q1984" s="419">
        <f>ROUND(+N1984+O1984+P1984,4)</f>
        <v>0</v>
      </c>
      <c r="R1984" s="419">
        <f>ROUND(IF(+Q1984-H1984&lt;=0,0,Q1984-H1984),4)</f>
        <v>0</v>
      </c>
      <c r="S1984" s="423">
        <v>0.5</v>
      </c>
      <c r="T1984" s="419">
        <f>ROUND(+(R1984*C1984)*S1984,4)</f>
        <v>0</v>
      </c>
      <c r="U1984" s="419">
        <f>ROUND(+J1984+M1984+T1984,4)</f>
        <v>0</v>
      </c>
      <c r="V1984" s="235"/>
    </row>
    <row r="1985" spans="1:22" ht="15.75" x14ac:dyDescent="0.25">
      <c r="A1985" s="231"/>
      <c r="B1985" s="232"/>
      <c r="C1985" s="400"/>
      <c r="D1985" s="233"/>
      <c r="E1985" s="405"/>
      <c r="F1985" s="405"/>
      <c r="G1985" s="405"/>
      <c r="H1985" s="408">
        <f>ROUND(+E1985+F1985+G1985,4)</f>
        <v>0</v>
      </c>
      <c r="I1985" s="234"/>
      <c r="J1985" s="411"/>
      <c r="K1985" s="411"/>
      <c r="L1985" s="414">
        <v>0.1</v>
      </c>
      <c r="M1985" s="414">
        <f>ROUND(+L1985*C1985,4)</f>
        <v>0</v>
      </c>
      <c r="N1985" s="414"/>
      <c r="O1985" s="414"/>
      <c r="P1985" s="414"/>
      <c r="Q1985" s="419">
        <f>ROUND(+N1985+O1985+P1985,4)</f>
        <v>0</v>
      </c>
      <c r="R1985" s="419">
        <f>ROUND(IF(+Q1985-H1985&lt;=0,0,Q1985-H1985),4)</f>
        <v>0</v>
      </c>
      <c r="S1985" s="423">
        <v>0.5</v>
      </c>
      <c r="T1985" s="419">
        <f>ROUND(+(R1985*C1985)*S1985,4)</f>
        <v>0</v>
      </c>
      <c r="U1985" s="419">
        <f>ROUND(+J1985+M1985+T1985,4)</f>
        <v>0</v>
      </c>
      <c r="V1985" s="235"/>
    </row>
    <row r="1986" spans="1:22" ht="15.75" x14ac:dyDescent="0.25">
      <c r="A1986" s="231"/>
      <c r="B1986" s="232"/>
      <c r="C1986" s="400"/>
      <c r="D1986" s="233"/>
      <c r="E1986" s="405"/>
      <c r="F1986" s="405"/>
      <c r="G1986" s="405"/>
      <c r="H1986" s="408">
        <f>ROUND(+E1986+F1986+G1986,4)</f>
        <v>0</v>
      </c>
      <c r="I1986" s="234"/>
      <c r="J1986" s="411"/>
      <c r="K1986" s="411"/>
      <c r="L1986" s="414">
        <v>0.1</v>
      </c>
      <c r="M1986" s="414">
        <f>ROUND(+L1986*C1986,4)</f>
        <v>0</v>
      </c>
      <c r="N1986" s="414"/>
      <c r="O1986" s="414"/>
      <c r="P1986" s="414"/>
      <c r="Q1986" s="419">
        <f>ROUND(+N1986+O1986+P1986,4)</f>
        <v>0</v>
      </c>
      <c r="R1986" s="419">
        <f>ROUND(IF(+Q1986-H1986&lt;=0,0,Q1986-H1986),4)</f>
        <v>0</v>
      </c>
      <c r="S1986" s="423">
        <v>0.5</v>
      </c>
      <c r="T1986" s="419">
        <f>ROUND(+(R1986*C1986)*S1986,4)</f>
        <v>0</v>
      </c>
      <c r="U1986" s="419">
        <f>ROUND(+J1986+M1986+T1986,4)</f>
        <v>0</v>
      </c>
      <c r="V1986" s="235"/>
    </row>
    <row r="1987" spans="1:22" ht="15.75" x14ac:dyDescent="0.25">
      <c r="A1987" s="231"/>
      <c r="B1987" s="232"/>
      <c r="C1987" s="400"/>
      <c r="D1987" s="233"/>
      <c r="E1987" s="405"/>
      <c r="F1987" s="405"/>
      <c r="G1987" s="405"/>
      <c r="H1987" s="408">
        <f>ROUND(+E1987+F1987+G1987,4)</f>
        <v>0</v>
      </c>
      <c r="I1987" s="234"/>
      <c r="J1987" s="411"/>
      <c r="K1987" s="411"/>
      <c r="L1987" s="414">
        <v>0.1</v>
      </c>
      <c r="M1987" s="414">
        <f>ROUND(+L1987*C1987,4)</f>
        <v>0</v>
      </c>
      <c r="N1987" s="414"/>
      <c r="O1987" s="414"/>
      <c r="P1987" s="414"/>
      <c r="Q1987" s="419">
        <f>ROUND(+N1987+O1987+P1987,4)</f>
        <v>0</v>
      </c>
      <c r="R1987" s="419">
        <f>ROUND(IF(+Q1987-H1987&lt;=0,0,Q1987-H1987),4)</f>
        <v>0</v>
      </c>
      <c r="S1987" s="423">
        <v>0.5</v>
      </c>
      <c r="T1987" s="419">
        <f>ROUND(+(R1987*C1987)*S1987,4)</f>
        <v>0</v>
      </c>
      <c r="U1987" s="419">
        <f>ROUND(+J1987+M1987+T1987,4)</f>
        <v>0</v>
      </c>
      <c r="V1987" s="235"/>
    </row>
    <row r="1988" spans="1:22" ht="15.75" x14ac:dyDescent="0.25">
      <c r="A1988" s="231"/>
      <c r="B1988" s="232"/>
      <c r="C1988" s="400"/>
      <c r="D1988" s="233"/>
      <c r="E1988" s="405"/>
      <c r="F1988" s="405"/>
      <c r="G1988" s="405"/>
      <c r="H1988" s="408">
        <f>ROUND(+E1988+F1988+G1988,4)</f>
        <v>0</v>
      </c>
      <c r="I1988" s="234"/>
      <c r="J1988" s="411"/>
      <c r="K1988" s="411"/>
      <c r="L1988" s="414">
        <v>0.1</v>
      </c>
      <c r="M1988" s="414">
        <f>ROUND(+L1988*C1988,4)</f>
        <v>0</v>
      </c>
      <c r="N1988" s="414"/>
      <c r="O1988" s="414"/>
      <c r="P1988" s="414"/>
      <c r="Q1988" s="419">
        <f>ROUND(+N1988+O1988+P1988,4)</f>
        <v>0</v>
      </c>
      <c r="R1988" s="419">
        <f>ROUND(IF(+Q1988-H1988&lt;=0,0,Q1988-H1988),4)</f>
        <v>0</v>
      </c>
      <c r="S1988" s="423">
        <v>0.5</v>
      </c>
      <c r="T1988" s="419">
        <f>ROUND(+(R1988*C1988)*S1988,4)</f>
        <v>0</v>
      </c>
      <c r="U1988" s="419">
        <f>ROUND(+J1988+M1988+T1988,4)</f>
        <v>0</v>
      </c>
      <c r="V1988" s="235"/>
    </row>
    <row r="1989" spans="1:22" ht="15.75" x14ac:dyDescent="0.25">
      <c r="A1989" s="231"/>
      <c r="B1989" s="232"/>
      <c r="C1989" s="400"/>
      <c r="D1989" s="233"/>
      <c r="E1989" s="405"/>
      <c r="F1989" s="405"/>
      <c r="G1989" s="405"/>
      <c r="H1989" s="408">
        <f>ROUND(+E1989+F1989+G1989,4)</f>
        <v>0</v>
      </c>
      <c r="I1989" s="234"/>
      <c r="J1989" s="411"/>
      <c r="K1989" s="411"/>
      <c r="L1989" s="414">
        <v>0.1</v>
      </c>
      <c r="M1989" s="414">
        <f>ROUND(+L1989*C1989,4)</f>
        <v>0</v>
      </c>
      <c r="N1989" s="414"/>
      <c r="O1989" s="414"/>
      <c r="P1989" s="414"/>
      <c r="Q1989" s="419">
        <f>ROUND(+N1989+O1989+P1989,4)</f>
        <v>0</v>
      </c>
      <c r="R1989" s="419">
        <f>ROUND(IF(+Q1989-H1989&lt;=0,0,Q1989-H1989),4)</f>
        <v>0</v>
      </c>
      <c r="S1989" s="423">
        <v>0.5</v>
      </c>
      <c r="T1989" s="419">
        <f>ROUND(+(R1989*C1989)*S1989,4)</f>
        <v>0</v>
      </c>
      <c r="U1989" s="419">
        <f>ROUND(+J1989+M1989+T1989,4)</f>
        <v>0</v>
      </c>
      <c r="V1989" s="235"/>
    </row>
    <row r="1990" spans="1:22" ht="15.75" x14ac:dyDescent="0.25">
      <c r="A1990" s="231"/>
      <c r="B1990" s="232"/>
      <c r="C1990" s="400"/>
      <c r="D1990" s="233"/>
      <c r="E1990" s="405"/>
      <c r="F1990" s="405"/>
      <c r="G1990" s="405"/>
      <c r="H1990" s="408">
        <f>ROUND(+E1990+F1990+G1990,4)</f>
        <v>0</v>
      </c>
      <c r="I1990" s="234"/>
      <c r="J1990" s="411"/>
      <c r="K1990" s="411"/>
      <c r="L1990" s="414">
        <v>0.1</v>
      </c>
      <c r="M1990" s="414">
        <f>ROUND(+L1990*C1990,4)</f>
        <v>0</v>
      </c>
      <c r="N1990" s="414"/>
      <c r="O1990" s="414"/>
      <c r="P1990" s="414"/>
      <c r="Q1990" s="419">
        <f>ROUND(+N1990+O1990+P1990,4)</f>
        <v>0</v>
      </c>
      <c r="R1990" s="419">
        <f>ROUND(IF(+Q1990-H1990&lt;=0,0,Q1990-H1990),4)</f>
        <v>0</v>
      </c>
      <c r="S1990" s="423">
        <v>0.5</v>
      </c>
      <c r="T1990" s="419">
        <f>ROUND(+(R1990*C1990)*S1990,4)</f>
        <v>0</v>
      </c>
      <c r="U1990" s="419">
        <f>ROUND(+J1990+M1990+T1990,4)</f>
        <v>0</v>
      </c>
      <c r="V1990" s="235"/>
    </row>
    <row r="1991" spans="1:22" ht="15.75" x14ac:dyDescent="0.25">
      <c r="A1991" s="231"/>
      <c r="B1991" s="232"/>
      <c r="C1991" s="400"/>
      <c r="D1991" s="233"/>
      <c r="E1991" s="405"/>
      <c r="F1991" s="405"/>
      <c r="G1991" s="405"/>
      <c r="H1991" s="408">
        <f>ROUND(+E1991+F1991+G1991,4)</f>
        <v>0</v>
      </c>
      <c r="I1991" s="234"/>
      <c r="J1991" s="411"/>
      <c r="K1991" s="411"/>
      <c r="L1991" s="414">
        <v>0.1</v>
      </c>
      <c r="M1991" s="414">
        <f>ROUND(+L1991*C1991,4)</f>
        <v>0</v>
      </c>
      <c r="N1991" s="414"/>
      <c r="O1991" s="414"/>
      <c r="P1991" s="414"/>
      <c r="Q1991" s="419">
        <f>ROUND(+N1991+O1991+P1991,4)</f>
        <v>0</v>
      </c>
      <c r="R1991" s="419">
        <f>ROUND(IF(+Q1991-H1991&lt;=0,0,Q1991-H1991),4)</f>
        <v>0</v>
      </c>
      <c r="S1991" s="423">
        <v>0.5</v>
      </c>
      <c r="T1991" s="419">
        <f>ROUND(+(R1991*C1991)*S1991,4)</f>
        <v>0</v>
      </c>
      <c r="U1991" s="419">
        <f>ROUND(+J1991+M1991+T1991,4)</f>
        <v>0</v>
      </c>
      <c r="V1991" s="235"/>
    </row>
    <row r="1992" spans="1:22" ht="15.75" x14ac:dyDescent="0.25">
      <c r="A1992" s="231"/>
      <c r="B1992" s="232"/>
      <c r="C1992" s="400"/>
      <c r="D1992" s="233"/>
      <c r="E1992" s="405"/>
      <c r="F1992" s="405"/>
      <c r="G1992" s="405"/>
      <c r="H1992" s="408">
        <f>ROUND(+E1992+F1992+G1992,4)</f>
        <v>0</v>
      </c>
      <c r="I1992" s="234"/>
      <c r="J1992" s="411"/>
      <c r="K1992" s="411"/>
      <c r="L1992" s="414">
        <v>0.1</v>
      </c>
      <c r="M1992" s="414">
        <f>ROUND(+L1992*C1992,4)</f>
        <v>0</v>
      </c>
      <c r="N1992" s="414"/>
      <c r="O1992" s="414"/>
      <c r="P1992" s="414"/>
      <c r="Q1992" s="419">
        <f>ROUND(+N1992+O1992+P1992,4)</f>
        <v>0</v>
      </c>
      <c r="R1992" s="419">
        <f>ROUND(IF(+Q1992-H1992&lt;=0,0,Q1992-H1992),4)</f>
        <v>0</v>
      </c>
      <c r="S1992" s="423">
        <v>0.5</v>
      </c>
      <c r="T1992" s="419">
        <f>ROUND(+(R1992*C1992)*S1992,4)</f>
        <v>0</v>
      </c>
      <c r="U1992" s="419">
        <f>ROUND(+J1992+M1992+T1992,4)</f>
        <v>0</v>
      </c>
      <c r="V1992" s="235"/>
    </row>
    <row r="1993" spans="1:22" ht="15.75" x14ac:dyDescent="0.25">
      <c r="A1993" s="231"/>
      <c r="B1993" s="232"/>
      <c r="C1993" s="400"/>
      <c r="D1993" s="233"/>
      <c r="E1993" s="405"/>
      <c r="F1993" s="405"/>
      <c r="G1993" s="405"/>
      <c r="H1993" s="408">
        <f>ROUND(+E1993+F1993+G1993,4)</f>
        <v>0</v>
      </c>
      <c r="I1993" s="234"/>
      <c r="J1993" s="411"/>
      <c r="K1993" s="411"/>
      <c r="L1993" s="414">
        <v>0.1</v>
      </c>
      <c r="M1993" s="414">
        <f>ROUND(+L1993*C1993,4)</f>
        <v>0</v>
      </c>
      <c r="N1993" s="414"/>
      <c r="O1993" s="414"/>
      <c r="P1993" s="414"/>
      <c r="Q1993" s="419">
        <f>ROUND(+N1993+O1993+P1993,4)</f>
        <v>0</v>
      </c>
      <c r="R1993" s="419">
        <f>ROUND(IF(+Q1993-H1993&lt;=0,0,Q1993-H1993),4)</f>
        <v>0</v>
      </c>
      <c r="S1993" s="423">
        <v>0.5</v>
      </c>
      <c r="T1993" s="419">
        <f>ROUND(+(R1993*C1993)*S1993,4)</f>
        <v>0</v>
      </c>
      <c r="U1993" s="419">
        <f>ROUND(+J1993+M1993+T1993,4)</f>
        <v>0</v>
      </c>
      <c r="V1993" s="235"/>
    </row>
    <row r="1994" spans="1:22" ht="15.75" x14ac:dyDescent="0.25">
      <c r="A1994" s="231"/>
      <c r="B1994" s="232"/>
      <c r="C1994" s="400"/>
      <c r="D1994" s="233"/>
      <c r="E1994" s="405"/>
      <c r="F1994" s="405"/>
      <c r="G1994" s="405"/>
      <c r="H1994" s="408">
        <f>ROUND(+E1994+F1994+G1994,4)</f>
        <v>0</v>
      </c>
      <c r="I1994" s="234"/>
      <c r="J1994" s="411"/>
      <c r="K1994" s="411"/>
      <c r="L1994" s="414">
        <v>0.1</v>
      </c>
      <c r="M1994" s="414">
        <f>ROUND(+L1994*C1994,4)</f>
        <v>0</v>
      </c>
      <c r="N1994" s="414"/>
      <c r="O1994" s="414"/>
      <c r="P1994" s="414"/>
      <c r="Q1994" s="419">
        <f>ROUND(+N1994+O1994+P1994,4)</f>
        <v>0</v>
      </c>
      <c r="R1994" s="419">
        <f>ROUND(IF(+Q1994-H1994&lt;=0,0,Q1994-H1994),4)</f>
        <v>0</v>
      </c>
      <c r="S1994" s="423">
        <v>0.5</v>
      </c>
      <c r="T1994" s="419">
        <f>ROUND(+(R1994*C1994)*S1994,4)</f>
        <v>0</v>
      </c>
      <c r="U1994" s="419">
        <f>ROUND(+J1994+M1994+T1994,4)</f>
        <v>0</v>
      </c>
      <c r="V1994" s="235"/>
    </row>
    <row r="1995" spans="1:22" ht="15.75" x14ac:dyDescent="0.25">
      <c r="A1995" s="231"/>
      <c r="B1995" s="232"/>
      <c r="C1995" s="400"/>
      <c r="D1995" s="233"/>
      <c r="E1995" s="405"/>
      <c r="F1995" s="405"/>
      <c r="G1995" s="405"/>
      <c r="H1995" s="408">
        <f>ROUND(+E1995+F1995+G1995,4)</f>
        <v>0</v>
      </c>
      <c r="I1995" s="234"/>
      <c r="J1995" s="411"/>
      <c r="K1995" s="411"/>
      <c r="L1995" s="414">
        <v>0.1</v>
      </c>
      <c r="M1995" s="414">
        <f>ROUND(+L1995*C1995,4)</f>
        <v>0</v>
      </c>
      <c r="N1995" s="414"/>
      <c r="O1995" s="414"/>
      <c r="P1995" s="414"/>
      <c r="Q1995" s="419">
        <f>ROUND(+N1995+O1995+P1995,4)</f>
        <v>0</v>
      </c>
      <c r="R1995" s="419">
        <f>ROUND(IF(+Q1995-H1995&lt;=0,0,Q1995-H1995),4)</f>
        <v>0</v>
      </c>
      <c r="S1995" s="423">
        <v>0.5</v>
      </c>
      <c r="T1995" s="419">
        <f>ROUND(+(R1995*C1995)*S1995,4)</f>
        <v>0</v>
      </c>
      <c r="U1995" s="419">
        <f>ROUND(+J1995+M1995+T1995,4)</f>
        <v>0</v>
      </c>
      <c r="V1995" s="235"/>
    </row>
    <row r="1996" spans="1:22" ht="15.75" x14ac:dyDescent="0.25">
      <c r="A1996" s="231"/>
      <c r="B1996" s="232"/>
      <c r="C1996" s="400"/>
      <c r="D1996" s="233"/>
      <c r="E1996" s="405"/>
      <c r="F1996" s="405"/>
      <c r="G1996" s="405"/>
      <c r="H1996" s="408">
        <f>ROUND(+E1996+F1996+G1996,4)</f>
        <v>0</v>
      </c>
      <c r="I1996" s="234"/>
      <c r="J1996" s="411"/>
      <c r="K1996" s="411"/>
      <c r="L1996" s="414">
        <v>0.1</v>
      </c>
      <c r="M1996" s="414">
        <f>ROUND(+L1996*C1996,4)</f>
        <v>0</v>
      </c>
      <c r="N1996" s="414"/>
      <c r="O1996" s="414"/>
      <c r="P1996" s="414"/>
      <c r="Q1996" s="419">
        <f>ROUND(+N1996+O1996+P1996,4)</f>
        <v>0</v>
      </c>
      <c r="R1996" s="419">
        <f>ROUND(IF(+Q1996-H1996&lt;=0,0,Q1996-H1996),4)</f>
        <v>0</v>
      </c>
      <c r="S1996" s="423">
        <v>0.5</v>
      </c>
      <c r="T1996" s="419">
        <f>ROUND(+(R1996*C1996)*S1996,4)</f>
        <v>0</v>
      </c>
      <c r="U1996" s="419">
        <f>ROUND(+J1996+M1996+T1996,4)</f>
        <v>0</v>
      </c>
      <c r="V1996" s="235"/>
    </row>
    <row r="1997" spans="1:22" ht="15.75" x14ac:dyDescent="0.25">
      <c r="A1997" s="231"/>
      <c r="B1997" s="232"/>
      <c r="C1997" s="400"/>
      <c r="D1997" s="233"/>
      <c r="E1997" s="405"/>
      <c r="F1997" s="405"/>
      <c r="G1997" s="405"/>
      <c r="H1997" s="408">
        <f>ROUND(+E1997+F1997+G1997,4)</f>
        <v>0</v>
      </c>
      <c r="I1997" s="234"/>
      <c r="J1997" s="411"/>
      <c r="K1997" s="411"/>
      <c r="L1997" s="414">
        <v>0.1</v>
      </c>
      <c r="M1997" s="414">
        <f>ROUND(+L1997*C1997,4)</f>
        <v>0</v>
      </c>
      <c r="N1997" s="414"/>
      <c r="O1997" s="414"/>
      <c r="P1997" s="414"/>
      <c r="Q1997" s="419">
        <f>ROUND(+N1997+O1997+P1997,4)</f>
        <v>0</v>
      </c>
      <c r="R1997" s="419">
        <f>ROUND(IF(+Q1997-H1997&lt;=0,0,Q1997-H1997),4)</f>
        <v>0</v>
      </c>
      <c r="S1997" s="423">
        <v>0.5</v>
      </c>
      <c r="T1997" s="419">
        <f>ROUND(+(R1997*C1997)*S1997,4)</f>
        <v>0</v>
      </c>
      <c r="U1997" s="419">
        <f>ROUND(+J1997+M1997+T1997,4)</f>
        <v>0</v>
      </c>
      <c r="V1997" s="235"/>
    </row>
    <row r="1998" spans="1:22" ht="15.75" x14ac:dyDescent="0.25">
      <c r="A1998" s="231"/>
      <c r="B1998" s="232"/>
      <c r="C1998" s="400"/>
      <c r="D1998" s="233"/>
      <c r="E1998" s="405"/>
      <c r="F1998" s="405"/>
      <c r="G1998" s="405"/>
      <c r="H1998" s="408">
        <f>ROUND(+E1998+F1998+G1998,4)</f>
        <v>0</v>
      </c>
      <c r="I1998" s="234"/>
      <c r="J1998" s="411"/>
      <c r="K1998" s="411"/>
      <c r="L1998" s="414">
        <v>0.1</v>
      </c>
      <c r="M1998" s="414">
        <f>ROUND(+L1998*C1998,4)</f>
        <v>0</v>
      </c>
      <c r="N1998" s="414"/>
      <c r="O1998" s="414"/>
      <c r="P1998" s="414"/>
      <c r="Q1998" s="419">
        <f>ROUND(+N1998+O1998+P1998,4)</f>
        <v>0</v>
      </c>
      <c r="R1998" s="419">
        <f>ROUND(IF(+Q1998-H1998&lt;=0,0,Q1998-H1998),4)</f>
        <v>0</v>
      </c>
      <c r="S1998" s="423">
        <v>0.5</v>
      </c>
      <c r="T1998" s="419">
        <f>ROUND(+(R1998*C1998)*S1998,4)</f>
        <v>0</v>
      </c>
      <c r="U1998" s="419">
        <f>ROUND(+J1998+M1998+T1998,4)</f>
        <v>0</v>
      </c>
      <c r="V1998" s="235"/>
    </row>
    <row r="1999" spans="1:22" ht="15.75" x14ac:dyDescent="0.25">
      <c r="A1999" s="231"/>
      <c r="B1999" s="232"/>
      <c r="C1999" s="400"/>
      <c r="D1999" s="233"/>
      <c r="E1999" s="405"/>
      <c r="F1999" s="405"/>
      <c r="G1999" s="405"/>
      <c r="H1999" s="408">
        <f>ROUND(+E1999+F1999+G1999,4)</f>
        <v>0</v>
      </c>
      <c r="I1999" s="234"/>
      <c r="J1999" s="411"/>
      <c r="K1999" s="411"/>
      <c r="L1999" s="414">
        <v>0.1</v>
      </c>
      <c r="M1999" s="414">
        <f>ROUND(+L1999*C1999,4)</f>
        <v>0</v>
      </c>
      <c r="N1999" s="414"/>
      <c r="O1999" s="414"/>
      <c r="P1999" s="414"/>
      <c r="Q1999" s="419">
        <f>ROUND(+N1999+O1999+P1999,4)</f>
        <v>0</v>
      </c>
      <c r="R1999" s="419">
        <f>ROUND(IF(+Q1999-H1999&lt;=0,0,Q1999-H1999),4)</f>
        <v>0</v>
      </c>
      <c r="S1999" s="423">
        <v>0.5</v>
      </c>
      <c r="T1999" s="419">
        <f>ROUND(+(R1999*C1999)*S1999,4)</f>
        <v>0</v>
      </c>
      <c r="U1999" s="419">
        <f>ROUND(+J1999+M1999+T1999,4)</f>
        <v>0</v>
      </c>
      <c r="V1999" s="235"/>
    </row>
    <row r="2000" spans="1:22" ht="15.75" x14ac:dyDescent="0.25">
      <c r="A2000" s="231"/>
      <c r="B2000" s="232"/>
      <c r="C2000" s="400"/>
      <c r="D2000" s="233"/>
      <c r="E2000" s="405"/>
      <c r="F2000" s="405"/>
      <c r="G2000" s="405"/>
      <c r="H2000" s="408">
        <f>ROUND(+E2000+F2000+G2000,4)</f>
        <v>0</v>
      </c>
      <c r="I2000" s="234"/>
      <c r="J2000" s="411"/>
      <c r="K2000" s="411"/>
      <c r="L2000" s="414">
        <v>0.1</v>
      </c>
      <c r="M2000" s="414">
        <f>ROUND(+L2000*C2000,4)</f>
        <v>0</v>
      </c>
      <c r="N2000" s="414"/>
      <c r="O2000" s="414"/>
      <c r="P2000" s="414"/>
      <c r="Q2000" s="419">
        <f>ROUND(+N2000+O2000+P2000,4)</f>
        <v>0</v>
      </c>
      <c r="R2000" s="419">
        <f>ROUND(IF(+Q2000-H2000&lt;=0,0,Q2000-H2000),4)</f>
        <v>0</v>
      </c>
      <c r="S2000" s="423">
        <v>0.5</v>
      </c>
      <c r="T2000" s="419">
        <f>ROUND(+(R2000*C2000)*S2000,4)</f>
        <v>0</v>
      </c>
      <c r="U2000" s="419">
        <f>ROUND(+J2000+M2000+T2000,4)</f>
        <v>0</v>
      </c>
      <c r="V2000" s="235"/>
    </row>
    <row r="2001" spans="1:22" ht="15.75" x14ac:dyDescent="0.25">
      <c r="A2001" s="231"/>
      <c r="B2001" s="232"/>
      <c r="C2001" s="400"/>
      <c r="D2001" s="233"/>
      <c r="E2001" s="405"/>
      <c r="F2001" s="405"/>
      <c r="G2001" s="405"/>
      <c r="H2001" s="408">
        <f>ROUND(+E2001+F2001+G2001,4)</f>
        <v>0</v>
      </c>
      <c r="I2001" s="234"/>
      <c r="J2001" s="411"/>
      <c r="K2001" s="411"/>
      <c r="L2001" s="414">
        <v>0.1</v>
      </c>
      <c r="M2001" s="414">
        <f>ROUND(+L2001*C2001,4)</f>
        <v>0</v>
      </c>
      <c r="N2001" s="414"/>
      <c r="O2001" s="414"/>
      <c r="P2001" s="414"/>
      <c r="Q2001" s="419">
        <f>ROUND(+N2001+O2001+P2001,4)</f>
        <v>0</v>
      </c>
      <c r="R2001" s="419">
        <f>ROUND(IF(+Q2001-H2001&lt;=0,0,Q2001-H2001),4)</f>
        <v>0</v>
      </c>
      <c r="S2001" s="423">
        <v>0.5</v>
      </c>
      <c r="T2001" s="419">
        <f>ROUND(+(R2001*C2001)*S2001,4)</f>
        <v>0</v>
      </c>
      <c r="U2001" s="419">
        <f>ROUND(+J2001+M2001+T2001,4)</f>
        <v>0</v>
      </c>
      <c r="V2001" s="235"/>
    </row>
    <row r="2002" spans="1:22" ht="15.75" x14ac:dyDescent="0.25">
      <c r="A2002" s="231"/>
      <c r="B2002" s="232"/>
      <c r="C2002" s="400"/>
      <c r="D2002" s="233"/>
      <c r="E2002" s="405"/>
      <c r="F2002" s="405"/>
      <c r="G2002" s="405"/>
      <c r="H2002" s="408">
        <f>ROUND(+E2002+F2002+G2002,4)</f>
        <v>0</v>
      </c>
      <c r="I2002" s="234"/>
      <c r="J2002" s="411"/>
      <c r="K2002" s="411"/>
      <c r="L2002" s="414">
        <v>0.1</v>
      </c>
      <c r="M2002" s="414">
        <f>ROUND(+L2002*C2002,4)</f>
        <v>0</v>
      </c>
      <c r="N2002" s="414"/>
      <c r="O2002" s="414"/>
      <c r="P2002" s="414"/>
      <c r="Q2002" s="419">
        <f>ROUND(+N2002+O2002+P2002,4)</f>
        <v>0</v>
      </c>
      <c r="R2002" s="419">
        <f>ROUND(IF(+Q2002-H2002&lt;=0,0,Q2002-H2002),4)</f>
        <v>0</v>
      </c>
      <c r="S2002" s="423">
        <v>0.5</v>
      </c>
      <c r="T2002" s="419">
        <f>ROUND(+(R2002*C2002)*S2002,4)</f>
        <v>0</v>
      </c>
      <c r="U2002" s="419">
        <f>ROUND(+J2002+M2002+T2002,4)</f>
        <v>0</v>
      </c>
      <c r="V2002" s="235"/>
    </row>
    <row r="2003" spans="1:22" ht="15.75" x14ac:dyDescent="0.25">
      <c r="A2003" s="231"/>
      <c r="B2003" s="232"/>
      <c r="C2003" s="400"/>
      <c r="D2003" s="233"/>
      <c r="E2003" s="405"/>
      <c r="F2003" s="405"/>
      <c r="G2003" s="405"/>
      <c r="H2003" s="408">
        <f>ROUND(+E2003+F2003+G2003,4)</f>
        <v>0</v>
      </c>
      <c r="I2003" s="234"/>
      <c r="J2003" s="411"/>
      <c r="K2003" s="411"/>
      <c r="L2003" s="414">
        <v>0.1</v>
      </c>
      <c r="M2003" s="414">
        <f>ROUND(+L2003*C2003,4)</f>
        <v>0</v>
      </c>
      <c r="N2003" s="414"/>
      <c r="O2003" s="414"/>
      <c r="P2003" s="414"/>
      <c r="Q2003" s="419">
        <f>ROUND(+N2003+O2003+P2003,4)</f>
        <v>0</v>
      </c>
      <c r="R2003" s="419">
        <f>ROUND(IF(+Q2003-H2003&lt;=0,0,Q2003-H2003),4)</f>
        <v>0</v>
      </c>
      <c r="S2003" s="423">
        <v>0.5</v>
      </c>
      <c r="T2003" s="419">
        <f>ROUND(+(R2003*C2003)*S2003,4)</f>
        <v>0</v>
      </c>
      <c r="U2003" s="419">
        <f>ROUND(+J2003+M2003+T2003,4)</f>
        <v>0</v>
      </c>
      <c r="V2003" s="235"/>
    </row>
    <row r="2004" spans="1:22" ht="15.75" x14ac:dyDescent="0.25">
      <c r="A2004" s="231"/>
      <c r="B2004" s="232"/>
      <c r="C2004" s="400"/>
      <c r="D2004" s="233"/>
      <c r="E2004" s="405"/>
      <c r="F2004" s="405"/>
      <c r="G2004" s="405"/>
      <c r="H2004" s="408">
        <f>ROUND(+E2004+F2004+G2004,4)</f>
        <v>0</v>
      </c>
      <c r="I2004" s="234"/>
      <c r="J2004" s="411"/>
      <c r="K2004" s="411"/>
      <c r="L2004" s="414">
        <v>0.1</v>
      </c>
      <c r="M2004" s="414">
        <f>ROUND(+L2004*C2004,4)</f>
        <v>0</v>
      </c>
      <c r="N2004" s="414"/>
      <c r="O2004" s="414"/>
      <c r="P2004" s="414"/>
      <c r="Q2004" s="419">
        <f>ROUND(+N2004+O2004+P2004,4)</f>
        <v>0</v>
      </c>
      <c r="R2004" s="419">
        <f>ROUND(IF(+Q2004-H2004&lt;=0,0,Q2004-H2004),4)</f>
        <v>0</v>
      </c>
      <c r="S2004" s="423">
        <v>0.5</v>
      </c>
      <c r="T2004" s="419">
        <f>ROUND(+(R2004*C2004)*S2004,4)</f>
        <v>0</v>
      </c>
      <c r="U2004" s="419">
        <f>ROUND(+J2004+M2004+T2004,4)</f>
        <v>0</v>
      </c>
      <c r="V2004" s="235"/>
    </row>
    <row r="2005" spans="1:22" ht="15.75" x14ac:dyDescent="0.25">
      <c r="A2005" s="231"/>
      <c r="B2005" s="232"/>
      <c r="C2005" s="400"/>
      <c r="D2005" s="233"/>
      <c r="E2005" s="405"/>
      <c r="F2005" s="405"/>
      <c r="G2005" s="405"/>
      <c r="H2005" s="408">
        <f>ROUND(+E2005+F2005+G2005,4)</f>
        <v>0</v>
      </c>
      <c r="I2005" s="234"/>
      <c r="J2005" s="411"/>
      <c r="K2005" s="411"/>
      <c r="L2005" s="414">
        <v>0.1</v>
      </c>
      <c r="M2005" s="414">
        <f>ROUND(+L2005*C2005,4)</f>
        <v>0</v>
      </c>
      <c r="N2005" s="414"/>
      <c r="O2005" s="414"/>
      <c r="P2005" s="414"/>
      <c r="Q2005" s="419">
        <f>ROUND(+N2005+O2005+P2005,4)</f>
        <v>0</v>
      </c>
      <c r="R2005" s="419">
        <f>ROUND(IF(+Q2005-H2005&lt;=0,0,Q2005-H2005),4)</f>
        <v>0</v>
      </c>
      <c r="S2005" s="423">
        <v>0.5</v>
      </c>
      <c r="T2005" s="419">
        <f>ROUND(+(R2005*C2005)*S2005,4)</f>
        <v>0</v>
      </c>
      <c r="U2005" s="419">
        <f>ROUND(+J2005+M2005+T2005,4)</f>
        <v>0</v>
      </c>
      <c r="V2005" s="235"/>
    </row>
    <row r="2006" spans="1:22" ht="15.75" x14ac:dyDescent="0.25">
      <c r="A2006" s="231"/>
      <c r="B2006" s="232"/>
      <c r="C2006" s="400"/>
      <c r="D2006" s="233"/>
      <c r="E2006" s="405"/>
      <c r="F2006" s="405"/>
      <c r="G2006" s="405"/>
      <c r="H2006" s="408">
        <f>ROUND(+E2006+F2006+G2006,4)</f>
        <v>0</v>
      </c>
      <c r="I2006" s="234"/>
      <c r="J2006" s="411"/>
      <c r="K2006" s="411"/>
      <c r="L2006" s="414">
        <v>0.1</v>
      </c>
      <c r="M2006" s="414">
        <f>ROUND(+L2006*C2006,4)</f>
        <v>0</v>
      </c>
      <c r="N2006" s="414"/>
      <c r="O2006" s="414"/>
      <c r="P2006" s="414"/>
      <c r="Q2006" s="419">
        <f>ROUND(+N2006+O2006+P2006,4)</f>
        <v>0</v>
      </c>
      <c r="R2006" s="419">
        <f>ROUND(IF(+Q2006-H2006&lt;=0,0,Q2006-H2006),4)</f>
        <v>0</v>
      </c>
      <c r="S2006" s="423">
        <v>0.5</v>
      </c>
      <c r="T2006" s="419">
        <f>ROUND(+(R2006*C2006)*S2006,4)</f>
        <v>0</v>
      </c>
      <c r="U2006" s="419">
        <f>ROUND(+J2006+M2006+T2006,4)</f>
        <v>0</v>
      </c>
      <c r="V2006" s="235"/>
    </row>
    <row r="2007" spans="1:22" ht="15.75" x14ac:dyDescent="0.25">
      <c r="A2007" s="231"/>
      <c r="B2007" s="232"/>
      <c r="C2007" s="400"/>
      <c r="D2007" s="233"/>
      <c r="E2007" s="405"/>
      <c r="F2007" s="405"/>
      <c r="G2007" s="405"/>
      <c r="H2007" s="408">
        <f>ROUND(+E2007+F2007+G2007,4)</f>
        <v>0</v>
      </c>
      <c r="I2007" s="234"/>
      <c r="J2007" s="411"/>
      <c r="K2007" s="411"/>
      <c r="L2007" s="414">
        <v>0.1</v>
      </c>
      <c r="M2007" s="414">
        <f>ROUND(+L2007*C2007,4)</f>
        <v>0</v>
      </c>
      <c r="N2007" s="414"/>
      <c r="O2007" s="414"/>
      <c r="P2007" s="414"/>
      <c r="Q2007" s="419">
        <f>ROUND(+N2007+O2007+P2007,4)</f>
        <v>0</v>
      </c>
      <c r="R2007" s="419">
        <f>ROUND(IF(+Q2007-H2007&lt;=0,0,Q2007-H2007),4)</f>
        <v>0</v>
      </c>
      <c r="S2007" s="423">
        <v>0.5</v>
      </c>
      <c r="T2007" s="419">
        <f>ROUND(+(R2007*C2007)*S2007,4)</f>
        <v>0</v>
      </c>
      <c r="U2007" s="419">
        <f>ROUND(+J2007+M2007+T2007,4)</f>
        <v>0</v>
      </c>
      <c r="V2007" s="235"/>
    </row>
    <row r="2008" spans="1:22" ht="15.75" x14ac:dyDescent="0.25">
      <c r="A2008" s="231"/>
      <c r="B2008" s="232"/>
      <c r="C2008" s="400"/>
      <c r="D2008" s="233"/>
      <c r="E2008" s="405"/>
      <c r="F2008" s="405"/>
      <c r="G2008" s="405"/>
      <c r="H2008" s="408">
        <f>ROUND(+E2008+F2008+G2008,4)</f>
        <v>0</v>
      </c>
      <c r="I2008" s="234"/>
      <c r="J2008" s="411"/>
      <c r="K2008" s="411"/>
      <c r="L2008" s="414">
        <v>0.1</v>
      </c>
      <c r="M2008" s="414">
        <f>ROUND(+L2008*C2008,4)</f>
        <v>0</v>
      </c>
      <c r="N2008" s="414"/>
      <c r="O2008" s="414"/>
      <c r="P2008" s="414"/>
      <c r="Q2008" s="419">
        <f>ROUND(+N2008+O2008+P2008,4)</f>
        <v>0</v>
      </c>
      <c r="R2008" s="419">
        <f>ROUND(IF(+Q2008-H2008&lt;=0,0,Q2008-H2008),4)</f>
        <v>0</v>
      </c>
      <c r="S2008" s="423">
        <v>0.5</v>
      </c>
      <c r="T2008" s="419">
        <f>ROUND(+(R2008*C2008)*S2008,4)</f>
        <v>0</v>
      </c>
      <c r="U2008" s="419">
        <f>ROUND(+J2008+M2008+T2008,4)</f>
        <v>0</v>
      </c>
      <c r="V2008" s="235"/>
    </row>
    <row r="2009" spans="1:22" ht="15.75" x14ac:dyDescent="0.25">
      <c r="A2009" s="231"/>
      <c r="B2009" s="232"/>
      <c r="C2009" s="400"/>
      <c r="D2009" s="233"/>
      <c r="E2009" s="405"/>
      <c r="F2009" s="405"/>
      <c r="G2009" s="405"/>
      <c r="H2009" s="408">
        <f>ROUND(+E2009+F2009+G2009,4)</f>
        <v>0</v>
      </c>
      <c r="I2009" s="234"/>
      <c r="J2009" s="411"/>
      <c r="K2009" s="411"/>
      <c r="L2009" s="414">
        <v>0.1</v>
      </c>
      <c r="M2009" s="414">
        <f>ROUND(+L2009*C2009,4)</f>
        <v>0</v>
      </c>
      <c r="N2009" s="414"/>
      <c r="O2009" s="414"/>
      <c r="P2009" s="414"/>
      <c r="Q2009" s="419">
        <f>ROUND(+N2009+O2009+P2009,4)</f>
        <v>0</v>
      </c>
      <c r="R2009" s="419">
        <f>ROUND(IF(+Q2009-H2009&lt;=0,0,Q2009-H2009),4)</f>
        <v>0</v>
      </c>
      <c r="S2009" s="423">
        <v>0.5</v>
      </c>
      <c r="T2009" s="419">
        <f>ROUND(+(R2009*C2009)*S2009,4)</f>
        <v>0</v>
      </c>
      <c r="U2009" s="419">
        <f>ROUND(+J2009+M2009+T2009,4)</f>
        <v>0</v>
      </c>
      <c r="V2009" s="235"/>
    </row>
    <row r="2010" spans="1:22" ht="15.75" x14ac:dyDescent="0.25">
      <c r="A2010" s="231"/>
      <c r="B2010" s="232"/>
      <c r="C2010" s="400"/>
      <c r="D2010" s="233"/>
      <c r="E2010" s="405"/>
      <c r="F2010" s="405"/>
      <c r="G2010" s="405"/>
      <c r="H2010" s="408">
        <f>ROUND(+E2010+F2010+G2010,4)</f>
        <v>0</v>
      </c>
      <c r="I2010" s="234"/>
      <c r="J2010" s="411"/>
      <c r="K2010" s="411"/>
      <c r="L2010" s="414">
        <v>0.1</v>
      </c>
      <c r="M2010" s="414">
        <f>ROUND(+L2010*C2010,4)</f>
        <v>0</v>
      </c>
      <c r="N2010" s="414"/>
      <c r="O2010" s="414"/>
      <c r="P2010" s="414"/>
      <c r="Q2010" s="419">
        <f>ROUND(+N2010+O2010+P2010,4)</f>
        <v>0</v>
      </c>
      <c r="R2010" s="419">
        <f>ROUND(IF(+Q2010-H2010&lt;=0,0,Q2010-H2010),4)</f>
        <v>0</v>
      </c>
      <c r="S2010" s="423">
        <v>0.5</v>
      </c>
      <c r="T2010" s="419">
        <f>ROUND(+(R2010*C2010)*S2010,4)</f>
        <v>0</v>
      </c>
      <c r="U2010" s="419">
        <f>ROUND(+J2010+M2010+T2010,4)</f>
        <v>0</v>
      </c>
      <c r="V2010" s="235"/>
    </row>
    <row r="2011" spans="1:22" ht="15.75" x14ac:dyDescent="0.25">
      <c r="A2011" s="231"/>
      <c r="B2011" s="232"/>
      <c r="C2011" s="400"/>
      <c r="D2011" s="233"/>
      <c r="E2011" s="405"/>
      <c r="F2011" s="405"/>
      <c r="G2011" s="405"/>
      <c r="H2011" s="408">
        <f>ROUND(+E2011+F2011+G2011,4)</f>
        <v>0</v>
      </c>
      <c r="I2011" s="234"/>
      <c r="J2011" s="411"/>
      <c r="K2011" s="411"/>
      <c r="L2011" s="414">
        <v>0.1</v>
      </c>
      <c r="M2011" s="414">
        <f>ROUND(+L2011*C2011,4)</f>
        <v>0</v>
      </c>
      <c r="N2011" s="414"/>
      <c r="O2011" s="414"/>
      <c r="P2011" s="414"/>
      <c r="Q2011" s="419">
        <f>ROUND(+N2011+O2011+P2011,4)</f>
        <v>0</v>
      </c>
      <c r="R2011" s="419">
        <f>ROUND(IF(+Q2011-H2011&lt;=0,0,Q2011-H2011),4)</f>
        <v>0</v>
      </c>
      <c r="S2011" s="423">
        <v>0.5</v>
      </c>
      <c r="T2011" s="419">
        <f>ROUND(+(R2011*C2011)*S2011,4)</f>
        <v>0</v>
      </c>
      <c r="U2011" s="419">
        <f>ROUND(+J2011+M2011+T2011,4)</f>
        <v>0</v>
      </c>
      <c r="V2011" s="235"/>
    </row>
    <row r="2012" spans="1:22" ht="15.75" x14ac:dyDescent="0.25">
      <c r="A2012" s="231"/>
      <c r="B2012" s="232"/>
      <c r="C2012" s="400"/>
      <c r="D2012" s="233"/>
      <c r="E2012" s="405"/>
      <c r="F2012" s="405"/>
      <c r="G2012" s="405"/>
      <c r="H2012" s="408">
        <f>ROUND(+E2012+F2012+G2012,4)</f>
        <v>0</v>
      </c>
      <c r="I2012" s="234"/>
      <c r="J2012" s="411"/>
      <c r="K2012" s="411"/>
      <c r="L2012" s="414">
        <v>0.1</v>
      </c>
      <c r="M2012" s="414">
        <f>ROUND(+L2012*C2012,4)</f>
        <v>0</v>
      </c>
      <c r="N2012" s="414"/>
      <c r="O2012" s="414"/>
      <c r="P2012" s="414"/>
      <c r="Q2012" s="419">
        <f>ROUND(+N2012+O2012+P2012,4)</f>
        <v>0</v>
      </c>
      <c r="R2012" s="419">
        <f>ROUND(IF(+Q2012-H2012&lt;=0,0,Q2012-H2012),4)</f>
        <v>0</v>
      </c>
      <c r="S2012" s="423">
        <v>0.5</v>
      </c>
      <c r="T2012" s="419">
        <f>ROUND(+(R2012*C2012)*S2012,4)</f>
        <v>0</v>
      </c>
      <c r="U2012" s="419">
        <f>ROUND(+J2012+M2012+T2012,4)</f>
        <v>0</v>
      </c>
      <c r="V2012" s="235"/>
    </row>
    <row r="2013" spans="1:22" ht="15.75" x14ac:dyDescent="0.25">
      <c r="A2013" s="231"/>
      <c r="B2013" s="232"/>
      <c r="C2013" s="400"/>
      <c r="D2013" s="233"/>
      <c r="E2013" s="405"/>
      <c r="F2013" s="405"/>
      <c r="G2013" s="405"/>
      <c r="H2013" s="408">
        <f>ROUND(+E2013+F2013+G2013,4)</f>
        <v>0</v>
      </c>
      <c r="I2013" s="234"/>
      <c r="J2013" s="411"/>
      <c r="K2013" s="411"/>
      <c r="L2013" s="414">
        <v>0.1</v>
      </c>
      <c r="M2013" s="414">
        <f>ROUND(+L2013*C2013,4)</f>
        <v>0</v>
      </c>
      <c r="N2013" s="414"/>
      <c r="O2013" s="414"/>
      <c r="P2013" s="414"/>
      <c r="Q2013" s="419">
        <f>ROUND(+N2013+O2013+P2013,4)</f>
        <v>0</v>
      </c>
      <c r="R2013" s="419">
        <f>ROUND(IF(+Q2013-H2013&lt;=0,0,Q2013-H2013),4)</f>
        <v>0</v>
      </c>
      <c r="S2013" s="423">
        <v>0.5</v>
      </c>
      <c r="T2013" s="419">
        <f>ROUND(+(R2013*C2013)*S2013,4)</f>
        <v>0</v>
      </c>
      <c r="U2013" s="419">
        <f>ROUND(+J2013+M2013+T2013,4)</f>
        <v>0</v>
      </c>
      <c r="V2013" s="235"/>
    </row>
    <row r="2014" spans="1:22" ht="15.75" x14ac:dyDescent="0.25">
      <c r="A2014" s="231"/>
      <c r="B2014" s="232"/>
      <c r="C2014" s="400"/>
      <c r="D2014" s="233"/>
      <c r="E2014" s="405"/>
      <c r="F2014" s="405"/>
      <c r="G2014" s="405"/>
      <c r="H2014" s="408">
        <f>ROUND(+E2014+F2014+G2014,4)</f>
        <v>0</v>
      </c>
      <c r="I2014" s="234"/>
      <c r="J2014" s="411"/>
      <c r="K2014" s="411"/>
      <c r="L2014" s="414">
        <v>0.1</v>
      </c>
      <c r="M2014" s="414">
        <f>ROUND(+L2014*C2014,4)</f>
        <v>0</v>
      </c>
      <c r="N2014" s="414"/>
      <c r="O2014" s="414"/>
      <c r="P2014" s="414"/>
      <c r="Q2014" s="419">
        <f>ROUND(+N2014+O2014+P2014,4)</f>
        <v>0</v>
      </c>
      <c r="R2014" s="419">
        <f>ROUND(IF(+Q2014-H2014&lt;=0,0,Q2014-H2014),4)</f>
        <v>0</v>
      </c>
      <c r="S2014" s="423">
        <v>0.5</v>
      </c>
      <c r="T2014" s="419">
        <f>ROUND(+(R2014*C2014)*S2014,4)</f>
        <v>0</v>
      </c>
      <c r="U2014" s="419">
        <f>ROUND(+J2014+M2014+T2014,4)</f>
        <v>0</v>
      </c>
      <c r="V2014" s="235"/>
    </row>
    <row r="2015" spans="1:22" ht="15.75" x14ac:dyDescent="0.25">
      <c r="A2015" s="231"/>
      <c r="B2015" s="232"/>
      <c r="C2015" s="400"/>
      <c r="D2015" s="233"/>
      <c r="E2015" s="405"/>
      <c r="F2015" s="405"/>
      <c r="G2015" s="405"/>
      <c r="H2015" s="408">
        <f>ROUND(+E2015+F2015+G2015,4)</f>
        <v>0</v>
      </c>
      <c r="I2015" s="234"/>
      <c r="J2015" s="411"/>
      <c r="K2015" s="411"/>
      <c r="L2015" s="414">
        <v>0.1</v>
      </c>
      <c r="M2015" s="414">
        <f>ROUND(+L2015*C2015,4)</f>
        <v>0</v>
      </c>
      <c r="N2015" s="414"/>
      <c r="O2015" s="414"/>
      <c r="P2015" s="414"/>
      <c r="Q2015" s="419">
        <f>ROUND(+N2015+O2015+P2015,4)</f>
        <v>0</v>
      </c>
      <c r="R2015" s="419">
        <f>ROUND(IF(+Q2015-H2015&lt;=0,0,Q2015-H2015),4)</f>
        <v>0</v>
      </c>
      <c r="S2015" s="423">
        <v>0.5</v>
      </c>
      <c r="T2015" s="419">
        <f>ROUND(+(R2015*C2015)*S2015,4)</f>
        <v>0</v>
      </c>
      <c r="U2015" s="419">
        <f>ROUND(+J2015+M2015+T2015,4)</f>
        <v>0</v>
      </c>
      <c r="V2015" s="235"/>
    </row>
    <row r="2016" spans="1:22" ht="15.75" x14ac:dyDescent="0.25">
      <c r="A2016" s="231"/>
      <c r="B2016" s="232"/>
      <c r="C2016" s="400"/>
      <c r="D2016" s="233"/>
      <c r="E2016" s="405"/>
      <c r="F2016" s="405"/>
      <c r="G2016" s="405"/>
      <c r="H2016" s="408">
        <f>ROUND(+E2016+F2016+G2016,4)</f>
        <v>0</v>
      </c>
      <c r="I2016" s="234"/>
      <c r="J2016" s="411"/>
      <c r="K2016" s="411"/>
      <c r="L2016" s="414">
        <v>0.1</v>
      </c>
      <c r="M2016" s="414">
        <f>ROUND(+L2016*C2016,4)</f>
        <v>0</v>
      </c>
      <c r="N2016" s="414"/>
      <c r="O2016" s="414"/>
      <c r="P2016" s="414"/>
      <c r="Q2016" s="419">
        <f>ROUND(+N2016+O2016+P2016,4)</f>
        <v>0</v>
      </c>
      <c r="R2016" s="419">
        <f>ROUND(IF(+Q2016-H2016&lt;=0,0,Q2016-H2016),4)</f>
        <v>0</v>
      </c>
      <c r="S2016" s="423">
        <v>0.5</v>
      </c>
      <c r="T2016" s="419">
        <f>ROUND(+(R2016*C2016)*S2016,4)</f>
        <v>0</v>
      </c>
      <c r="U2016" s="419">
        <f>ROUND(+J2016+M2016+T2016,4)</f>
        <v>0</v>
      </c>
      <c r="V2016" s="235"/>
    </row>
    <row r="2017" spans="1:22" ht="15.75" x14ac:dyDescent="0.25">
      <c r="A2017" s="231"/>
      <c r="B2017" s="232"/>
      <c r="C2017" s="400"/>
      <c r="D2017" s="233"/>
      <c r="E2017" s="405"/>
      <c r="F2017" s="405"/>
      <c r="G2017" s="405"/>
      <c r="H2017" s="408">
        <f>ROUND(+E2017+F2017+G2017,4)</f>
        <v>0</v>
      </c>
      <c r="I2017" s="234"/>
      <c r="J2017" s="411"/>
      <c r="K2017" s="411"/>
      <c r="L2017" s="414">
        <v>0.1</v>
      </c>
      <c r="M2017" s="414">
        <f>ROUND(+L2017*C2017,4)</f>
        <v>0</v>
      </c>
      <c r="N2017" s="414"/>
      <c r="O2017" s="414"/>
      <c r="P2017" s="414"/>
      <c r="Q2017" s="419">
        <f>ROUND(+N2017+O2017+P2017,4)</f>
        <v>0</v>
      </c>
      <c r="R2017" s="419">
        <f>ROUND(IF(+Q2017-H2017&lt;=0,0,Q2017-H2017),4)</f>
        <v>0</v>
      </c>
      <c r="S2017" s="423">
        <v>0.5</v>
      </c>
      <c r="T2017" s="419">
        <f>ROUND(+(R2017*C2017)*S2017,4)</f>
        <v>0</v>
      </c>
      <c r="U2017" s="419">
        <f>ROUND(+J2017+M2017+T2017,4)</f>
        <v>0</v>
      </c>
      <c r="V2017" s="235"/>
    </row>
    <row r="2018" spans="1:22" ht="15.75" x14ac:dyDescent="0.25">
      <c r="A2018" s="231"/>
      <c r="B2018" s="232"/>
      <c r="C2018" s="400"/>
      <c r="D2018" s="233"/>
      <c r="E2018" s="405"/>
      <c r="F2018" s="405"/>
      <c r="G2018" s="405"/>
      <c r="H2018" s="408">
        <f>ROUND(+E2018+F2018+G2018,4)</f>
        <v>0</v>
      </c>
      <c r="I2018" s="234"/>
      <c r="J2018" s="411"/>
      <c r="K2018" s="411"/>
      <c r="L2018" s="414">
        <v>0.1</v>
      </c>
      <c r="M2018" s="414">
        <f>ROUND(+L2018*C2018,4)</f>
        <v>0</v>
      </c>
      <c r="N2018" s="414"/>
      <c r="O2018" s="414"/>
      <c r="P2018" s="414"/>
      <c r="Q2018" s="419">
        <f>ROUND(+N2018+O2018+P2018,4)</f>
        <v>0</v>
      </c>
      <c r="R2018" s="419">
        <f>ROUND(IF(+Q2018-H2018&lt;=0,0,Q2018-H2018),4)</f>
        <v>0</v>
      </c>
      <c r="S2018" s="423">
        <v>0.5</v>
      </c>
      <c r="T2018" s="419">
        <f>ROUND(+(R2018*C2018)*S2018,4)</f>
        <v>0</v>
      </c>
      <c r="U2018" s="419">
        <f>ROUND(+J2018+M2018+T2018,4)</f>
        <v>0</v>
      </c>
      <c r="V2018" s="235"/>
    </row>
    <row r="2019" spans="1:22" ht="15.75" x14ac:dyDescent="0.25">
      <c r="A2019" s="231"/>
      <c r="B2019" s="232"/>
      <c r="C2019" s="400"/>
      <c r="D2019" s="233"/>
      <c r="E2019" s="405"/>
      <c r="F2019" s="405"/>
      <c r="G2019" s="405"/>
      <c r="H2019" s="408">
        <f>ROUND(+E2019+F2019+G2019,4)</f>
        <v>0</v>
      </c>
      <c r="I2019" s="234"/>
      <c r="J2019" s="411"/>
      <c r="K2019" s="411"/>
      <c r="L2019" s="414">
        <v>0.1</v>
      </c>
      <c r="M2019" s="414">
        <f>ROUND(+L2019*C2019,4)</f>
        <v>0</v>
      </c>
      <c r="N2019" s="414"/>
      <c r="O2019" s="414"/>
      <c r="P2019" s="414"/>
      <c r="Q2019" s="419">
        <f>ROUND(+N2019+O2019+P2019,4)</f>
        <v>0</v>
      </c>
      <c r="R2019" s="419">
        <f>ROUND(IF(+Q2019-H2019&lt;=0,0,Q2019-H2019),4)</f>
        <v>0</v>
      </c>
      <c r="S2019" s="423">
        <v>0.5</v>
      </c>
      <c r="T2019" s="419">
        <f>ROUND(+(R2019*C2019)*S2019,4)</f>
        <v>0</v>
      </c>
      <c r="U2019" s="419">
        <f>ROUND(+J2019+M2019+T2019,4)</f>
        <v>0</v>
      </c>
      <c r="V2019" s="235"/>
    </row>
    <row r="2020" spans="1:22" ht="15.75" x14ac:dyDescent="0.25">
      <c r="A2020" s="231"/>
      <c r="B2020" s="232"/>
      <c r="C2020" s="400"/>
      <c r="D2020" s="233"/>
      <c r="E2020" s="405"/>
      <c r="F2020" s="405"/>
      <c r="G2020" s="405"/>
      <c r="H2020" s="408">
        <f>ROUND(+E2020+F2020+G2020,4)</f>
        <v>0</v>
      </c>
      <c r="I2020" s="234"/>
      <c r="J2020" s="411"/>
      <c r="K2020" s="411"/>
      <c r="L2020" s="414">
        <v>0.1</v>
      </c>
      <c r="M2020" s="414">
        <f>ROUND(+L2020*C2020,4)</f>
        <v>0</v>
      </c>
      <c r="N2020" s="414"/>
      <c r="O2020" s="414"/>
      <c r="P2020" s="414"/>
      <c r="Q2020" s="419">
        <f>ROUND(+N2020+O2020+P2020,4)</f>
        <v>0</v>
      </c>
      <c r="R2020" s="419">
        <f>ROUND(IF(+Q2020-H2020&lt;=0,0,Q2020-H2020),4)</f>
        <v>0</v>
      </c>
      <c r="S2020" s="423">
        <v>0.5</v>
      </c>
      <c r="T2020" s="419">
        <f>ROUND(+(R2020*C2020)*S2020,4)</f>
        <v>0</v>
      </c>
      <c r="U2020" s="419">
        <f>ROUND(+J2020+M2020+T2020,4)</f>
        <v>0</v>
      </c>
      <c r="V2020" s="235"/>
    </row>
    <row r="2021" spans="1:22" ht="15.75" x14ac:dyDescent="0.25">
      <c r="A2021" s="231"/>
      <c r="B2021" s="232"/>
      <c r="C2021" s="400"/>
      <c r="D2021" s="233"/>
      <c r="E2021" s="405"/>
      <c r="F2021" s="405"/>
      <c r="G2021" s="405"/>
      <c r="H2021" s="408">
        <f>ROUND(+E2021+F2021+G2021,4)</f>
        <v>0</v>
      </c>
      <c r="I2021" s="234"/>
      <c r="J2021" s="411"/>
      <c r="K2021" s="411"/>
      <c r="L2021" s="414">
        <v>0.1</v>
      </c>
      <c r="M2021" s="414">
        <f>ROUND(+L2021*C2021,4)</f>
        <v>0</v>
      </c>
      <c r="N2021" s="414"/>
      <c r="O2021" s="414"/>
      <c r="P2021" s="414"/>
      <c r="Q2021" s="419">
        <f>ROUND(+N2021+O2021+P2021,4)</f>
        <v>0</v>
      </c>
      <c r="R2021" s="419">
        <f>ROUND(IF(+Q2021-H2021&lt;=0,0,Q2021-H2021),4)</f>
        <v>0</v>
      </c>
      <c r="S2021" s="423">
        <v>0.5</v>
      </c>
      <c r="T2021" s="419">
        <f>ROUND(+(R2021*C2021)*S2021,4)</f>
        <v>0</v>
      </c>
      <c r="U2021" s="419">
        <f>ROUND(+J2021+M2021+T2021,4)</f>
        <v>0</v>
      </c>
      <c r="V2021" s="235"/>
    </row>
    <row r="2022" spans="1:22" ht="15.75" x14ac:dyDescent="0.25">
      <c r="A2022" s="231"/>
      <c r="B2022" s="232"/>
      <c r="C2022" s="400"/>
      <c r="D2022" s="233"/>
      <c r="E2022" s="405"/>
      <c r="F2022" s="405"/>
      <c r="G2022" s="405"/>
      <c r="H2022" s="408">
        <f>ROUND(+E2022+F2022+G2022,4)</f>
        <v>0</v>
      </c>
      <c r="I2022" s="234"/>
      <c r="J2022" s="411"/>
      <c r="K2022" s="411"/>
      <c r="L2022" s="414">
        <v>0.1</v>
      </c>
      <c r="M2022" s="414">
        <f>ROUND(+L2022*C2022,4)</f>
        <v>0</v>
      </c>
      <c r="N2022" s="414"/>
      <c r="O2022" s="414"/>
      <c r="P2022" s="414"/>
      <c r="Q2022" s="419">
        <f>ROUND(+N2022+O2022+P2022,4)</f>
        <v>0</v>
      </c>
      <c r="R2022" s="419">
        <f>ROUND(IF(+Q2022-H2022&lt;=0,0,Q2022-H2022),4)</f>
        <v>0</v>
      </c>
      <c r="S2022" s="423">
        <v>0.5</v>
      </c>
      <c r="T2022" s="419">
        <f>ROUND(+(R2022*C2022)*S2022,4)</f>
        <v>0</v>
      </c>
      <c r="U2022" s="419">
        <f>ROUND(+J2022+M2022+T2022,4)</f>
        <v>0</v>
      </c>
      <c r="V2022" s="235"/>
    </row>
    <row r="2023" spans="1:22" ht="15.75" x14ac:dyDescent="0.25">
      <c r="A2023" s="231"/>
      <c r="B2023" s="232"/>
      <c r="C2023" s="400"/>
      <c r="D2023" s="233"/>
      <c r="E2023" s="405"/>
      <c r="F2023" s="405"/>
      <c r="G2023" s="405"/>
      <c r="H2023" s="408">
        <f>ROUND(+E2023+F2023+G2023,4)</f>
        <v>0</v>
      </c>
      <c r="I2023" s="234"/>
      <c r="J2023" s="411"/>
      <c r="K2023" s="411"/>
      <c r="L2023" s="414">
        <v>0.1</v>
      </c>
      <c r="M2023" s="414">
        <f>ROUND(+L2023*C2023,4)</f>
        <v>0</v>
      </c>
      <c r="N2023" s="414"/>
      <c r="O2023" s="414"/>
      <c r="P2023" s="414"/>
      <c r="Q2023" s="419">
        <f>ROUND(+N2023+O2023+P2023,4)</f>
        <v>0</v>
      </c>
      <c r="R2023" s="419">
        <f>ROUND(IF(+Q2023-H2023&lt;=0,0,Q2023-H2023),4)</f>
        <v>0</v>
      </c>
      <c r="S2023" s="423">
        <v>0.5</v>
      </c>
      <c r="T2023" s="419">
        <f>ROUND(+(R2023*C2023)*S2023,4)</f>
        <v>0</v>
      </c>
      <c r="U2023" s="419">
        <f>ROUND(+J2023+M2023+T2023,4)</f>
        <v>0</v>
      </c>
      <c r="V2023" s="235"/>
    </row>
    <row r="2024" spans="1:22" ht="15.75" x14ac:dyDescent="0.25">
      <c r="A2024" s="231"/>
      <c r="B2024" s="232"/>
      <c r="C2024" s="400"/>
      <c r="D2024" s="233"/>
      <c r="E2024" s="405"/>
      <c r="F2024" s="405"/>
      <c r="G2024" s="405"/>
      <c r="H2024" s="408">
        <f>ROUND(+E2024+F2024+G2024,4)</f>
        <v>0</v>
      </c>
      <c r="I2024" s="234"/>
      <c r="J2024" s="411"/>
      <c r="K2024" s="411"/>
      <c r="L2024" s="414">
        <v>0.1</v>
      </c>
      <c r="M2024" s="414">
        <f>ROUND(+L2024*C2024,4)</f>
        <v>0</v>
      </c>
      <c r="N2024" s="414"/>
      <c r="O2024" s="414"/>
      <c r="P2024" s="414"/>
      <c r="Q2024" s="419">
        <f>ROUND(+N2024+O2024+P2024,4)</f>
        <v>0</v>
      </c>
      <c r="R2024" s="419">
        <f>ROUND(IF(+Q2024-H2024&lt;=0,0,Q2024-H2024),4)</f>
        <v>0</v>
      </c>
      <c r="S2024" s="423">
        <v>0.5</v>
      </c>
      <c r="T2024" s="419">
        <f>ROUND(+(R2024*C2024)*S2024,4)</f>
        <v>0</v>
      </c>
      <c r="U2024" s="419">
        <f>ROUND(+J2024+M2024+T2024,4)</f>
        <v>0</v>
      </c>
      <c r="V2024" s="235"/>
    </row>
    <row r="2025" spans="1:22" ht="15.75" x14ac:dyDescent="0.25">
      <c r="A2025" s="231"/>
      <c r="B2025" s="232"/>
      <c r="C2025" s="400"/>
      <c r="D2025" s="233"/>
      <c r="E2025" s="405"/>
      <c r="F2025" s="405"/>
      <c r="G2025" s="405"/>
      <c r="H2025" s="408">
        <f>ROUND(+E2025+F2025+G2025,4)</f>
        <v>0</v>
      </c>
      <c r="I2025" s="234"/>
      <c r="J2025" s="411"/>
      <c r="K2025" s="411"/>
      <c r="L2025" s="414">
        <v>0.1</v>
      </c>
      <c r="M2025" s="414">
        <f>ROUND(+L2025*C2025,4)</f>
        <v>0</v>
      </c>
      <c r="N2025" s="414"/>
      <c r="O2025" s="414"/>
      <c r="P2025" s="414"/>
      <c r="Q2025" s="419">
        <f>ROUND(+N2025+O2025+P2025,4)</f>
        <v>0</v>
      </c>
      <c r="R2025" s="419">
        <f>ROUND(IF(+Q2025-H2025&lt;=0,0,Q2025-H2025),4)</f>
        <v>0</v>
      </c>
      <c r="S2025" s="423">
        <v>0.5</v>
      </c>
      <c r="T2025" s="419">
        <f>ROUND(+(R2025*C2025)*S2025,4)</f>
        <v>0</v>
      </c>
      <c r="U2025" s="419">
        <f>ROUND(+J2025+M2025+T2025,4)</f>
        <v>0</v>
      </c>
      <c r="V2025" s="235"/>
    </row>
    <row r="2026" spans="1:22" ht="15.75" x14ac:dyDescent="0.25">
      <c r="A2026" s="231"/>
      <c r="B2026" s="232"/>
      <c r="C2026" s="400"/>
      <c r="D2026" s="233"/>
      <c r="E2026" s="405"/>
      <c r="F2026" s="405"/>
      <c r="G2026" s="405"/>
      <c r="H2026" s="408">
        <f>ROUND(+E2026+F2026+G2026,4)</f>
        <v>0</v>
      </c>
      <c r="I2026" s="234"/>
      <c r="J2026" s="411"/>
      <c r="K2026" s="411"/>
      <c r="L2026" s="414">
        <v>0.1</v>
      </c>
      <c r="M2026" s="414">
        <f>ROUND(+L2026*C2026,4)</f>
        <v>0</v>
      </c>
      <c r="N2026" s="414"/>
      <c r="O2026" s="414"/>
      <c r="P2026" s="414"/>
      <c r="Q2026" s="419">
        <f>ROUND(+N2026+O2026+P2026,4)</f>
        <v>0</v>
      </c>
      <c r="R2026" s="419">
        <f>ROUND(IF(+Q2026-H2026&lt;=0,0,Q2026-H2026),4)</f>
        <v>0</v>
      </c>
      <c r="S2026" s="423">
        <v>0.5</v>
      </c>
      <c r="T2026" s="419">
        <f>ROUND(+(R2026*C2026)*S2026,4)</f>
        <v>0</v>
      </c>
      <c r="U2026" s="419">
        <f>ROUND(+J2026+M2026+T2026,4)</f>
        <v>0</v>
      </c>
      <c r="V2026" s="235"/>
    </row>
    <row r="2027" spans="1:22" ht="15.75" x14ac:dyDescent="0.25">
      <c r="A2027" s="231"/>
      <c r="B2027" s="232"/>
      <c r="C2027" s="400"/>
      <c r="D2027" s="233"/>
      <c r="E2027" s="405"/>
      <c r="F2027" s="405"/>
      <c r="G2027" s="405"/>
      <c r="H2027" s="408">
        <f>ROUND(+E2027+F2027+G2027,4)</f>
        <v>0</v>
      </c>
      <c r="I2027" s="234"/>
      <c r="J2027" s="411"/>
      <c r="K2027" s="411"/>
      <c r="L2027" s="414">
        <v>0.1</v>
      </c>
      <c r="M2027" s="414">
        <f>ROUND(+L2027*C2027,4)</f>
        <v>0</v>
      </c>
      <c r="N2027" s="414"/>
      <c r="O2027" s="414"/>
      <c r="P2027" s="414"/>
      <c r="Q2027" s="419">
        <f>ROUND(+N2027+O2027+P2027,4)</f>
        <v>0</v>
      </c>
      <c r="R2027" s="419">
        <f>ROUND(IF(+Q2027-H2027&lt;=0,0,Q2027-H2027),4)</f>
        <v>0</v>
      </c>
      <c r="S2027" s="423">
        <v>0.5</v>
      </c>
      <c r="T2027" s="419">
        <f>ROUND(+(R2027*C2027)*S2027,4)</f>
        <v>0</v>
      </c>
      <c r="U2027" s="419">
        <f>ROUND(+J2027+M2027+T2027,4)</f>
        <v>0</v>
      </c>
      <c r="V2027" s="235"/>
    </row>
    <row r="2028" spans="1:22" ht="15.75" x14ac:dyDescent="0.25">
      <c r="A2028" s="231"/>
      <c r="B2028" s="232"/>
      <c r="C2028" s="400"/>
      <c r="D2028" s="233"/>
      <c r="E2028" s="405"/>
      <c r="F2028" s="405"/>
      <c r="G2028" s="405"/>
      <c r="H2028" s="408">
        <f>ROUND(+E2028+F2028+G2028,4)</f>
        <v>0</v>
      </c>
      <c r="I2028" s="234"/>
      <c r="J2028" s="411"/>
      <c r="K2028" s="411"/>
      <c r="L2028" s="414">
        <v>0.1</v>
      </c>
      <c r="M2028" s="414">
        <f>ROUND(+L2028*C2028,4)</f>
        <v>0</v>
      </c>
      <c r="N2028" s="414"/>
      <c r="O2028" s="414"/>
      <c r="P2028" s="414"/>
      <c r="Q2028" s="419">
        <f>ROUND(+N2028+O2028+P2028,4)</f>
        <v>0</v>
      </c>
      <c r="R2028" s="419">
        <f>ROUND(IF(+Q2028-H2028&lt;=0,0,Q2028-H2028),4)</f>
        <v>0</v>
      </c>
      <c r="S2028" s="423">
        <v>0.5</v>
      </c>
      <c r="T2028" s="419">
        <f>ROUND(+(R2028*C2028)*S2028,4)</f>
        <v>0</v>
      </c>
      <c r="U2028" s="419">
        <f>ROUND(+J2028+M2028+T2028,4)</f>
        <v>0</v>
      </c>
      <c r="V2028" s="235"/>
    </row>
    <row r="2029" spans="1:22" ht="15.75" x14ac:dyDescent="0.25">
      <c r="A2029" s="231"/>
      <c r="B2029" s="232"/>
      <c r="C2029" s="400"/>
      <c r="D2029" s="233"/>
      <c r="E2029" s="405"/>
      <c r="F2029" s="405"/>
      <c r="G2029" s="405"/>
      <c r="H2029" s="408">
        <f>ROUND(+E2029+F2029+G2029,4)</f>
        <v>0</v>
      </c>
      <c r="I2029" s="234"/>
      <c r="J2029" s="411"/>
      <c r="K2029" s="411"/>
      <c r="L2029" s="414">
        <v>0.1</v>
      </c>
      <c r="M2029" s="414">
        <f>ROUND(+L2029*C2029,4)</f>
        <v>0</v>
      </c>
      <c r="N2029" s="414"/>
      <c r="O2029" s="414"/>
      <c r="P2029" s="414"/>
      <c r="Q2029" s="419">
        <f>ROUND(+N2029+O2029+P2029,4)</f>
        <v>0</v>
      </c>
      <c r="R2029" s="419">
        <f>ROUND(IF(+Q2029-H2029&lt;=0,0,Q2029-H2029),4)</f>
        <v>0</v>
      </c>
      <c r="S2029" s="423">
        <v>0.5</v>
      </c>
      <c r="T2029" s="419">
        <f>ROUND(+(R2029*C2029)*S2029,4)</f>
        <v>0</v>
      </c>
      <c r="U2029" s="419">
        <f>ROUND(+J2029+M2029+T2029,4)</f>
        <v>0</v>
      </c>
      <c r="V2029" s="235"/>
    </row>
    <row r="2030" spans="1:22" ht="15.75" x14ac:dyDescent="0.25">
      <c r="A2030" s="231"/>
      <c r="B2030" s="232"/>
      <c r="C2030" s="400"/>
      <c r="D2030" s="233"/>
      <c r="E2030" s="405"/>
      <c r="F2030" s="405"/>
      <c r="G2030" s="405"/>
      <c r="H2030" s="408">
        <f>ROUND(+E2030+F2030+G2030,4)</f>
        <v>0</v>
      </c>
      <c r="I2030" s="234"/>
      <c r="J2030" s="411"/>
      <c r="K2030" s="411"/>
      <c r="L2030" s="414">
        <v>0.1</v>
      </c>
      <c r="M2030" s="414">
        <f>ROUND(+L2030*C2030,4)</f>
        <v>0</v>
      </c>
      <c r="N2030" s="414"/>
      <c r="O2030" s="414"/>
      <c r="P2030" s="414"/>
      <c r="Q2030" s="419">
        <f>ROUND(+N2030+O2030+P2030,4)</f>
        <v>0</v>
      </c>
      <c r="R2030" s="419">
        <f>ROUND(IF(+Q2030-H2030&lt;=0,0,Q2030-H2030),4)</f>
        <v>0</v>
      </c>
      <c r="S2030" s="423">
        <v>0.5</v>
      </c>
      <c r="T2030" s="419">
        <f>ROUND(+(R2030*C2030)*S2030,4)</f>
        <v>0</v>
      </c>
      <c r="U2030" s="419">
        <f>ROUND(+J2030+M2030+T2030,4)</f>
        <v>0</v>
      </c>
      <c r="V2030" s="235"/>
    </row>
    <row r="2031" spans="1:22" ht="15.75" x14ac:dyDescent="0.25">
      <c r="A2031" s="231"/>
      <c r="B2031" s="232"/>
      <c r="C2031" s="400"/>
      <c r="D2031" s="233"/>
      <c r="E2031" s="405"/>
      <c r="F2031" s="405"/>
      <c r="G2031" s="405"/>
      <c r="H2031" s="408">
        <f>ROUND(+E2031+F2031+G2031,4)</f>
        <v>0</v>
      </c>
      <c r="I2031" s="234"/>
      <c r="J2031" s="411"/>
      <c r="K2031" s="411"/>
      <c r="L2031" s="414">
        <v>0.1</v>
      </c>
      <c r="M2031" s="414">
        <f>ROUND(+L2031*C2031,4)</f>
        <v>0</v>
      </c>
      <c r="N2031" s="414"/>
      <c r="O2031" s="414"/>
      <c r="P2031" s="414"/>
      <c r="Q2031" s="419">
        <f>ROUND(+N2031+O2031+P2031,4)</f>
        <v>0</v>
      </c>
      <c r="R2031" s="419">
        <f>ROUND(IF(+Q2031-H2031&lt;=0,0,Q2031-H2031),4)</f>
        <v>0</v>
      </c>
      <c r="S2031" s="423">
        <v>0.5</v>
      </c>
      <c r="T2031" s="419">
        <f>ROUND(+(R2031*C2031)*S2031,4)</f>
        <v>0</v>
      </c>
      <c r="U2031" s="419">
        <f>ROUND(+J2031+M2031+T2031,4)</f>
        <v>0</v>
      </c>
      <c r="V2031" s="235"/>
    </row>
    <row r="2032" spans="1:22" ht="15.75" x14ac:dyDescent="0.25">
      <c r="A2032" s="231"/>
      <c r="B2032" s="232"/>
      <c r="C2032" s="400"/>
      <c r="D2032" s="233"/>
      <c r="E2032" s="405"/>
      <c r="F2032" s="405"/>
      <c r="G2032" s="405"/>
      <c r="H2032" s="408">
        <f>ROUND(+E2032+F2032+G2032,4)</f>
        <v>0</v>
      </c>
      <c r="I2032" s="234"/>
      <c r="J2032" s="411"/>
      <c r="K2032" s="411"/>
      <c r="L2032" s="414">
        <v>0.1</v>
      </c>
      <c r="M2032" s="414">
        <f>ROUND(+L2032*C2032,4)</f>
        <v>0</v>
      </c>
      <c r="N2032" s="414"/>
      <c r="O2032" s="414"/>
      <c r="P2032" s="414"/>
      <c r="Q2032" s="419">
        <f>ROUND(+N2032+O2032+P2032,4)</f>
        <v>0</v>
      </c>
      <c r="R2032" s="419">
        <f>ROUND(IF(+Q2032-H2032&lt;=0,0,Q2032-H2032),4)</f>
        <v>0</v>
      </c>
      <c r="S2032" s="423">
        <v>0.5</v>
      </c>
      <c r="T2032" s="419">
        <f>ROUND(+(R2032*C2032)*S2032,4)</f>
        <v>0</v>
      </c>
      <c r="U2032" s="419">
        <f>ROUND(+J2032+M2032+T2032,4)</f>
        <v>0</v>
      </c>
      <c r="V2032" s="235"/>
    </row>
    <row r="2033" spans="1:22" ht="15.75" x14ac:dyDescent="0.25">
      <c r="A2033" s="231"/>
      <c r="B2033" s="232"/>
      <c r="C2033" s="400"/>
      <c r="D2033" s="233"/>
      <c r="E2033" s="405"/>
      <c r="F2033" s="405"/>
      <c r="G2033" s="405"/>
      <c r="H2033" s="408">
        <f>ROUND(+E2033+F2033+G2033,4)</f>
        <v>0</v>
      </c>
      <c r="I2033" s="234"/>
      <c r="J2033" s="411"/>
      <c r="K2033" s="411"/>
      <c r="L2033" s="414">
        <v>0.1</v>
      </c>
      <c r="M2033" s="414">
        <f>ROUND(+L2033*C2033,4)</f>
        <v>0</v>
      </c>
      <c r="N2033" s="414"/>
      <c r="O2033" s="414"/>
      <c r="P2033" s="414"/>
      <c r="Q2033" s="419">
        <f>ROUND(+N2033+O2033+P2033,4)</f>
        <v>0</v>
      </c>
      <c r="R2033" s="419">
        <f>ROUND(IF(+Q2033-H2033&lt;=0,0,Q2033-H2033),4)</f>
        <v>0</v>
      </c>
      <c r="S2033" s="423">
        <v>0.5</v>
      </c>
      <c r="T2033" s="419">
        <f>ROUND(+(R2033*C2033)*S2033,4)</f>
        <v>0</v>
      </c>
      <c r="U2033" s="419">
        <f>ROUND(+J2033+M2033+T2033,4)</f>
        <v>0</v>
      </c>
      <c r="V2033" s="235"/>
    </row>
    <row r="2034" spans="1:22" ht="15.75" x14ac:dyDescent="0.25">
      <c r="A2034" s="231"/>
      <c r="B2034" s="232"/>
      <c r="C2034" s="400"/>
      <c r="D2034" s="233"/>
      <c r="E2034" s="405"/>
      <c r="F2034" s="405"/>
      <c r="G2034" s="405"/>
      <c r="H2034" s="408">
        <f>ROUND(+E2034+F2034+G2034,4)</f>
        <v>0</v>
      </c>
      <c r="I2034" s="234"/>
      <c r="J2034" s="411"/>
      <c r="K2034" s="411"/>
      <c r="L2034" s="414">
        <v>0.1</v>
      </c>
      <c r="M2034" s="414">
        <f>ROUND(+L2034*C2034,4)</f>
        <v>0</v>
      </c>
      <c r="N2034" s="414"/>
      <c r="O2034" s="414"/>
      <c r="P2034" s="414"/>
      <c r="Q2034" s="419">
        <f>ROUND(+N2034+O2034+P2034,4)</f>
        <v>0</v>
      </c>
      <c r="R2034" s="419">
        <f>ROUND(IF(+Q2034-H2034&lt;=0,0,Q2034-H2034),4)</f>
        <v>0</v>
      </c>
      <c r="S2034" s="423">
        <v>0.5</v>
      </c>
      <c r="T2034" s="419">
        <f>ROUND(+(R2034*C2034)*S2034,4)</f>
        <v>0</v>
      </c>
      <c r="U2034" s="419">
        <f>ROUND(+J2034+M2034+T2034,4)</f>
        <v>0</v>
      </c>
      <c r="V2034" s="235"/>
    </row>
    <row r="2035" spans="1:22" ht="15.75" x14ac:dyDescent="0.25">
      <c r="A2035" s="231"/>
      <c r="B2035" s="232"/>
      <c r="C2035" s="400"/>
      <c r="D2035" s="233"/>
      <c r="E2035" s="405"/>
      <c r="F2035" s="405"/>
      <c r="G2035" s="405"/>
      <c r="H2035" s="408">
        <f>ROUND(+E2035+F2035+G2035,4)</f>
        <v>0</v>
      </c>
      <c r="I2035" s="234"/>
      <c r="J2035" s="411"/>
      <c r="K2035" s="411"/>
      <c r="L2035" s="414">
        <v>0.1</v>
      </c>
      <c r="M2035" s="414">
        <f>ROUND(+L2035*C2035,4)</f>
        <v>0</v>
      </c>
      <c r="N2035" s="414"/>
      <c r="O2035" s="414"/>
      <c r="P2035" s="414"/>
      <c r="Q2035" s="419">
        <f>ROUND(+N2035+O2035+P2035,4)</f>
        <v>0</v>
      </c>
      <c r="R2035" s="419">
        <f>ROUND(IF(+Q2035-H2035&lt;=0,0,Q2035-H2035),4)</f>
        <v>0</v>
      </c>
      <c r="S2035" s="423">
        <v>0.5</v>
      </c>
      <c r="T2035" s="419">
        <f>ROUND(+(R2035*C2035)*S2035,4)</f>
        <v>0</v>
      </c>
      <c r="U2035" s="419">
        <f>ROUND(+J2035+M2035+T2035,4)</f>
        <v>0</v>
      </c>
      <c r="V2035" s="235"/>
    </row>
    <row r="2036" spans="1:22" ht="15.75" x14ac:dyDescent="0.25">
      <c r="A2036" s="231"/>
      <c r="B2036" s="232"/>
      <c r="C2036" s="400"/>
      <c r="D2036" s="233"/>
      <c r="E2036" s="405"/>
      <c r="F2036" s="405"/>
      <c r="G2036" s="405"/>
      <c r="H2036" s="408">
        <f>ROUND(+E2036+F2036+G2036,4)</f>
        <v>0</v>
      </c>
      <c r="I2036" s="234"/>
      <c r="J2036" s="411"/>
      <c r="K2036" s="411"/>
      <c r="L2036" s="414">
        <v>0.1</v>
      </c>
      <c r="M2036" s="414">
        <f>ROUND(+L2036*C2036,4)</f>
        <v>0</v>
      </c>
      <c r="N2036" s="414"/>
      <c r="O2036" s="414"/>
      <c r="P2036" s="414"/>
      <c r="Q2036" s="419">
        <f>ROUND(+N2036+O2036+P2036,4)</f>
        <v>0</v>
      </c>
      <c r="R2036" s="419">
        <f>ROUND(IF(+Q2036-H2036&lt;=0,0,Q2036-H2036),4)</f>
        <v>0</v>
      </c>
      <c r="S2036" s="423">
        <v>0.5</v>
      </c>
      <c r="T2036" s="419">
        <f>ROUND(+(R2036*C2036)*S2036,4)</f>
        <v>0</v>
      </c>
      <c r="U2036" s="419">
        <f>ROUND(+J2036+M2036+T2036,4)</f>
        <v>0</v>
      </c>
      <c r="V2036" s="235"/>
    </row>
    <row r="2037" spans="1:22" ht="15.75" x14ac:dyDescent="0.25">
      <c r="A2037" s="231"/>
      <c r="B2037" s="232"/>
      <c r="C2037" s="400"/>
      <c r="D2037" s="233"/>
      <c r="E2037" s="405"/>
      <c r="F2037" s="405"/>
      <c r="G2037" s="405"/>
      <c r="H2037" s="408">
        <f>ROUND(+E2037+F2037+G2037,4)</f>
        <v>0</v>
      </c>
      <c r="I2037" s="234"/>
      <c r="J2037" s="411"/>
      <c r="K2037" s="411"/>
      <c r="L2037" s="414">
        <v>0.1</v>
      </c>
      <c r="M2037" s="414">
        <f>ROUND(+L2037*C2037,4)</f>
        <v>0</v>
      </c>
      <c r="N2037" s="414"/>
      <c r="O2037" s="414"/>
      <c r="P2037" s="414"/>
      <c r="Q2037" s="419">
        <f>ROUND(+N2037+O2037+P2037,4)</f>
        <v>0</v>
      </c>
      <c r="R2037" s="419">
        <f>ROUND(IF(+Q2037-H2037&lt;=0,0,Q2037-H2037),4)</f>
        <v>0</v>
      </c>
      <c r="S2037" s="423">
        <v>0.5</v>
      </c>
      <c r="T2037" s="419">
        <f>ROUND(+(R2037*C2037)*S2037,4)</f>
        <v>0</v>
      </c>
      <c r="U2037" s="419">
        <f>ROUND(+J2037+M2037+T2037,4)</f>
        <v>0</v>
      </c>
      <c r="V2037" s="235"/>
    </row>
    <row r="2038" spans="1:22" ht="15.75" x14ac:dyDescent="0.25">
      <c r="A2038" s="231"/>
      <c r="B2038" s="232"/>
      <c r="C2038" s="400"/>
      <c r="D2038" s="233"/>
      <c r="E2038" s="405"/>
      <c r="F2038" s="405"/>
      <c r="G2038" s="405"/>
      <c r="H2038" s="408">
        <f>ROUND(+E2038+F2038+G2038,4)</f>
        <v>0</v>
      </c>
      <c r="I2038" s="234"/>
      <c r="J2038" s="411"/>
      <c r="K2038" s="411"/>
      <c r="L2038" s="414">
        <v>0.1</v>
      </c>
      <c r="M2038" s="414">
        <f>ROUND(+L2038*C2038,4)</f>
        <v>0</v>
      </c>
      <c r="N2038" s="414"/>
      <c r="O2038" s="414"/>
      <c r="P2038" s="414"/>
      <c r="Q2038" s="419">
        <f>ROUND(+N2038+O2038+P2038,4)</f>
        <v>0</v>
      </c>
      <c r="R2038" s="419">
        <f>ROUND(IF(+Q2038-H2038&lt;=0,0,Q2038-H2038),4)</f>
        <v>0</v>
      </c>
      <c r="S2038" s="423">
        <v>0.5</v>
      </c>
      <c r="T2038" s="419">
        <f>ROUND(+(R2038*C2038)*S2038,4)</f>
        <v>0</v>
      </c>
      <c r="U2038" s="419">
        <f>ROUND(+J2038+M2038+T2038,4)</f>
        <v>0</v>
      </c>
      <c r="V2038" s="235"/>
    </row>
    <row r="2039" spans="1:22" ht="15.75" x14ac:dyDescent="0.25">
      <c r="A2039" s="231"/>
      <c r="B2039" s="232"/>
      <c r="C2039" s="400"/>
      <c r="D2039" s="233"/>
      <c r="E2039" s="405"/>
      <c r="F2039" s="405"/>
      <c r="G2039" s="405"/>
      <c r="H2039" s="408">
        <f>ROUND(+E2039+F2039+G2039,4)</f>
        <v>0</v>
      </c>
      <c r="I2039" s="234"/>
      <c r="J2039" s="411"/>
      <c r="K2039" s="411"/>
      <c r="L2039" s="414">
        <v>0.1</v>
      </c>
      <c r="M2039" s="414">
        <f>ROUND(+L2039*C2039,4)</f>
        <v>0</v>
      </c>
      <c r="N2039" s="414"/>
      <c r="O2039" s="414"/>
      <c r="P2039" s="414"/>
      <c r="Q2039" s="419">
        <f>ROUND(+N2039+O2039+P2039,4)</f>
        <v>0</v>
      </c>
      <c r="R2039" s="419">
        <f>ROUND(IF(+Q2039-H2039&lt;=0,0,Q2039-H2039),4)</f>
        <v>0</v>
      </c>
      <c r="S2039" s="423">
        <v>0.5</v>
      </c>
      <c r="T2039" s="419">
        <f>ROUND(+(R2039*C2039)*S2039,4)</f>
        <v>0</v>
      </c>
      <c r="U2039" s="419">
        <f>ROUND(+J2039+M2039+T2039,4)</f>
        <v>0</v>
      </c>
      <c r="V2039" s="235"/>
    </row>
    <row r="2040" spans="1:22" ht="15.75" x14ac:dyDescent="0.25">
      <c r="A2040" s="231"/>
      <c r="B2040" s="232"/>
      <c r="C2040" s="400"/>
      <c r="D2040" s="233"/>
      <c r="E2040" s="405"/>
      <c r="F2040" s="405"/>
      <c r="G2040" s="405"/>
      <c r="H2040" s="408">
        <f>ROUND(+E2040+F2040+G2040,4)</f>
        <v>0</v>
      </c>
      <c r="I2040" s="234"/>
      <c r="J2040" s="411"/>
      <c r="K2040" s="411"/>
      <c r="L2040" s="414">
        <v>0.1</v>
      </c>
      <c r="M2040" s="414">
        <f>ROUND(+L2040*C2040,4)</f>
        <v>0</v>
      </c>
      <c r="N2040" s="414"/>
      <c r="O2040" s="414"/>
      <c r="P2040" s="414"/>
      <c r="Q2040" s="419">
        <f>ROUND(+N2040+O2040+P2040,4)</f>
        <v>0</v>
      </c>
      <c r="R2040" s="419">
        <f>ROUND(IF(+Q2040-H2040&lt;=0,0,Q2040-H2040),4)</f>
        <v>0</v>
      </c>
      <c r="S2040" s="423">
        <v>0.5</v>
      </c>
      <c r="T2040" s="419">
        <f>ROUND(+(R2040*C2040)*S2040,4)</f>
        <v>0</v>
      </c>
      <c r="U2040" s="419">
        <f>ROUND(+J2040+M2040+T2040,4)</f>
        <v>0</v>
      </c>
      <c r="V2040" s="235"/>
    </row>
    <row r="2041" spans="1:22" ht="15.75" x14ac:dyDescent="0.25">
      <c r="A2041" s="231"/>
      <c r="B2041" s="232"/>
      <c r="C2041" s="400"/>
      <c r="D2041" s="233"/>
      <c r="E2041" s="405"/>
      <c r="F2041" s="405"/>
      <c r="G2041" s="405"/>
      <c r="H2041" s="408">
        <f>ROUND(+E2041+F2041+G2041,4)</f>
        <v>0</v>
      </c>
      <c r="I2041" s="234"/>
      <c r="J2041" s="411"/>
      <c r="K2041" s="411"/>
      <c r="L2041" s="414">
        <v>0.1</v>
      </c>
      <c r="M2041" s="414">
        <f>ROUND(+L2041*C2041,4)</f>
        <v>0</v>
      </c>
      <c r="N2041" s="414"/>
      <c r="O2041" s="414"/>
      <c r="P2041" s="414"/>
      <c r="Q2041" s="419">
        <f>ROUND(+N2041+O2041+P2041,4)</f>
        <v>0</v>
      </c>
      <c r="R2041" s="419">
        <f>ROUND(IF(+Q2041-H2041&lt;=0,0,Q2041-H2041),4)</f>
        <v>0</v>
      </c>
      <c r="S2041" s="423">
        <v>0.5</v>
      </c>
      <c r="T2041" s="419">
        <f>ROUND(+(R2041*C2041)*S2041,4)</f>
        <v>0</v>
      </c>
      <c r="U2041" s="419">
        <f>ROUND(+J2041+M2041+T2041,4)</f>
        <v>0</v>
      </c>
      <c r="V2041" s="235"/>
    </row>
    <row r="2042" spans="1:22" ht="15.75" x14ac:dyDescent="0.25">
      <c r="A2042" s="231"/>
      <c r="B2042" s="232"/>
      <c r="C2042" s="400"/>
      <c r="D2042" s="233"/>
      <c r="E2042" s="405"/>
      <c r="F2042" s="405"/>
      <c r="G2042" s="405"/>
      <c r="H2042" s="408">
        <f>ROUND(+E2042+F2042+G2042,4)</f>
        <v>0</v>
      </c>
      <c r="I2042" s="234"/>
      <c r="J2042" s="411"/>
      <c r="K2042" s="411"/>
      <c r="L2042" s="414">
        <v>0.1</v>
      </c>
      <c r="M2042" s="414">
        <f>ROUND(+L2042*C2042,4)</f>
        <v>0</v>
      </c>
      <c r="N2042" s="414"/>
      <c r="O2042" s="414"/>
      <c r="P2042" s="414"/>
      <c r="Q2042" s="419">
        <f>ROUND(+N2042+O2042+P2042,4)</f>
        <v>0</v>
      </c>
      <c r="R2042" s="419">
        <f>ROUND(IF(+Q2042-H2042&lt;=0,0,Q2042-H2042),4)</f>
        <v>0</v>
      </c>
      <c r="S2042" s="423">
        <v>0.5</v>
      </c>
      <c r="T2042" s="419">
        <f>ROUND(+(R2042*C2042)*S2042,4)</f>
        <v>0</v>
      </c>
      <c r="U2042" s="419">
        <f>ROUND(+J2042+M2042+T2042,4)</f>
        <v>0</v>
      </c>
      <c r="V2042" s="235"/>
    </row>
    <row r="2043" spans="1:22" ht="15.75" x14ac:dyDescent="0.25">
      <c r="A2043" s="231"/>
      <c r="B2043" s="232"/>
      <c r="C2043" s="400"/>
      <c r="D2043" s="233"/>
      <c r="E2043" s="405"/>
      <c r="F2043" s="405"/>
      <c r="G2043" s="405"/>
      <c r="H2043" s="408">
        <f>ROUND(+E2043+F2043+G2043,4)</f>
        <v>0</v>
      </c>
      <c r="I2043" s="234"/>
      <c r="J2043" s="411"/>
      <c r="K2043" s="411"/>
      <c r="L2043" s="414">
        <v>0.1</v>
      </c>
      <c r="M2043" s="414">
        <f>ROUND(+L2043*C2043,4)</f>
        <v>0</v>
      </c>
      <c r="N2043" s="414"/>
      <c r="O2043" s="414"/>
      <c r="P2043" s="414"/>
      <c r="Q2043" s="419">
        <f>ROUND(+N2043+O2043+P2043,4)</f>
        <v>0</v>
      </c>
      <c r="R2043" s="419">
        <f>ROUND(IF(+Q2043-H2043&lt;=0,0,Q2043-H2043),4)</f>
        <v>0</v>
      </c>
      <c r="S2043" s="423">
        <v>0.5</v>
      </c>
      <c r="T2043" s="419">
        <f>ROUND(+(R2043*C2043)*S2043,4)</f>
        <v>0</v>
      </c>
      <c r="U2043" s="419">
        <f>ROUND(+J2043+M2043+T2043,4)</f>
        <v>0</v>
      </c>
      <c r="V2043" s="235"/>
    </row>
    <row r="2044" spans="1:22" ht="15.75" x14ac:dyDescent="0.25">
      <c r="A2044" s="231"/>
      <c r="B2044" s="232"/>
      <c r="C2044" s="400"/>
      <c r="D2044" s="233"/>
      <c r="E2044" s="405"/>
      <c r="F2044" s="405"/>
      <c r="G2044" s="405"/>
      <c r="H2044" s="408">
        <f>ROUND(+E2044+F2044+G2044,4)</f>
        <v>0</v>
      </c>
      <c r="I2044" s="234"/>
      <c r="J2044" s="411"/>
      <c r="K2044" s="411"/>
      <c r="L2044" s="414">
        <v>0.1</v>
      </c>
      <c r="M2044" s="414">
        <f>ROUND(+L2044*C2044,4)</f>
        <v>0</v>
      </c>
      <c r="N2044" s="414"/>
      <c r="O2044" s="414"/>
      <c r="P2044" s="414"/>
      <c r="Q2044" s="419">
        <f>ROUND(+N2044+O2044+P2044,4)</f>
        <v>0</v>
      </c>
      <c r="R2044" s="419">
        <f>ROUND(IF(+Q2044-H2044&lt;=0,0,Q2044-H2044),4)</f>
        <v>0</v>
      </c>
      <c r="S2044" s="423">
        <v>0.5</v>
      </c>
      <c r="T2044" s="419">
        <f>ROUND(+(R2044*C2044)*S2044,4)</f>
        <v>0</v>
      </c>
      <c r="U2044" s="419">
        <f>ROUND(+J2044+M2044+T2044,4)</f>
        <v>0</v>
      </c>
      <c r="V2044" s="235"/>
    </row>
    <row r="2045" spans="1:22" ht="15.75" x14ac:dyDescent="0.25">
      <c r="A2045" s="231"/>
      <c r="B2045" s="232"/>
      <c r="C2045" s="400"/>
      <c r="D2045" s="233"/>
      <c r="E2045" s="405"/>
      <c r="F2045" s="405"/>
      <c r="G2045" s="405"/>
      <c r="H2045" s="408">
        <f>ROUND(+E2045+F2045+G2045,4)</f>
        <v>0</v>
      </c>
      <c r="I2045" s="234"/>
      <c r="J2045" s="411"/>
      <c r="K2045" s="411"/>
      <c r="L2045" s="414">
        <v>0.1</v>
      </c>
      <c r="M2045" s="414">
        <f>ROUND(+L2045*C2045,4)</f>
        <v>0</v>
      </c>
      <c r="N2045" s="414"/>
      <c r="O2045" s="414"/>
      <c r="P2045" s="414"/>
      <c r="Q2045" s="419">
        <f>ROUND(+N2045+O2045+P2045,4)</f>
        <v>0</v>
      </c>
      <c r="R2045" s="419">
        <f>ROUND(IF(+Q2045-H2045&lt;=0,0,Q2045-H2045),4)</f>
        <v>0</v>
      </c>
      <c r="S2045" s="423">
        <v>0.5</v>
      </c>
      <c r="T2045" s="419">
        <f>ROUND(+(R2045*C2045)*S2045,4)</f>
        <v>0</v>
      </c>
      <c r="U2045" s="419">
        <f>ROUND(+J2045+M2045+T2045,4)</f>
        <v>0</v>
      </c>
      <c r="V2045" s="235"/>
    </row>
    <row r="2046" spans="1:22" ht="15.75" x14ac:dyDescent="0.25">
      <c r="A2046" s="231"/>
      <c r="B2046" s="232"/>
      <c r="C2046" s="400"/>
      <c r="D2046" s="233"/>
      <c r="E2046" s="405"/>
      <c r="F2046" s="405"/>
      <c r="G2046" s="405"/>
      <c r="H2046" s="408">
        <f>ROUND(+E2046+F2046+G2046,4)</f>
        <v>0</v>
      </c>
      <c r="I2046" s="234"/>
      <c r="J2046" s="411"/>
      <c r="K2046" s="411"/>
      <c r="L2046" s="414">
        <v>0.1</v>
      </c>
      <c r="M2046" s="414">
        <f>ROUND(+L2046*C2046,4)</f>
        <v>0</v>
      </c>
      <c r="N2046" s="414"/>
      <c r="O2046" s="414"/>
      <c r="P2046" s="414"/>
      <c r="Q2046" s="419">
        <f>ROUND(+N2046+O2046+P2046,4)</f>
        <v>0</v>
      </c>
      <c r="R2046" s="419">
        <f>ROUND(IF(+Q2046-H2046&lt;=0,0,Q2046-H2046),4)</f>
        <v>0</v>
      </c>
      <c r="S2046" s="423">
        <v>0.5</v>
      </c>
      <c r="T2046" s="419">
        <f>ROUND(+(R2046*C2046)*S2046,4)</f>
        <v>0</v>
      </c>
      <c r="U2046" s="419">
        <f>ROUND(+J2046+M2046+T2046,4)</f>
        <v>0</v>
      </c>
      <c r="V2046" s="235"/>
    </row>
    <row r="2047" spans="1:22" ht="15.75" x14ac:dyDescent="0.25">
      <c r="A2047" s="231"/>
      <c r="B2047" s="232"/>
      <c r="C2047" s="400"/>
      <c r="D2047" s="233"/>
      <c r="E2047" s="405"/>
      <c r="F2047" s="405"/>
      <c r="G2047" s="405"/>
      <c r="H2047" s="408">
        <f>ROUND(+E2047+F2047+G2047,4)</f>
        <v>0</v>
      </c>
      <c r="I2047" s="234"/>
      <c r="J2047" s="411"/>
      <c r="K2047" s="411"/>
      <c r="L2047" s="414">
        <v>0.1</v>
      </c>
      <c r="M2047" s="414">
        <f>ROUND(+L2047*C2047,4)</f>
        <v>0</v>
      </c>
      <c r="N2047" s="414"/>
      <c r="O2047" s="414"/>
      <c r="P2047" s="414"/>
      <c r="Q2047" s="419">
        <f>ROUND(+N2047+O2047+P2047,4)</f>
        <v>0</v>
      </c>
      <c r="R2047" s="419">
        <f>ROUND(IF(+Q2047-H2047&lt;=0,0,Q2047-H2047),4)</f>
        <v>0</v>
      </c>
      <c r="S2047" s="423">
        <v>0.5</v>
      </c>
      <c r="T2047" s="419">
        <f>ROUND(+(R2047*C2047)*S2047,4)</f>
        <v>0</v>
      </c>
      <c r="U2047" s="419">
        <f>ROUND(+J2047+M2047+T2047,4)</f>
        <v>0</v>
      </c>
      <c r="V2047" s="235"/>
    </row>
    <row r="2048" spans="1:22" ht="15.75" x14ac:dyDescent="0.25">
      <c r="A2048" s="231"/>
      <c r="B2048" s="232"/>
      <c r="C2048" s="400"/>
      <c r="D2048" s="233"/>
      <c r="E2048" s="405"/>
      <c r="F2048" s="405"/>
      <c r="G2048" s="405"/>
      <c r="H2048" s="408">
        <f>ROUND(+E2048+F2048+G2048,4)</f>
        <v>0</v>
      </c>
      <c r="I2048" s="234"/>
      <c r="J2048" s="411"/>
      <c r="K2048" s="411"/>
      <c r="L2048" s="414">
        <v>0.1</v>
      </c>
      <c r="M2048" s="414">
        <f>ROUND(+L2048*C2048,4)</f>
        <v>0</v>
      </c>
      <c r="N2048" s="414"/>
      <c r="O2048" s="414"/>
      <c r="P2048" s="414"/>
      <c r="Q2048" s="419">
        <f>ROUND(+N2048+O2048+P2048,4)</f>
        <v>0</v>
      </c>
      <c r="R2048" s="419">
        <f>ROUND(IF(+Q2048-H2048&lt;=0,0,Q2048-H2048),4)</f>
        <v>0</v>
      </c>
      <c r="S2048" s="423">
        <v>0.5</v>
      </c>
      <c r="T2048" s="419">
        <f>ROUND(+(R2048*C2048)*S2048,4)</f>
        <v>0</v>
      </c>
      <c r="U2048" s="419">
        <f>ROUND(+J2048+M2048+T2048,4)</f>
        <v>0</v>
      </c>
      <c r="V2048" s="235"/>
    </row>
    <row r="2049" spans="1:22" ht="15.75" x14ac:dyDescent="0.25">
      <c r="A2049" s="231"/>
      <c r="B2049" s="232"/>
      <c r="C2049" s="400"/>
      <c r="D2049" s="233"/>
      <c r="E2049" s="405"/>
      <c r="F2049" s="405"/>
      <c r="G2049" s="405"/>
      <c r="H2049" s="408">
        <f>ROUND(+E2049+F2049+G2049,4)</f>
        <v>0</v>
      </c>
      <c r="I2049" s="234"/>
      <c r="J2049" s="411"/>
      <c r="K2049" s="411"/>
      <c r="L2049" s="414">
        <v>0.1</v>
      </c>
      <c r="M2049" s="414">
        <f>ROUND(+L2049*C2049,4)</f>
        <v>0</v>
      </c>
      <c r="N2049" s="414"/>
      <c r="O2049" s="414"/>
      <c r="P2049" s="414"/>
      <c r="Q2049" s="419">
        <f>ROUND(+N2049+O2049+P2049,4)</f>
        <v>0</v>
      </c>
      <c r="R2049" s="419">
        <f>ROUND(IF(+Q2049-H2049&lt;=0,0,Q2049-H2049),4)</f>
        <v>0</v>
      </c>
      <c r="S2049" s="423">
        <v>0.5</v>
      </c>
      <c r="T2049" s="419">
        <f>ROUND(+(R2049*C2049)*S2049,4)</f>
        <v>0</v>
      </c>
      <c r="U2049" s="419">
        <f>ROUND(+J2049+M2049+T2049,4)</f>
        <v>0</v>
      </c>
      <c r="V2049" s="235"/>
    </row>
    <row r="2050" spans="1:22" ht="15.75" x14ac:dyDescent="0.25">
      <c r="A2050" s="231"/>
      <c r="B2050" s="232"/>
      <c r="C2050" s="400"/>
      <c r="D2050" s="233"/>
      <c r="E2050" s="405"/>
      <c r="F2050" s="405"/>
      <c r="G2050" s="405"/>
      <c r="H2050" s="408">
        <f>ROUND(+E2050+F2050+G2050,4)</f>
        <v>0</v>
      </c>
      <c r="I2050" s="234"/>
      <c r="J2050" s="411"/>
      <c r="K2050" s="411"/>
      <c r="L2050" s="414">
        <v>0.1</v>
      </c>
      <c r="M2050" s="414">
        <f>ROUND(+L2050*C2050,4)</f>
        <v>0</v>
      </c>
      <c r="N2050" s="414"/>
      <c r="O2050" s="414"/>
      <c r="P2050" s="414"/>
      <c r="Q2050" s="419">
        <f>ROUND(+N2050+O2050+P2050,4)</f>
        <v>0</v>
      </c>
      <c r="R2050" s="419">
        <f>ROUND(IF(+Q2050-H2050&lt;=0,0,Q2050-H2050),4)</f>
        <v>0</v>
      </c>
      <c r="S2050" s="423">
        <v>0.5</v>
      </c>
      <c r="T2050" s="419">
        <f>ROUND(+(R2050*C2050)*S2050,4)</f>
        <v>0</v>
      </c>
      <c r="U2050" s="419">
        <f>ROUND(+J2050+M2050+T2050,4)</f>
        <v>0</v>
      </c>
      <c r="V2050" s="235"/>
    </row>
    <row r="2051" spans="1:22" ht="15.75" x14ac:dyDescent="0.25">
      <c r="A2051" s="231"/>
      <c r="B2051" s="232"/>
      <c r="C2051" s="400"/>
      <c r="D2051" s="233"/>
      <c r="E2051" s="405"/>
      <c r="F2051" s="405"/>
      <c r="G2051" s="405"/>
      <c r="H2051" s="408">
        <f>ROUND(+E2051+F2051+G2051,4)</f>
        <v>0</v>
      </c>
      <c r="I2051" s="234"/>
      <c r="J2051" s="411"/>
      <c r="K2051" s="411"/>
      <c r="L2051" s="414">
        <v>0.1</v>
      </c>
      <c r="M2051" s="414">
        <f>ROUND(+L2051*C2051,4)</f>
        <v>0</v>
      </c>
      <c r="N2051" s="414"/>
      <c r="O2051" s="414"/>
      <c r="P2051" s="414"/>
      <c r="Q2051" s="419">
        <f>ROUND(+N2051+O2051+P2051,4)</f>
        <v>0</v>
      </c>
      <c r="R2051" s="419">
        <f>ROUND(IF(+Q2051-H2051&lt;=0,0,Q2051-H2051),4)</f>
        <v>0</v>
      </c>
      <c r="S2051" s="423">
        <v>0.5</v>
      </c>
      <c r="T2051" s="419">
        <f>ROUND(+(R2051*C2051)*S2051,4)</f>
        <v>0</v>
      </c>
      <c r="U2051" s="419">
        <f>ROUND(+J2051+M2051+T2051,4)</f>
        <v>0</v>
      </c>
      <c r="V2051" s="235"/>
    </row>
    <row r="2052" spans="1:22" ht="15.75" x14ac:dyDescent="0.25">
      <c r="A2052" s="231"/>
      <c r="B2052" s="232"/>
      <c r="C2052" s="400"/>
      <c r="D2052" s="233"/>
      <c r="E2052" s="405"/>
      <c r="F2052" s="405"/>
      <c r="G2052" s="405"/>
      <c r="H2052" s="408">
        <f>ROUND(+E2052+F2052+G2052,4)</f>
        <v>0</v>
      </c>
      <c r="I2052" s="234"/>
      <c r="J2052" s="411"/>
      <c r="K2052" s="411"/>
      <c r="L2052" s="414">
        <v>0.1</v>
      </c>
      <c r="M2052" s="414">
        <f>ROUND(+L2052*C2052,4)</f>
        <v>0</v>
      </c>
      <c r="N2052" s="414"/>
      <c r="O2052" s="414"/>
      <c r="P2052" s="414"/>
      <c r="Q2052" s="419">
        <f>ROUND(+N2052+O2052+P2052,4)</f>
        <v>0</v>
      </c>
      <c r="R2052" s="419">
        <f>ROUND(IF(+Q2052-H2052&lt;=0,0,Q2052-H2052),4)</f>
        <v>0</v>
      </c>
      <c r="S2052" s="423">
        <v>0.5</v>
      </c>
      <c r="T2052" s="419">
        <f>ROUND(+(R2052*C2052)*S2052,4)</f>
        <v>0</v>
      </c>
      <c r="U2052" s="419">
        <f>ROUND(+J2052+M2052+T2052,4)</f>
        <v>0</v>
      </c>
      <c r="V2052" s="235"/>
    </row>
    <row r="2053" spans="1:22" ht="15.75" x14ac:dyDescent="0.25">
      <c r="A2053" s="231"/>
      <c r="B2053" s="232"/>
      <c r="C2053" s="400"/>
      <c r="D2053" s="233"/>
      <c r="E2053" s="405"/>
      <c r="F2053" s="405"/>
      <c r="G2053" s="405"/>
      <c r="H2053" s="408">
        <f>ROUND(+E2053+F2053+G2053,4)</f>
        <v>0</v>
      </c>
      <c r="I2053" s="234"/>
      <c r="J2053" s="411"/>
      <c r="K2053" s="411"/>
      <c r="L2053" s="414">
        <v>0.1</v>
      </c>
      <c r="M2053" s="414">
        <f>ROUND(+L2053*C2053,4)</f>
        <v>0</v>
      </c>
      <c r="N2053" s="414"/>
      <c r="O2053" s="414"/>
      <c r="P2053" s="414"/>
      <c r="Q2053" s="419">
        <f>ROUND(+N2053+O2053+P2053,4)</f>
        <v>0</v>
      </c>
      <c r="R2053" s="419">
        <f>ROUND(IF(+Q2053-H2053&lt;=0,0,Q2053-H2053),4)</f>
        <v>0</v>
      </c>
      <c r="S2053" s="423">
        <v>0.5</v>
      </c>
      <c r="T2053" s="419">
        <f>ROUND(+(R2053*C2053)*S2053,4)</f>
        <v>0</v>
      </c>
      <c r="U2053" s="419">
        <f>ROUND(+J2053+M2053+T2053,4)</f>
        <v>0</v>
      </c>
      <c r="V2053" s="235"/>
    </row>
    <row r="2054" spans="1:22" ht="15.75" x14ac:dyDescent="0.25">
      <c r="A2054" s="231"/>
      <c r="B2054" s="232"/>
      <c r="C2054" s="400"/>
      <c r="D2054" s="233"/>
      <c r="E2054" s="405"/>
      <c r="F2054" s="405"/>
      <c r="G2054" s="405"/>
      <c r="H2054" s="408">
        <f>ROUND(+E2054+F2054+G2054,4)</f>
        <v>0</v>
      </c>
      <c r="I2054" s="234"/>
      <c r="J2054" s="411"/>
      <c r="K2054" s="411"/>
      <c r="L2054" s="414">
        <v>0.1</v>
      </c>
      <c r="M2054" s="414">
        <f>ROUND(+L2054*C2054,4)</f>
        <v>0</v>
      </c>
      <c r="N2054" s="414"/>
      <c r="O2054" s="414"/>
      <c r="P2054" s="414"/>
      <c r="Q2054" s="419">
        <f>ROUND(+N2054+O2054+P2054,4)</f>
        <v>0</v>
      </c>
      <c r="R2054" s="419">
        <f>ROUND(IF(+Q2054-H2054&lt;=0,0,Q2054-H2054),4)</f>
        <v>0</v>
      </c>
      <c r="S2054" s="423">
        <v>0.5</v>
      </c>
      <c r="T2054" s="419">
        <f>ROUND(+(R2054*C2054)*S2054,4)</f>
        <v>0</v>
      </c>
      <c r="U2054" s="419">
        <f>ROUND(+J2054+M2054+T2054,4)</f>
        <v>0</v>
      </c>
      <c r="V2054" s="235"/>
    </row>
    <row r="2055" spans="1:22" ht="15.75" x14ac:dyDescent="0.25">
      <c r="A2055" s="231"/>
      <c r="B2055" s="232"/>
      <c r="C2055" s="400"/>
      <c r="D2055" s="233"/>
      <c r="E2055" s="405"/>
      <c r="F2055" s="405"/>
      <c r="G2055" s="405"/>
      <c r="H2055" s="408">
        <f>ROUND(+E2055+F2055+G2055,4)</f>
        <v>0</v>
      </c>
      <c r="I2055" s="234"/>
      <c r="J2055" s="411"/>
      <c r="K2055" s="411"/>
      <c r="L2055" s="414">
        <v>0.1</v>
      </c>
      <c r="M2055" s="414">
        <f>ROUND(+L2055*C2055,4)</f>
        <v>0</v>
      </c>
      <c r="N2055" s="414"/>
      <c r="O2055" s="414"/>
      <c r="P2055" s="414"/>
      <c r="Q2055" s="419">
        <f>ROUND(+N2055+O2055+P2055,4)</f>
        <v>0</v>
      </c>
      <c r="R2055" s="419">
        <f>ROUND(IF(+Q2055-H2055&lt;=0,0,Q2055-H2055),4)</f>
        <v>0</v>
      </c>
      <c r="S2055" s="423">
        <v>0.5</v>
      </c>
      <c r="T2055" s="419">
        <f>ROUND(+(R2055*C2055)*S2055,4)</f>
        <v>0</v>
      </c>
      <c r="U2055" s="419">
        <f>ROUND(+J2055+M2055+T2055,4)</f>
        <v>0</v>
      </c>
      <c r="V2055" s="235"/>
    </row>
    <row r="2056" spans="1:22" ht="15.75" x14ac:dyDescent="0.25">
      <c r="A2056" s="231"/>
      <c r="B2056" s="232"/>
      <c r="C2056" s="400"/>
      <c r="D2056" s="233"/>
      <c r="E2056" s="405"/>
      <c r="F2056" s="405"/>
      <c r="G2056" s="405"/>
      <c r="H2056" s="408">
        <f>ROUND(+E2056+F2056+G2056,4)</f>
        <v>0</v>
      </c>
      <c r="I2056" s="234"/>
      <c r="J2056" s="411"/>
      <c r="K2056" s="411"/>
      <c r="L2056" s="414">
        <v>0.1</v>
      </c>
      <c r="M2056" s="414">
        <f>ROUND(+L2056*C2056,4)</f>
        <v>0</v>
      </c>
      <c r="N2056" s="414"/>
      <c r="O2056" s="414"/>
      <c r="P2056" s="414"/>
      <c r="Q2056" s="419">
        <f>ROUND(+N2056+O2056+P2056,4)</f>
        <v>0</v>
      </c>
      <c r="R2056" s="419">
        <f>ROUND(IF(+Q2056-H2056&lt;=0,0,Q2056-H2056),4)</f>
        <v>0</v>
      </c>
      <c r="S2056" s="423">
        <v>0.5</v>
      </c>
      <c r="T2056" s="419">
        <f>ROUND(+(R2056*C2056)*S2056,4)</f>
        <v>0</v>
      </c>
      <c r="U2056" s="419">
        <f>ROUND(+J2056+M2056+T2056,4)</f>
        <v>0</v>
      </c>
      <c r="V2056" s="235"/>
    </row>
    <row r="2057" spans="1:22" ht="15.75" x14ac:dyDescent="0.25">
      <c r="A2057" s="231"/>
      <c r="B2057" s="232"/>
      <c r="C2057" s="400"/>
      <c r="D2057" s="233"/>
      <c r="E2057" s="405"/>
      <c r="F2057" s="405"/>
      <c r="G2057" s="405"/>
      <c r="H2057" s="408">
        <f>ROUND(+E2057+F2057+G2057,4)</f>
        <v>0</v>
      </c>
      <c r="I2057" s="234"/>
      <c r="J2057" s="411"/>
      <c r="K2057" s="411"/>
      <c r="L2057" s="414">
        <v>0.1</v>
      </c>
      <c r="M2057" s="414">
        <f>ROUND(+L2057*C2057,4)</f>
        <v>0</v>
      </c>
      <c r="N2057" s="414"/>
      <c r="O2057" s="414"/>
      <c r="P2057" s="414"/>
      <c r="Q2057" s="419">
        <f>ROUND(+N2057+O2057+P2057,4)</f>
        <v>0</v>
      </c>
      <c r="R2057" s="419">
        <f>ROUND(IF(+Q2057-H2057&lt;=0,0,Q2057-H2057),4)</f>
        <v>0</v>
      </c>
      <c r="S2057" s="423">
        <v>0.5</v>
      </c>
      <c r="T2057" s="419">
        <f>ROUND(+(R2057*C2057)*S2057,4)</f>
        <v>0</v>
      </c>
      <c r="U2057" s="419">
        <f>ROUND(+J2057+M2057+T2057,4)</f>
        <v>0</v>
      </c>
      <c r="V2057" s="235"/>
    </row>
    <row r="2058" spans="1:22" ht="15.75" x14ac:dyDescent="0.25">
      <c r="A2058" s="231"/>
      <c r="B2058" s="232"/>
      <c r="C2058" s="400"/>
      <c r="D2058" s="233"/>
      <c r="E2058" s="405"/>
      <c r="F2058" s="405"/>
      <c r="G2058" s="405"/>
      <c r="H2058" s="408">
        <f>ROUND(+E2058+F2058+G2058,4)</f>
        <v>0</v>
      </c>
      <c r="I2058" s="234"/>
      <c r="J2058" s="411"/>
      <c r="K2058" s="411"/>
      <c r="L2058" s="414">
        <v>0.1</v>
      </c>
      <c r="M2058" s="414">
        <f>ROUND(+L2058*C2058,4)</f>
        <v>0</v>
      </c>
      <c r="N2058" s="414"/>
      <c r="O2058" s="414"/>
      <c r="P2058" s="414"/>
      <c r="Q2058" s="419">
        <f>ROUND(+N2058+O2058+P2058,4)</f>
        <v>0</v>
      </c>
      <c r="R2058" s="419">
        <f>ROUND(IF(+Q2058-H2058&lt;=0,0,Q2058-H2058),4)</f>
        <v>0</v>
      </c>
      <c r="S2058" s="423">
        <v>0.5</v>
      </c>
      <c r="T2058" s="419">
        <f>ROUND(+(R2058*C2058)*S2058,4)</f>
        <v>0</v>
      </c>
      <c r="U2058" s="419">
        <f>ROUND(+J2058+M2058+T2058,4)</f>
        <v>0</v>
      </c>
      <c r="V2058" s="235"/>
    </row>
    <row r="2059" spans="1:22" ht="15.75" x14ac:dyDescent="0.25">
      <c r="A2059" s="231"/>
      <c r="B2059" s="232"/>
      <c r="C2059" s="400"/>
      <c r="D2059" s="233"/>
      <c r="E2059" s="405"/>
      <c r="F2059" s="405"/>
      <c r="G2059" s="405"/>
      <c r="H2059" s="408">
        <f>ROUND(+E2059+F2059+G2059,4)</f>
        <v>0</v>
      </c>
      <c r="I2059" s="234"/>
      <c r="J2059" s="411"/>
      <c r="K2059" s="411"/>
      <c r="L2059" s="414">
        <v>0.1</v>
      </c>
      <c r="M2059" s="414">
        <f>ROUND(+L2059*C2059,4)</f>
        <v>0</v>
      </c>
      <c r="N2059" s="414"/>
      <c r="O2059" s="414"/>
      <c r="P2059" s="414"/>
      <c r="Q2059" s="419">
        <f>ROUND(+N2059+O2059+P2059,4)</f>
        <v>0</v>
      </c>
      <c r="R2059" s="419">
        <f>ROUND(IF(+Q2059-H2059&lt;=0,0,Q2059-H2059),4)</f>
        <v>0</v>
      </c>
      <c r="S2059" s="423">
        <v>0.5</v>
      </c>
      <c r="T2059" s="419">
        <f>ROUND(+(R2059*C2059)*S2059,4)</f>
        <v>0</v>
      </c>
      <c r="U2059" s="419">
        <f>ROUND(+J2059+M2059+T2059,4)</f>
        <v>0</v>
      </c>
      <c r="V2059" s="235"/>
    </row>
    <row r="2060" spans="1:22" ht="15.75" x14ac:dyDescent="0.25">
      <c r="A2060" s="231"/>
      <c r="B2060" s="232"/>
      <c r="C2060" s="400"/>
      <c r="D2060" s="233"/>
      <c r="E2060" s="405"/>
      <c r="F2060" s="405"/>
      <c r="G2060" s="405"/>
      <c r="H2060" s="408">
        <f>ROUND(+E2060+F2060+G2060,4)</f>
        <v>0</v>
      </c>
      <c r="I2060" s="234"/>
      <c r="J2060" s="411"/>
      <c r="K2060" s="411"/>
      <c r="L2060" s="414">
        <v>0.1</v>
      </c>
      <c r="M2060" s="414">
        <f>ROUND(+L2060*C2060,4)</f>
        <v>0</v>
      </c>
      <c r="N2060" s="414"/>
      <c r="O2060" s="414"/>
      <c r="P2060" s="414"/>
      <c r="Q2060" s="419">
        <f>ROUND(+N2060+O2060+P2060,4)</f>
        <v>0</v>
      </c>
      <c r="R2060" s="419">
        <f>ROUND(IF(+Q2060-H2060&lt;=0,0,Q2060-H2060),4)</f>
        <v>0</v>
      </c>
      <c r="S2060" s="423">
        <v>0.5</v>
      </c>
      <c r="T2060" s="419">
        <f>ROUND(+(R2060*C2060)*S2060,4)</f>
        <v>0</v>
      </c>
      <c r="U2060" s="419">
        <f>ROUND(+J2060+M2060+T2060,4)</f>
        <v>0</v>
      </c>
      <c r="V2060" s="235"/>
    </row>
    <row r="2061" spans="1:22" ht="15.75" x14ac:dyDescent="0.25">
      <c r="A2061" s="231"/>
      <c r="B2061" s="232"/>
      <c r="C2061" s="400"/>
      <c r="D2061" s="233"/>
      <c r="E2061" s="405"/>
      <c r="F2061" s="405"/>
      <c r="G2061" s="405"/>
      <c r="H2061" s="408">
        <f>ROUND(+E2061+F2061+G2061,4)</f>
        <v>0</v>
      </c>
      <c r="I2061" s="234"/>
      <c r="J2061" s="411"/>
      <c r="K2061" s="411"/>
      <c r="L2061" s="414">
        <v>0.1</v>
      </c>
      <c r="M2061" s="414">
        <f>ROUND(+L2061*C2061,4)</f>
        <v>0</v>
      </c>
      <c r="N2061" s="414"/>
      <c r="O2061" s="414"/>
      <c r="P2061" s="414"/>
      <c r="Q2061" s="419">
        <f>ROUND(+N2061+O2061+P2061,4)</f>
        <v>0</v>
      </c>
      <c r="R2061" s="419">
        <f>ROUND(IF(+Q2061-H2061&lt;=0,0,Q2061-H2061),4)</f>
        <v>0</v>
      </c>
      <c r="S2061" s="423">
        <v>0.5</v>
      </c>
      <c r="T2061" s="419">
        <f>ROUND(+(R2061*C2061)*S2061,4)</f>
        <v>0</v>
      </c>
      <c r="U2061" s="419">
        <f>ROUND(+J2061+M2061+T2061,4)</f>
        <v>0</v>
      </c>
      <c r="V2061" s="235"/>
    </row>
    <row r="2062" spans="1:22" ht="15.75" x14ac:dyDescent="0.25">
      <c r="A2062" s="231"/>
      <c r="B2062" s="232"/>
      <c r="C2062" s="400"/>
      <c r="D2062" s="233"/>
      <c r="E2062" s="405"/>
      <c r="F2062" s="405"/>
      <c r="G2062" s="405"/>
      <c r="H2062" s="408">
        <f>ROUND(+E2062+F2062+G2062,4)</f>
        <v>0</v>
      </c>
      <c r="I2062" s="234"/>
      <c r="J2062" s="411"/>
      <c r="K2062" s="411"/>
      <c r="L2062" s="414">
        <v>0.1</v>
      </c>
      <c r="M2062" s="414">
        <f>ROUND(+L2062*C2062,4)</f>
        <v>0</v>
      </c>
      <c r="N2062" s="414"/>
      <c r="O2062" s="414"/>
      <c r="P2062" s="414"/>
      <c r="Q2062" s="419">
        <f>ROUND(+N2062+O2062+P2062,4)</f>
        <v>0</v>
      </c>
      <c r="R2062" s="419">
        <f>ROUND(IF(+Q2062-H2062&lt;=0,0,Q2062-H2062),4)</f>
        <v>0</v>
      </c>
      <c r="S2062" s="423">
        <v>0.5</v>
      </c>
      <c r="T2062" s="419">
        <f>ROUND(+(R2062*C2062)*S2062,4)</f>
        <v>0</v>
      </c>
      <c r="U2062" s="419">
        <f>ROUND(+J2062+M2062+T2062,4)</f>
        <v>0</v>
      </c>
      <c r="V2062" s="235"/>
    </row>
    <row r="2063" spans="1:22" ht="15.75" x14ac:dyDescent="0.25">
      <c r="A2063" s="231"/>
      <c r="B2063" s="232"/>
      <c r="C2063" s="400"/>
      <c r="D2063" s="233"/>
      <c r="E2063" s="405"/>
      <c r="F2063" s="405"/>
      <c r="G2063" s="405"/>
      <c r="H2063" s="408">
        <f>ROUND(+E2063+F2063+G2063,4)</f>
        <v>0</v>
      </c>
      <c r="I2063" s="234"/>
      <c r="J2063" s="411"/>
      <c r="K2063" s="411"/>
      <c r="L2063" s="414">
        <v>0.1</v>
      </c>
      <c r="M2063" s="414">
        <f>ROUND(+L2063*C2063,4)</f>
        <v>0</v>
      </c>
      <c r="N2063" s="414"/>
      <c r="O2063" s="414"/>
      <c r="P2063" s="414"/>
      <c r="Q2063" s="419">
        <f>ROUND(+N2063+O2063+P2063,4)</f>
        <v>0</v>
      </c>
      <c r="R2063" s="419">
        <f>ROUND(IF(+Q2063-H2063&lt;=0,0,Q2063-H2063),4)</f>
        <v>0</v>
      </c>
      <c r="S2063" s="423">
        <v>0.5</v>
      </c>
      <c r="T2063" s="419">
        <f>ROUND(+(R2063*C2063)*S2063,4)</f>
        <v>0</v>
      </c>
      <c r="U2063" s="419">
        <f>ROUND(+J2063+M2063+T2063,4)</f>
        <v>0</v>
      </c>
      <c r="V2063" s="235"/>
    </row>
    <row r="2064" spans="1:22" ht="15.75" x14ac:dyDescent="0.25">
      <c r="A2064" s="231"/>
      <c r="B2064" s="232"/>
      <c r="C2064" s="400"/>
      <c r="D2064" s="233"/>
      <c r="E2064" s="405"/>
      <c r="F2064" s="405"/>
      <c r="G2064" s="405"/>
      <c r="H2064" s="408">
        <f>ROUND(+E2064+F2064+G2064,4)</f>
        <v>0</v>
      </c>
      <c r="I2064" s="234"/>
      <c r="J2064" s="411"/>
      <c r="K2064" s="411"/>
      <c r="L2064" s="414">
        <v>0.1</v>
      </c>
      <c r="M2064" s="414">
        <f>ROUND(+L2064*C2064,4)</f>
        <v>0</v>
      </c>
      <c r="N2064" s="414"/>
      <c r="O2064" s="414"/>
      <c r="P2064" s="414"/>
      <c r="Q2064" s="419">
        <f>ROUND(+N2064+O2064+P2064,4)</f>
        <v>0</v>
      </c>
      <c r="R2064" s="419">
        <f>ROUND(IF(+Q2064-H2064&lt;=0,0,Q2064-H2064),4)</f>
        <v>0</v>
      </c>
      <c r="S2064" s="423">
        <v>0.5</v>
      </c>
      <c r="T2064" s="419">
        <f>ROUND(+(R2064*C2064)*S2064,4)</f>
        <v>0</v>
      </c>
      <c r="U2064" s="419">
        <f>ROUND(+J2064+M2064+T2064,4)</f>
        <v>0</v>
      </c>
      <c r="V2064" s="235"/>
    </row>
    <row r="2065" spans="1:22" ht="15.75" x14ac:dyDescent="0.25">
      <c r="A2065" s="231"/>
      <c r="B2065" s="232"/>
      <c r="C2065" s="400"/>
      <c r="D2065" s="233"/>
      <c r="E2065" s="405"/>
      <c r="F2065" s="405"/>
      <c r="G2065" s="405"/>
      <c r="H2065" s="408">
        <f>ROUND(+E2065+F2065+G2065,4)</f>
        <v>0</v>
      </c>
      <c r="I2065" s="234"/>
      <c r="J2065" s="411"/>
      <c r="K2065" s="411"/>
      <c r="L2065" s="414">
        <v>0.1</v>
      </c>
      <c r="M2065" s="414">
        <f>ROUND(+L2065*C2065,4)</f>
        <v>0</v>
      </c>
      <c r="N2065" s="414"/>
      <c r="O2065" s="414"/>
      <c r="P2065" s="414"/>
      <c r="Q2065" s="419">
        <f>ROUND(+N2065+O2065+P2065,4)</f>
        <v>0</v>
      </c>
      <c r="R2065" s="419">
        <f>ROUND(IF(+Q2065-H2065&lt;=0,0,Q2065-H2065),4)</f>
        <v>0</v>
      </c>
      <c r="S2065" s="423">
        <v>0.5</v>
      </c>
      <c r="T2065" s="419">
        <f>ROUND(+(R2065*C2065)*S2065,4)</f>
        <v>0</v>
      </c>
      <c r="U2065" s="419">
        <f>ROUND(+J2065+M2065+T2065,4)</f>
        <v>0</v>
      </c>
      <c r="V2065" s="235"/>
    </row>
    <row r="2066" spans="1:22" ht="15.75" x14ac:dyDescent="0.25">
      <c r="A2066" s="231"/>
      <c r="B2066" s="232"/>
      <c r="C2066" s="400"/>
      <c r="D2066" s="233"/>
      <c r="E2066" s="405"/>
      <c r="F2066" s="405"/>
      <c r="G2066" s="405"/>
      <c r="H2066" s="408">
        <f>ROUND(+E2066+F2066+G2066,4)</f>
        <v>0</v>
      </c>
      <c r="I2066" s="234"/>
      <c r="J2066" s="411"/>
      <c r="K2066" s="411"/>
      <c r="L2066" s="414">
        <v>0.1</v>
      </c>
      <c r="M2066" s="414">
        <f>ROUND(+L2066*C2066,4)</f>
        <v>0</v>
      </c>
      <c r="N2066" s="414"/>
      <c r="O2066" s="414"/>
      <c r="P2066" s="414"/>
      <c r="Q2066" s="419">
        <f>ROUND(+N2066+O2066+P2066,4)</f>
        <v>0</v>
      </c>
      <c r="R2066" s="419">
        <f>ROUND(IF(+Q2066-H2066&lt;=0,0,Q2066-H2066),4)</f>
        <v>0</v>
      </c>
      <c r="S2066" s="423">
        <v>0.5</v>
      </c>
      <c r="T2066" s="419">
        <f>ROUND(+(R2066*C2066)*S2066,4)</f>
        <v>0</v>
      </c>
      <c r="U2066" s="419">
        <f>ROUND(+J2066+M2066+T2066,4)</f>
        <v>0</v>
      </c>
      <c r="V2066" s="235"/>
    </row>
    <row r="2067" spans="1:22" ht="15.75" x14ac:dyDescent="0.25">
      <c r="A2067" s="231"/>
      <c r="B2067" s="232"/>
      <c r="C2067" s="400"/>
      <c r="D2067" s="233"/>
      <c r="E2067" s="405"/>
      <c r="F2067" s="405"/>
      <c r="G2067" s="405"/>
      <c r="H2067" s="408">
        <f>ROUND(+E2067+F2067+G2067,4)</f>
        <v>0</v>
      </c>
      <c r="I2067" s="234"/>
      <c r="J2067" s="411"/>
      <c r="K2067" s="411"/>
      <c r="L2067" s="414">
        <v>0.1</v>
      </c>
      <c r="M2067" s="414">
        <f>ROUND(+L2067*C2067,4)</f>
        <v>0</v>
      </c>
      <c r="N2067" s="414"/>
      <c r="O2067" s="414"/>
      <c r="P2067" s="414"/>
      <c r="Q2067" s="419">
        <f>ROUND(+N2067+O2067+P2067,4)</f>
        <v>0</v>
      </c>
      <c r="R2067" s="419">
        <f>ROUND(IF(+Q2067-H2067&lt;=0,0,Q2067-H2067),4)</f>
        <v>0</v>
      </c>
      <c r="S2067" s="423">
        <v>0.5</v>
      </c>
      <c r="T2067" s="419">
        <f>ROUND(+(R2067*C2067)*S2067,4)</f>
        <v>0</v>
      </c>
      <c r="U2067" s="419">
        <f>ROUND(+J2067+M2067+T2067,4)</f>
        <v>0</v>
      </c>
      <c r="V2067" s="235"/>
    </row>
    <row r="2068" spans="1:22" ht="15.75" x14ac:dyDescent="0.25">
      <c r="A2068" s="231"/>
      <c r="B2068" s="232"/>
      <c r="C2068" s="400"/>
      <c r="D2068" s="233"/>
      <c r="E2068" s="405"/>
      <c r="F2068" s="405"/>
      <c r="G2068" s="405"/>
      <c r="H2068" s="408">
        <f>ROUND(+E2068+F2068+G2068,4)</f>
        <v>0</v>
      </c>
      <c r="I2068" s="234"/>
      <c r="J2068" s="411"/>
      <c r="K2068" s="411"/>
      <c r="L2068" s="414">
        <v>0.1</v>
      </c>
      <c r="M2068" s="414">
        <f>ROUND(+L2068*C2068,4)</f>
        <v>0</v>
      </c>
      <c r="N2068" s="414"/>
      <c r="O2068" s="414"/>
      <c r="P2068" s="414"/>
      <c r="Q2068" s="419">
        <f>ROUND(+N2068+O2068+P2068,4)</f>
        <v>0</v>
      </c>
      <c r="R2068" s="419">
        <f>ROUND(IF(+Q2068-H2068&lt;=0,0,Q2068-H2068),4)</f>
        <v>0</v>
      </c>
      <c r="S2068" s="423">
        <v>0.5</v>
      </c>
      <c r="T2068" s="419">
        <f>ROUND(+(R2068*C2068)*S2068,4)</f>
        <v>0</v>
      </c>
      <c r="U2068" s="419">
        <f>ROUND(+J2068+M2068+T2068,4)</f>
        <v>0</v>
      </c>
      <c r="V2068" s="235"/>
    </row>
    <row r="2069" spans="1:22" ht="15.75" x14ac:dyDescent="0.25">
      <c r="A2069" s="231"/>
      <c r="B2069" s="232"/>
      <c r="C2069" s="400"/>
      <c r="D2069" s="233"/>
      <c r="E2069" s="405"/>
      <c r="F2069" s="405"/>
      <c r="G2069" s="405"/>
      <c r="H2069" s="408">
        <f>ROUND(+E2069+F2069+G2069,4)</f>
        <v>0</v>
      </c>
      <c r="I2069" s="234"/>
      <c r="J2069" s="411"/>
      <c r="K2069" s="411"/>
      <c r="L2069" s="414">
        <v>0.1</v>
      </c>
      <c r="M2069" s="414">
        <f>ROUND(+L2069*C2069,4)</f>
        <v>0</v>
      </c>
      <c r="N2069" s="414"/>
      <c r="O2069" s="414"/>
      <c r="P2069" s="414"/>
      <c r="Q2069" s="419">
        <f>ROUND(+N2069+O2069+P2069,4)</f>
        <v>0</v>
      </c>
      <c r="R2069" s="419">
        <f>ROUND(IF(+Q2069-H2069&lt;=0,0,Q2069-H2069),4)</f>
        <v>0</v>
      </c>
      <c r="S2069" s="423">
        <v>0.5</v>
      </c>
      <c r="T2069" s="419">
        <f>ROUND(+(R2069*C2069)*S2069,4)</f>
        <v>0</v>
      </c>
      <c r="U2069" s="419">
        <f>ROUND(+J2069+M2069+T2069,4)</f>
        <v>0</v>
      </c>
      <c r="V2069" s="235"/>
    </row>
    <row r="2070" spans="1:22" ht="15.75" x14ac:dyDescent="0.25">
      <c r="A2070" s="231"/>
      <c r="B2070" s="232"/>
      <c r="C2070" s="400"/>
      <c r="D2070" s="233"/>
      <c r="E2070" s="405"/>
      <c r="F2070" s="405"/>
      <c r="G2070" s="405"/>
      <c r="H2070" s="408">
        <f>ROUND(+E2070+F2070+G2070,4)</f>
        <v>0</v>
      </c>
      <c r="I2070" s="234"/>
      <c r="J2070" s="411"/>
      <c r="K2070" s="411"/>
      <c r="L2070" s="414">
        <v>0.1</v>
      </c>
      <c r="M2070" s="414">
        <f>ROUND(+L2070*C2070,4)</f>
        <v>0</v>
      </c>
      <c r="N2070" s="414"/>
      <c r="O2070" s="414"/>
      <c r="P2070" s="414"/>
      <c r="Q2070" s="419">
        <f>ROUND(+N2070+O2070+P2070,4)</f>
        <v>0</v>
      </c>
      <c r="R2070" s="419">
        <f>ROUND(IF(+Q2070-H2070&lt;=0,0,Q2070-H2070),4)</f>
        <v>0</v>
      </c>
      <c r="S2070" s="423">
        <v>0.5</v>
      </c>
      <c r="T2070" s="419">
        <f>ROUND(+(R2070*C2070)*S2070,4)</f>
        <v>0</v>
      </c>
      <c r="U2070" s="419">
        <f>ROUND(+J2070+M2070+T2070,4)</f>
        <v>0</v>
      </c>
      <c r="V2070" s="235"/>
    </row>
    <row r="2071" spans="1:22" ht="15.75" x14ac:dyDescent="0.25">
      <c r="A2071" s="231"/>
      <c r="B2071" s="232"/>
      <c r="C2071" s="400"/>
      <c r="D2071" s="233"/>
      <c r="E2071" s="405"/>
      <c r="F2071" s="405"/>
      <c r="G2071" s="405"/>
      <c r="H2071" s="408">
        <f>ROUND(+E2071+F2071+G2071,4)</f>
        <v>0</v>
      </c>
      <c r="I2071" s="234"/>
      <c r="J2071" s="411"/>
      <c r="K2071" s="411"/>
      <c r="L2071" s="414">
        <v>0.1</v>
      </c>
      <c r="M2071" s="414">
        <f>ROUND(+L2071*C2071,4)</f>
        <v>0</v>
      </c>
      <c r="N2071" s="414"/>
      <c r="O2071" s="414"/>
      <c r="P2071" s="414"/>
      <c r="Q2071" s="419">
        <f>ROUND(+N2071+O2071+P2071,4)</f>
        <v>0</v>
      </c>
      <c r="R2071" s="419">
        <f>ROUND(IF(+Q2071-H2071&lt;=0,0,Q2071-H2071),4)</f>
        <v>0</v>
      </c>
      <c r="S2071" s="423">
        <v>0.5</v>
      </c>
      <c r="T2071" s="419">
        <f>ROUND(+(R2071*C2071)*S2071,4)</f>
        <v>0</v>
      </c>
      <c r="U2071" s="419">
        <f>ROUND(+J2071+M2071+T2071,4)</f>
        <v>0</v>
      </c>
      <c r="V2071" s="235"/>
    </row>
    <row r="2072" spans="1:22" ht="15.75" x14ac:dyDescent="0.25">
      <c r="A2072" s="231"/>
      <c r="B2072" s="232"/>
      <c r="C2072" s="400"/>
      <c r="D2072" s="233"/>
      <c r="E2072" s="405"/>
      <c r="F2072" s="405"/>
      <c r="G2072" s="405"/>
      <c r="H2072" s="408">
        <f>ROUND(+E2072+F2072+G2072,4)</f>
        <v>0</v>
      </c>
      <c r="I2072" s="234"/>
      <c r="J2072" s="411"/>
      <c r="K2072" s="411"/>
      <c r="L2072" s="414">
        <v>0.1</v>
      </c>
      <c r="M2072" s="414">
        <f>ROUND(+L2072*C2072,4)</f>
        <v>0</v>
      </c>
      <c r="N2072" s="414"/>
      <c r="O2072" s="414"/>
      <c r="P2072" s="414"/>
      <c r="Q2072" s="419">
        <f>ROUND(+N2072+O2072+P2072,4)</f>
        <v>0</v>
      </c>
      <c r="R2072" s="419">
        <f>ROUND(IF(+Q2072-H2072&lt;=0,0,Q2072-H2072),4)</f>
        <v>0</v>
      </c>
      <c r="S2072" s="423">
        <v>0.5</v>
      </c>
      <c r="T2072" s="419">
        <f>ROUND(+(R2072*C2072)*S2072,4)</f>
        <v>0</v>
      </c>
      <c r="U2072" s="419">
        <f>ROUND(+J2072+M2072+T2072,4)</f>
        <v>0</v>
      </c>
      <c r="V2072" s="235"/>
    </row>
    <row r="2073" spans="1:22" ht="15.75" x14ac:dyDescent="0.25">
      <c r="A2073" s="231"/>
      <c r="B2073" s="232"/>
      <c r="C2073" s="400"/>
      <c r="D2073" s="233"/>
      <c r="E2073" s="405"/>
      <c r="F2073" s="405"/>
      <c r="G2073" s="405"/>
      <c r="H2073" s="408">
        <f>ROUND(+E2073+F2073+G2073,4)</f>
        <v>0</v>
      </c>
      <c r="I2073" s="234"/>
      <c r="J2073" s="411"/>
      <c r="K2073" s="411"/>
      <c r="L2073" s="414">
        <v>0.1</v>
      </c>
      <c r="M2073" s="414">
        <f>ROUND(+L2073*C2073,4)</f>
        <v>0</v>
      </c>
      <c r="N2073" s="414"/>
      <c r="O2073" s="414"/>
      <c r="P2073" s="414"/>
      <c r="Q2073" s="419">
        <f>ROUND(+N2073+O2073+P2073,4)</f>
        <v>0</v>
      </c>
      <c r="R2073" s="419">
        <f>ROUND(IF(+Q2073-H2073&lt;=0,0,Q2073-H2073),4)</f>
        <v>0</v>
      </c>
      <c r="S2073" s="423">
        <v>0.5</v>
      </c>
      <c r="T2073" s="419">
        <f>ROUND(+(R2073*C2073)*S2073,4)</f>
        <v>0</v>
      </c>
      <c r="U2073" s="419">
        <f>ROUND(+J2073+M2073+T2073,4)</f>
        <v>0</v>
      </c>
      <c r="V2073" s="235"/>
    </row>
    <row r="2074" spans="1:22" ht="15.75" x14ac:dyDescent="0.25">
      <c r="A2074" s="231"/>
      <c r="B2074" s="232"/>
      <c r="C2074" s="400"/>
      <c r="D2074" s="233"/>
      <c r="E2074" s="405"/>
      <c r="F2074" s="405"/>
      <c r="G2074" s="405"/>
      <c r="H2074" s="408">
        <f>ROUND(+E2074+F2074+G2074,4)</f>
        <v>0</v>
      </c>
      <c r="I2074" s="234"/>
      <c r="J2074" s="411"/>
      <c r="K2074" s="411"/>
      <c r="L2074" s="414">
        <v>0.1</v>
      </c>
      <c r="M2074" s="414">
        <f>ROUND(+L2074*C2074,4)</f>
        <v>0</v>
      </c>
      <c r="N2074" s="414"/>
      <c r="O2074" s="414"/>
      <c r="P2074" s="414"/>
      <c r="Q2074" s="419">
        <f>ROUND(+N2074+O2074+P2074,4)</f>
        <v>0</v>
      </c>
      <c r="R2074" s="419">
        <f>ROUND(IF(+Q2074-H2074&lt;=0,0,Q2074-H2074),4)</f>
        <v>0</v>
      </c>
      <c r="S2074" s="423">
        <v>0.5</v>
      </c>
      <c r="T2074" s="419">
        <f>ROUND(+(R2074*C2074)*S2074,4)</f>
        <v>0</v>
      </c>
      <c r="U2074" s="419">
        <f>ROUND(+J2074+M2074+T2074,4)</f>
        <v>0</v>
      </c>
      <c r="V2074" s="235"/>
    </row>
    <row r="2075" spans="1:22" ht="15.75" x14ac:dyDescent="0.25">
      <c r="A2075" s="231"/>
      <c r="B2075" s="232"/>
      <c r="C2075" s="400"/>
      <c r="D2075" s="233"/>
      <c r="E2075" s="405"/>
      <c r="F2075" s="405"/>
      <c r="G2075" s="405"/>
      <c r="H2075" s="408">
        <f>ROUND(+E2075+F2075+G2075,4)</f>
        <v>0</v>
      </c>
      <c r="I2075" s="234"/>
      <c r="J2075" s="411"/>
      <c r="K2075" s="411"/>
      <c r="L2075" s="414">
        <v>0.1</v>
      </c>
      <c r="M2075" s="414">
        <f>ROUND(+L2075*C2075,4)</f>
        <v>0</v>
      </c>
      <c r="N2075" s="414"/>
      <c r="O2075" s="414"/>
      <c r="P2075" s="414"/>
      <c r="Q2075" s="419">
        <f>ROUND(+N2075+O2075+P2075,4)</f>
        <v>0</v>
      </c>
      <c r="R2075" s="419">
        <f>ROUND(IF(+Q2075-H2075&lt;=0,0,Q2075-H2075),4)</f>
        <v>0</v>
      </c>
      <c r="S2075" s="423">
        <v>0.5</v>
      </c>
      <c r="T2075" s="419">
        <f>ROUND(+(R2075*C2075)*S2075,4)</f>
        <v>0</v>
      </c>
      <c r="U2075" s="419">
        <f>ROUND(+J2075+M2075+T2075,4)</f>
        <v>0</v>
      </c>
      <c r="V2075" s="235"/>
    </row>
    <row r="2076" spans="1:22" ht="15.75" x14ac:dyDescent="0.25">
      <c r="A2076" s="231"/>
      <c r="B2076" s="232"/>
      <c r="C2076" s="400"/>
      <c r="D2076" s="233"/>
      <c r="E2076" s="405"/>
      <c r="F2076" s="405"/>
      <c r="G2076" s="405"/>
      <c r="H2076" s="408">
        <f>ROUND(+E2076+F2076+G2076,4)</f>
        <v>0</v>
      </c>
      <c r="I2076" s="234"/>
      <c r="J2076" s="411"/>
      <c r="K2076" s="411"/>
      <c r="L2076" s="414">
        <v>0.1</v>
      </c>
      <c r="M2076" s="414">
        <f>ROUND(+L2076*C2076,4)</f>
        <v>0</v>
      </c>
      <c r="N2076" s="414"/>
      <c r="O2076" s="414"/>
      <c r="P2076" s="414"/>
      <c r="Q2076" s="419">
        <f>ROUND(+N2076+O2076+P2076,4)</f>
        <v>0</v>
      </c>
      <c r="R2076" s="419">
        <f>ROUND(IF(+Q2076-H2076&lt;=0,0,Q2076-H2076),4)</f>
        <v>0</v>
      </c>
      <c r="S2076" s="423">
        <v>0.5</v>
      </c>
      <c r="T2076" s="419">
        <f>ROUND(+(R2076*C2076)*S2076,4)</f>
        <v>0</v>
      </c>
      <c r="U2076" s="419">
        <f>ROUND(+J2076+M2076+T2076,4)</f>
        <v>0</v>
      </c>
      <c r="V2076" s="235"/>
    </row>
    <row r="2077" spans="1:22" ht="15.75" x14ac:dyDescent="0.25">
      <c r="A2077" s="231"/>
      <c r="B2077" s="232"/>
      <c r="C2077" s="400"/>
      <c r="D2077" s="233"/>
      <c r="E2077" s="405"/>
      <c r="F2077" s="405"/>
      <c r="G2077" s="405"/>
      <c r="H2077" s="408">
        <f>ROUND(+E2077+F2077+G2077,4)</f>
        <v>0</v>
      </c>
      <c r="I2077" s="234"/>
      <c r="J2077" s="411"/>
      <c r="K2077" s="411"/>
      <c r="L2077" s="414">
        <v>0.1</v>
      </c>
      <c r="M2077" s="414">
        <f>ROUND(+L2077*C2077,4)</f>
        <v>0</v>
      </c>
      <c r="N2077" s="414"/>
      <c r="O2077" s="414"/>
      <c r="P2077" s="414"/>
      <c r="Q2077" s="419">
        <f>ROUND(+N2077+O2077+P2077,4)</f>
        <v>0</v>
      </c>
      <c r="R2077" s="419">
        <f>ROUND(IF(+Q2077-H2077&lt;=0,0,Q2077-H2077),4)</f>
        <v>0</v>
      </c>
      <c r="S2077" s="423">
        <v>0.5</v>
      </c>
      <c r="T2077" s="419">
        <f>ROUND(+(R2077*C2077)*S2077,4)</f>
        <v>0</v>
      </c>
      <c r="U2077" s="419">
        <f>ROUND(+J2077+M2077+T2077,4)</f>
        <v>0</v>
      </c>
      <c r="V2077" s="235"/>
    </row>
    <row r="2078" spans="1:22" ht="15.75" x14ac:dyDescent="0.25">
      <c r="A2078" s="231"/>
      <c r="B2078" s="232"/>
      <c r="C2078" s="400"/>
      <c r="D2078" s="233"/>
      <c r="E2078" s="405"/>
      <c r="F2078" s="405"/>
      <c r="G2078" s="405"/>
      <c r="H2078" s="408">
        <f>ROUND(+E2078+F2078+G2078,4)</f>
        <v>0</v>
      </c>
      <c r="I2078" s="234"/>
      <c r="J2078" s="411"/>
      <c r="K2078" s="411"/>
      <c r="L2078" s="414">
        <v>0.1</v>
      </c>
      <c r="M2078" s="414">
        <f>ROUND(+L2078*C2078,4)</f>
        <v>0</v>
      </c>
      <c r="N2078" s="414"/>
      <c r="O2078" s="414"/>
      <c r="P2078" s="414"/>
      <c r="Q2078" s="419">
        <f>ROUND(+N2078+O2078+P2078,4)</f>
        <v>0</v>
      </c>
      <c r="R2078" s="419">
        <f>ROUND(IF(+Q2078-H2078&lt;=0,0,Q2078-H2078),4)</f>
        <v>0</v>
      </c>
      <c r="S2078" s="423">
        <v>0.5</v>
      </c>
      <c r="T2078" s="419">
        <f>ROUND(+(R2078*C2078)*S2078,4)</f>
        <v>0</v>
      </c>
      <c r="U2078" s="419">
        <f>ROUND(+J2078+M2078+T2078,4)</f>
        <v>0</v>
      </c>
      <c r="V2078" s="235"/>
    </row>
    <row r="2079" spans="1:22" ht="15.75" x14ac:dyDescent="0.25">
      <c r="A2079" s="231"/>
      <c r="B2079" s="232"/>
      <c r="C2079" s="400"/>
      <c r="D2079" s="233"/>
      <c r="E2079" s="405"/>
      <c r="F2079" s="405"/>
      <c r="G2079" s="405"/>
      <c r="H2079" s="408">
        <f>ROUND(+E2079+F2079+G2079,4)</f>
        <v>0</v>
      </c>
      <c r="I2079" s="234"/>
      <c r="J2079" s="411"/>
      <c r="K2079" s="411"/>
      <c r="L2079" s="414">
        <v>0.1</v>
      </c>
      <c r="M2079" s="414">
        <f>ROUND(+L2079*C2079,4)</f>
        <v>0</v>
      </c>
      <c r="N2079" s="414"/>
      <c r="O2079" s="414"/>
      <c r="P2079" s="414"/>
      <c r="Q2079" s="419">
        <f>ROUND(+N2079+O2079+P2079,4)</f>
        <v>0</v>
      </c>
      <c r="R2079" s="419">
        <f>ROUND(IF(+Q2079-H2079&lt;=0,0,Q2079-H2079),4)</f>
        <v>0</v>
      </c>
      <c r="S2079" s="423">
        <v>0.5</v>
      </c>
      <c r="T2079" s="419">
        <f>ROUND(+(R2079*C2079)*S2079,4)</f>
        <v>0</v>
      </c>
      <c r="U2079" s="419">
        <f>ROUND(+J2079+M2079+T2079,4)</f>
        <v>0</v>
      </c>
      <c r="V2079" s="235"/>
    </row>
    <row r="2080" spans="1:22" ht="15.75" x14ac:dyDescent="0.25">
      <c r="A2080" s="231"/>
      <c r="B2080" s="232"/>
      <c r="C2080" s="400"/>
      <c r="D2080" s="233"/>
      <c r="E2080" s="405"/>
      <c r="F2080" s="405"/>
      <c r="G2080" s="405"/>
      <c r="H2080" s="408">
        <f>ROUND(+E2080+F2080+G2080,4)</f>
        <v>0</v>
      </c>
      <c r="I2080" s="234"/>
      <c r="J2080" s="411"/>
      <c r="K2080" s="411"/>
      <c r="L2080" s="414">
        <v>0.1</v>
      </c>
      <c r="M2080" s="414">
        <f>ROUND(+L2080*C2080,4)</f>
        <v>0</v>
      </c>
      <c r="N2080" s="414"/>
      <c r="O2080" s="414"/>
      <c r="P2080" s="414"/>
      <c r="Q2080" s="419">
        <f>ROUND(+N2080+O2080+P2080,4)</f>
        <v>0</v>
      </c>
      <c r="R2080" s="419">
        <f>ROUND(IF(+Q2080-H2080&lt;=0,0,Q2080-H2080),4)</f>
        <v>0</v>
      </c>
      <c r="S2080" s="423">
        <v>0.5</v>
      </c>
      <c r="T2080" s="419">
        <f>ROUND(+(R2080*C2080)*S2080,4)</f>
        <v>0</v>
      </c>
      <c r="U2080" s="419">
        <f>ROUND(+J2080+M2080+T2080,4)</f>
        <v>0</v>
      </c>
      <c r="V2080" s="235"/>
    </row>
    <row r="2081" spans="1:22" ht="15.75" x14ac:dyDescent="0.25">
      <c r="A2081" s="231"/>
      <c r="B2081" s="232"/>
      <c r="C2081" s="400"/>
      <c r="D2081" s="233"/>
      <c r="E2081" s="405"/>
      <c r="F2081" s="405"/>
      <c r="G2081" s="405"/>
      <c r="H2081" s="408">
        <f>ROUND(+E2081+F2081+G2081,4)</f>
        <v>0</v>
      </c>
      <c r="I2081" s="234"/>
      <c r="J2081" s="411"/>
      <c r="K2081" s="411"/>
      <c r="L2081" s="414">
        <v>0.1</v>
      </c>
      <c r="M2081" s="414">
        <f>ROUND(+L2081*C2081,4)</f>
        <v>0</v>
      </c>
      <c r="N2081" s="414"/>
      <c r="O2081" s="414"/>
      <c r="P2081" s="414"/>
      <c r="Q2081" s="419">
        <f>ROUND(+N2081+O2081+P2081,4)</f>
        <v>0</v>
      </c>
      <c r="R2081" s="419">
        <f>ROUND(IF(+Q2081-H2081&lt;=0,0,Q2081-H2081),4)</f>
        <v>0</v>
      </c>
      <c r="S2081" s="423">
        <v>0.5</v>
      </c>
      <c r="T2081" s="419">
        <f>ROUND(+(R2081*C2081)*S2081,4)</f>
        <v>0</v>
      </c>
      <c r="U2081" s="419">
        <f>ROUND(+J2081+M2081+T2081,4)</f>
        <v>0</v>
      </c>
      <c r="V2081" s="235"/>
    </row>
    <row r="2082" spans="1:22" ht="15.75" x14ac:dyDescent="0.25">
      <c r="A2082" s="231"/>
      <c r="B2082" s="232"/>
      <c r="C2082" s="400"/>
      <c r="D2082" s="233"/>
      <c r="E2082" s="405"/>
      <c r="F2082" s="405"/>
      <c r="G2082" s="405"/>
      <c r="H2082" s="408">
        <f>ROUND(+E2082+F2082+G2082,4)</f>
        <v>0</v>
      </c>
      <c r="I2082" s="234"/>
      <c r="J2082" s="411"/>
      <c r="K2082" s="411"/>
      <c r="L2082" s="414">
        <v>0.1</v>
      </c>
      <c r="M2082" s="414">
        <f>ROUND(+L2082*C2082,4)</f>
        <v>0</v>
      </c>
      <c r="N2082" s="414"/>
      <c r="O2082" s="414"/>
      <c r="P2082" s="414"/>
      <c r="Q2082" s="419">
        <f>ROUND(+N2082+O2082+P2082,4)</f>
        <v>0</v>
      </c>
      <c r="R2082" s="419">
        <f>ROUND(IF(+Q2082-H2082&lt;=0,0,Q2082-H2082),4)</f>
        <v>0</v>
      </c>
      <c r="S2082" s="423">
        <v>0.5</v>
      </c>
      <c r="T2082" s="419">
        <f>ROUND(+(R2082*C2082)*S2082,4)</f>
        <v>0</v>
      </c>
      <c r="U2082" s="419">
        <f>ROUND(+J2082+M2082+T2082,4)</f>
        <v>0</v>
      </c>
      <c r="V2082" s="235"/>
    </row>
    <row r="2083" spans="1:22" ht="15.75" x14ac:dyDescent="0.25">
      <c r="A2083" s="231"/>
      <c r="B2083" s="232"/>
      <c r="C2083" s="400"/>
      <c r="D2083" s="233"/>
      <c r="E2083" s="405"/>
      <c r="F2083" s="405"/>
      <c r="G2083" s="405"/>
      <c r="H2083" s="408">
        <f>ROUND(+E2083+F2083+G2083,4)</f>
        <v>0</v>
      </c>
      <c r="I2083" s="234"/>
      <c r="J2083" s="411"/>
      <c r="K2083" s="411"/>
      <c r="L2083" s="414">
        <v>0.1</v>
      </c>
      <c r="M2083" s="414">
        <f>ROUND(+L2083*C2083,4)</f>
        <v>0</v>
      </c>
      <c r="N2083" s="414"/>
      <c r="O2083" s="414"/>
      <c r="P2083" s="414"/>
      <c r="Q2083" s="419">
        <f>ROUND(+N2083+O2083+P2083,4)</f>
        <v>0</v>
      </c>
      <c r="R2083" s="419">
        <f>ROUND(IF(+Q2083-H2083&lt;=0,0,Q2083-H2083),4)</f>
        <v>0</v>
      </c>
      <c r="S2083" s="423">
        <v>0.5</v>
      </c>
      <c r="T2083" s="419">
        <f>ROUND(+(R2083*C2083)*S2083,4)</f>
        <v>0</v>
      </c>
      <c r="U2083" s="419">
        <f>ROUND(+J2083+M2083+T2083,4)</f>
        <v>0</v>
      </c>
      <c r="V2083" s="235"/>
    </row>
    <row r="2084" spans="1:22" ht="15.75" x14ac:dyDescent="0.25">
      <c r="A2084" s="231"/>
      <c r="B2084" s="232"/>
      <c r="C2084" s="400"/>
      <c r="D2084" s="233"/>
      <c r="E2084" s="405"/>
      <c r="F2084" s="405"/>
      <c r="G2084" s="405"/>
      <c r="H2084" s="408">
        <f>ROUND(+E2084+F2084+G2084,4)</f>
        <v>0</v>
      </c>
      <c r="I2084" s="234"/>
      <c r="J2084" s="411"/>
      <c r="K2084" s="411"/>
      <c r="L2084" s="414">
        <v>0.1</v>
      </c>
      <c r="M2084" s="414">
        <f>ROUND(+L2084*C2084,4)</f>
        <v>0</v>
      </c>
      <c r="N2084" s="414"/>
      <c r="O2084" s="414"/>
      <c r="P2084" s="414"/>
      <c r="Q2084" s="419">
        <f>ROUND(+N2084+O2084+P2084,4)</f>
        <v>0</v>
      </c>
      <c r="R2084" s="419">
        <f>ROUND(IF(+Q2084-H2084&lt;=0,0,Q2084-H2084),4)</f>
        <v>0</v>
      </c>
      <c r="S2084" s="423">
        <v>0.5</v>
      </c>
      <c r="T2084" s="419">
        <f>ROUND(+(R2084*C2084)*S2084,4)</f>
        <v>0</v>
      </c>
      <c r="U2084" s="419">
        <f>ROUND(+J2084+M2084+T2084,4)</f>
        <v>0</v>
      </c>
      <c r="V2084" s="235"/>
    </row>
    <row r="2085" spans="1:22" ht="15.75" x14ac:dyDescent="0.25">
      <c r="A2085" s="231"/>
      <c r="B2085" s="232"/>
      <c r="C2085" s="400"/>
      <c r="D2085" s="233"/>
      <c r="E2085" s="405"/>
      <c r="F2085" s="405"/>
      <c r="G2085" s="405"/>
      <c r="H2085" s="408">
        <f>ROUND(+E2085+F2085+G2085,4)</f>
        <v>0</v>
      </c>
      <c r="I2085" s="234"/>
      <c r="J2085" s="411"/>
      <c r="K2085" s="411"/>
      <c r="L2085" s="414">
        <v>0.1</v>
      </c>
      <c r="M2085" s="414">
        <f>ROUND(+L2085*C2085,4)</f>
        <v>0</v>
      </c>
      <c r="N2085" s="414"/>
      <c r="O2085" s="414"/>
      <c r="P2085" s="414"/>
      <c r="Q2085" s="419">
        <f>ROUND(+N2085+O2085+P2085,4)</f>
        <v>0</v>
      </c>
      <c r="R2085" s="419">
        <f>ROUND(IF(+Q2085-H2085&lt;=0,0,Q2085-H2085),4)</f>
        <v>0</v>
      </c>
      <c r="S2085" s="423">
        <v>0.5</v>
      </c>
      <c r="T2085" s="419">
        <f>ROUND(+(R2085*C2085)*S2085,4)</f>
        <v>0</v>
      </c>
      <c r="U2085" s="419">
        <f>ROUND(+J2085+M2085+T2085,4)</f>
        <v>0</v>
      </c>
      <c r="V2085" s="235"/>
    </row>
    <row r="2086" spans="1:22" ht="15.75" x14ac:dyDescent="0.25">
      <c r="A2086" s="231"/>
      <c r="B2086" s="232"/>
      <c r="C2086" s="400"/>
      <c r="D2086" s="233"/>
      <c r="E2086" s="405"/>
      <c r="F2086" s="405"/>
      <c r="G2086" s="405"/>
      <c r="H2086" s="408">
        <f>ROUND(+E2086+F2086+G2086,4)</f>
        <v>0</v>
      </c>
      <c r="I2086" s="234"/>
      <c r="J2086" s="411"/>
      <c r="K2086" s="411"/>
      <c r="L2086" s="414">
        <v>0.1</v>
      </c>
      <c r="M2086" s="414">
        <f>ROUND(+L2086*C2086,4)</f>
        <v>0</v>
      </c>
      <c r="N2086" s="414"/>
      <c r="O2086" s="414"/>
      <c r="P2086" s="414"/>
      <c r="Q2086" s="419">
        <f>ROUND(+N2086+O2086+P2086,4)</f>
        <v>0</v>
      </c>
      <c r="R2086" s="419">
        <f>ROUND(IF(+Q2086-H2086&lt;=0,0,Q2086-H2086),4)</f>
        <v>0</v>
      </c>
      <c r="S2086" s="423">
        <v>0.5</v>
      </c>
      <c r="T2086" s="419">
        <f>ROUND(+(R2086*C2086)*S2086,4)</f>
        <v>0</v>
      </c>
      <c r="U2086" s="419">
        <f>ROUND(+J2086+M2086+T2086,4)</f>
        <v>0</v>
      </c>
      <c r="V2086" s="235"/>
    </row>
    <row r="2087" spans="1:22" ht="15.75" x14ac:dyDescent="0.25">
      <c r="A2087" s="231"/>
      <c r="B2087" s="232"/>
      <c r="C2087" s="400"/>
      <c r="D2087" s="233"/>
      <c r="E2087" s="405"/>
      <c r="F2087" s="405"/>
      <c r="G2087" s="405"/>
      <c r="H2087" s="408">
        <f>ROUND(+E2087+F2087+G2087,4)</f>
        <v>0</v>
      </c>
      <c r="I2087" s="234"/>
      <c r="J2087" s="411"/>
      <c r="K2087" s="411"/>
      <c r="L2087" s="414">
        <v>0.1</v>
      </c>
      <c r="M2087" s="414">
        <f>ROUND(+L2087*C2087,4)</f>
        <v>0</v>
      </c>
      <c r="N2087" s="414"/>
      <c r="O2087" s="414"/>
      <c r="P2087" s="414"/>
      <c r="Q2087" s="419">
        <f>ROUND(+N2087+O2087+P2087,4)</f>
        <v>0</v>
      </c>
      <c r="R2087" s="419">
        <f>ROUND(IF(+Q2087-H2087&lt;=0,0,Q2087-H2087),4)</f>
        <v>0</v>
      </c>
      <c r="S2087" s="423">
        <v>0.5</v>
      </c>
      <c r="T2087" s="419">
        <f>ROUND(+(R2087*C2087)*S2087,4)</f>
        <v>0</v>
      </c>
      <c r="U2087" s="419">
        <f>ROUND(+J2087+M2087+T2087,4)</f>
        <v>0</v>
      </c>
      <c r="V2087" s="235"/>
    </row>
    <row r="2088" spans="1:22" ht="15.75" x14ac:dyDescent="0.25">
      <c r="A2088" s="231"/>
      <c r="B2088" s="232"/>
      <c r="C2088" s="400"/>
      <c r="D2088" s="233"/>
      <c r="E2088" s="405"/>
      <c r="F2088" s="405"/>
      <c r="G2088" s="405"/>
      <c r="H2088" s="408">
        <f>ROUND(+E2088+F2088+G2088,4)</f>
        <v>0</v>
      </c>
      <c r="I2088" s="234"/>
      <c r="J2088" s="411"/>
      <c r="K2088" s="411"/>
      <c r="L2088" s="414">
        <v>0.1</v>
      </c>
      <c r="M2088" s="414">
        <f>ROUND(+L2088*C2088,4)</f>
        <v>0</v>
      </c>
      <c r="N2088" s="414"/>
      <c r="O2088" s="414"/>
      <c r="P2088" s="414"/>
      <c r="Q2088" s="419">
        <f>ROUND(+N2088+O2088+P2088,4)</f>
        <v>0</v>
      </c>
      <c r="R2088" s="419">
        <f>ROUND(IF(+Q2088-H2088&lt;=0,0,Q2088-H2088),4)</f>
        <v>0</v>
      </c>
      <c r="S2088" s="423">
        <v>0.5</v>
      </c>
      <c r="T2088" s="419">
        <f>ROUND(+(R2088*C2088)*S2088,4)</f>
        <v>0</v>
      </c>
      <c r="U2088" s="419">
        <f>ROUND(+J2088+M2088+T2088,4)</f>
        <v>0</v>
      </c>
      <c r="V2088" s="235"/>
    </row>
    <row r="2089" spans="1:22" ht="15.75" x14ac:dyDescent="0.25">
      <c r="A2089" s="231"/>
      <c r="B2089" s="232"/>
      <c r="C2089" s="400"/>
      <c r="D2089" s="233"/>
      <c r="E2089" s="405"/>
      <c r="F2089" s="405"/>
      <c r="G2089" s="405"/>
      <c r="H2089" s="408">
        <f>ROUND(+E2089+F2089+G2089,4)</f>
        <v>0</v>
      </c>
      <c r="I2089" s="234"/>
      <c r="J2089" s="411"/>
      <c r="K2089" s="411"/>
      <c r="L2089" s="414">
        <v>0.1</v>
      </c>
      <c r="M2089" s="414">
        <f>ROUND(+L2089*C2089,4)</f>
        <v>0</v>
      </c>
      <c r="N2089" s="414"/>
      <c r="O2089" s="414"/>
      <c r="P2089" s="414"/>
      <c r="Q2089" s="419">
        <f>ROUND(+N2089+O2089+P2089,4)</f>
        <v>0</v>
      </c>
      <c r="R2089" s="419">
        <f>ROUND(IF(+Q2089-H2089&lt;=0,0,Q2089-H2089),4)</f>
        <v>0</v>
      </c>
      <c r="S2089" s="423">
        <v>0.5</v>
      </c>
      <c r="T2089" s="419">
        <f>ROUND(+(R2089*C2089)*S2089,4)</f>
        <v>0</v>
      </c>
      <c r="U2089" s="419">
        <f>ROUND(+J2089+M2089+T2089,4)</f>
        <v>0</v>
      </c>
      <c r="V2089" s="235"/>
    </row>
    <row r="2090" spans="1:22" ht="15.75" x14ac:dyDescent="0.25">
      <c r="A2090" s="231"/>
      <c r="B2090" s="232"/>
      <c r="C2090" s="400"/>
      <c r="D2090" s="233"/>
      <c r="E2090" s="405"/>
      <c r="F2090" s="405"/>
      <c r="G2090" s="405"/>
      <c r="H2090" s="408">
        <f>ROUND(+E2090+F2090+G2090,4)</f>
        <v>0</v>
      </c>
      <c r="I2090" s="234"/>
      <c r="J2090" s="411"/>
      <c r="K2090" s="411"/>
      <c r="L2090" s="414">
        <v>0.1</v>
      </c>
      <c r="M2090" s="414">
        <f>ROUND(+L2090*C2090,4)</f>
        <v>0</v>
      </c>
      <c r="N2090" s="414"/>
      <c r="O2090" s="414"/>
      <c r="P2090" s="414"/>
      <c r="Q2090" s="419">
        <f>ROUND(+N2090+O2090+P2090,4)</f>
        <v>0</v>
      </c>
      <c r="R2090" s="419">
        <f>ROUND(IF(+Q2090-H2090&lt;=0,0,Q2090-H2090),4)</f>
        <v>0</v>
      </c>
      <c r="S2090" s="423">
        <v>0.5</v>
      </c>
      <c r="T2090" s="419">
        <f>ROUND(+(R2090*C2090)*S2090,4)</f>
        <v>0</v>
      </c>
      <c r="U2090" s="419">
        <f>ROUND(+J2090+M2090+T2090,4)</f>
        <v>0</v>
      </c>
      <c r="V2090" s="235"/>
    </row>
    <row r="2091" spans="1:22" ht="15.75" x14ac:dyDescent="0.25">
      <c r="A2091" s="231"/>
      <c r="B2091" s="232"/>
      <c r="C2091" s="400"/>
      <c r="D2091" s="233"/>
      <c r="E2091" s="405"/>
      <c r="F2091" s="405"/>
      <c r="G2091" s="405"/>
      <c r="H2091" s="408">
        <f>ROUND(+E2091+F2091+G2091,4)</f>
        <v>0</v>
      </c>
      <c r="I2091" s="234"/>
      <c r="J2091" s="411"/>
      <c r="K2091" s="411"/>
      <c r="L2091" s="414">
        <v>0.1</v>
      </c>
      <c r="M2091" s="414">
        <f>ROUND(+L2091*C2091,4)</f>
        <v>0</v>
      </c>
      <c r="N2091" s="414"/>
      <c r="O2091" s="414"/>
      <c r="P2091" s="414"/>
      <c r="Q2091" s="419">
        <f>ROUND(+N2091+O2091+P2091,4)</f>
        <v>0</v>
      </c>
      <c r="R2091" s="419">
        <f>ROUND(IF(+Q2091-H2091&lt;=0,0,Q2091-H2091),4)</f>
        <v>0</v>
      </c>
      <c r="S2091" s="423">
        <v>0.5</v>
      </c>
      <c r="T2091" s="419">
        <f>ROUND(+(R2091*C2091)*S2091,4)</f>
        <v>0</v>
      </c>
      <c r="U2091" s="419">
        <f>ROUND(+J2091+M2091+T2091,4)</f>
        <v>0</v>
      </c>
      <c r="V2091" s="235"/>
    </row>
    <row r="2092" spans="1:22" ht="15.75" x14ac:dyDescent="0.25">
      <c r="A2092" s="231"/>
      <c r="B2092" s="232"/>
      <c r="C2092" s="400"/>
      <c r="D2092" s="233"/>
      <c r="E2092" s="405"/>
      <c r="F2092" s="405"/>
      <c r="G2092" s="405"/>
      <c r="H2092" s="408">
        <f>ROUND(+E2092+F2092+G2092,4)</f>
        <v>0</v>
      </c>
      <c r="I2092" s="234"/>
      <c r="J2092" s="411"/>
      <c r="K2092" s="411"/>
      <c r="L2092" s="414">
        <v>0.1</v>
      </c>
      <c r="M2092" s="414">
        <f>ROUND(+L2092*C2092,4)</f>
        <v>0</v>
      </c>
      <c r="N2092" s="414"/>
      <c r="O2092" s="414"/>
      <c r="P2092" s="414"/>
      <c r="Q2092" s="419">
        <f>ROUND(+N2092+O2092+P2092,4)</f>
        <v>0</v>
      </c>
      <c r="R2092" s="419">
        <f>ROUND(IF(+Q2092-H2092&lt;=0,0,Q2092-H2092),4)</f>
        <v>0</v>
      </c>
      <c r="S2092" s="423">
        <v>0.5</v>
      </c>
      <c r="T2092" s="419">
        <f>ROUND(+(R2092*C2092)*S2092,4)</f>
        <v>0</v>
      </c>
      <c r="U2092" s="419">
        <f>ROUND(+J2092+M2092+T2092,4)</f>
        <v>0</v>
      </c>
      <c r="V2092" s="235"/>
    </row>
    <row r="2093" spans="1:22" ht="15.75" x14ac:dyDescent="0.25">
      <c r="A2093" s="231"/>
      <c r="B2093" s="232"/>
      <c r="C2093" s="400"/>
      <c r="D2093" s="233"/>
      <c r="E2093" s="405"/>
      <c r="F2093" s="405"/>
      <c r="G2093" s="405"/>
      <c r="H2093" s="408">
        <f>ROUND(+E2093+F2093+G2093,4)</f>
        <v>0</v>
      </c>
      <c r="I2093" s="234"/>
      <c r="J2093" s="411"/>
      <c r="K2093" s="411"/>
      <c r="L2093" s="414">
        <v>0.1</v>
      </c>
      <c r="M2093" s="414">
        <f>ROUND(+L2093*C2093,4)</f>
        <v>0</v>
      </c>
      <c r="N2093" s="414"/>
      <c r="O2093" s="414"/>
      <c r="P2093" s="414"/>
      <c r="Q2093" s="419">
        <f>ROUND(+N2093+O2093+P2093,4)</f>
        <v>0</v>
      </c>
      <c r="R2093" s="419">
        <f>ROUND(IF(+Q2093-H2093&lt;=0,0,Q2093-H2093),4)</f>
        <v>0</v>
      </c>
      <c r="S2093" s="423">
        <v>0.5</v>
      </c>
      <c r="T2093" s="419">
        <f>ROUND(+(R2093*C2093)*S2093,4)</f>
        <v>0</v>
      </c>
      <c r="U2093" s="419">
        <f>ROUND(+J2093+M2093+T2093,4)</f>
        <v>0</v>
      </c>
      <c r="V2093" s="235"/>
    </row>
    <row r="2094" spans="1:22" ht="15.75" x14ac:dyDescent="0.25">
      <c r="A2094" s="231"/>
      <c r="B2094" s="232"/>
      <c r="C2094" s="400"/>
      <c r="D2094" s="233"/>
      <c r="E2094" s="405"/>
      <c r="F2094" s="405"/>
      <c r="G2094" s="405"/>
      <c r="H2094" s="408">
        <f>ROUND(+E2094+F2094+G2094,4)</f>
        <v>0</v>
      </c>
      <c r="I2094" s="234"/>
      <c r="J2094" s="411"/>
      <c r="K2094" s="411"/>
      <c r="L2094" s="414">
        <v>0.1</v>
      </c>
      <c r="M2094" s="414">
        <f>ROUND(+L2094*C2094,4)</f>
        <v>0</v>
      </c>
      <c r="N2094" s="414"/>
      <c r="O2094" s="414"/>
      <c r="P2094" s="414"/>
      <c r="Q2094" s="419">
        <f>ROUND(+N2094+O2094+P2094,4)</f>
        <v>0</v>
      </c>
      <c r="R2094" s="419">
        <f>ROUND(IF(+Q2094-H2094&lt;=0,0,Q2094-H2094),4)</f>
        <v>0</v>
      </c>
      <c r="S2094" s="423">
        <v>0.5</v>
      </c>
      <c r="T2094" s="419">
        <f>ROUND(+(R2094*C2094)*S2094,4)</f>
        <v>0</v>
      </c>
      <c r="U2094" s="419">
        <f>ROUND(+J2094+M2094+T2094,4)</f>
        <v>0</v>
      </c>
      <c r="V2094" s="235"/>
    </row>
    <row r="2095" spans="1:22" ht="15.75" x14ac:dyDescent="0.25">
      <c r="A2095" s="231"/>
      <c r="B2095" s="232"/>
      <c r="C2095" s="400"/>
      <c r="D2095" s="233"/>
      <c r="E2095" s="405"/>
      <c r="F2095" s="405"/>
      <c r="G2095" s="405"/>
      <c r="H2095" s="408">
        <f>ROUND(+E2095+F2095+G2095,4)</f>
        <v>0</v>
      </c>
      <c r="I2095" s="234"/>
      <c r="J2095" s="411"/>
      <c r="K2095" s="411"/>
      <c r="L2095" s="414">
        <v>0.1</v>
      </c>
      <c r="M2095" s="414">
        <f>ROUND(+L2095*C2095,4)</f>
        <v>0</v>
      </c>
      <c r="N2095" s="414"/>
      <c r="O2095" s="414"/>
      <c r="P2095" s="414"/>
      <c r="Q2095" s="419">
        <f>ROUND(+N2095+O2095+P2095,4)</f>
        <v>0</v>
      </c>
      <c r="R2095" s="419">
        <f>ROUND(IF(+Q2095-H2095&lt;=0,0,Q2095-H2095),4)</f>
        <v>0</v>
      </c>
      <c r="S2095" s="423">
        <v>0.5</v>
      </c>
      <c r="T2095" s="419">
        <f>ROUND(+(R2095*C2095)*S2095,4)</f>
        <v>0</v>
      </c>
      <c r="U2095" s="419">
        <f>ROUND(+J2095+M2095+T2095,4)</f>
        <v>0</v>
      </c>
      <c r="V2095" s="235"/>
    </row>
    <row r="2096" spans="1:22" ht="15.75" x14ac:dyDescent="0.25">
      <c r="A2096" s="231"/>
      <c r="B2096" s="232"/>
      <c r="C2096" s="400"/>
      <c r="D2096" s="233"/>
      <c r="E2096" s="405"/>
      <c r="F2096" s="405"/>
      <c r="G2096" s="405"/>
      <c r="H2096" s="408">
        <f>ROUND(+E2096+F2096+G2096,4)</f>
        <v>0</v>
      </c>
      <c r="I2096" s="234"/>
      <c r="J2096" s="411"/>
      <c r="K2096" s="411"/>
      <c r="L2096" s="414">
        <v>0.1</v>
      </c>
      <c r="M2096" s="414">
        <f>ROUND(+L2096*C2096,4)</f>
        <v>0</v>
      </c>
      <c r="N2096" s="414"/>
      <c r="O2096" s="414"/>
      <c r="P2096" s="414"/>
      <c r="Q2096" s="419">
        <f>ROUND(+N2096+O2096+P2096,4)</f>
        <v>0</v>
      </c>
      <c r="R2096" s="419">
        <f>ROUND(IF(+Q2096-H2096&lt;=0,0,Q2096-H2096),4)</f>
        <v>0</v>
      </c>
      <c r="S2096" s="423">
        <v>0.5</v>
      </c>
      <c r="T2096" s="419">
        <f>ROUND(+(R2096*C2096)*S2096,4)</f>
        <v>0</v>
      </c>
      <c r="U2096" s="419">
        <f>ROUND(+J2096+M2096+T2096,4)</f>
        <v>0</v>
      </c>
      <c r="V2096" s="235"/>
    </row>
    <row r="2097" spans="1:22" ht="15.75" x14ac:dyDescent="0.25">
      <c r="A2097" s="231"/>
      <c r="B2097" s="232"/>
      <c r="C2097" s="400"/>
      <c r="D2097" s="233"/>
      <c r="E2097" s="405"/>
      <c r="F2097" s="405"/>
      <c r="G2097" s="405"/>
      <c r="H2097" s="408">
        <f>ROUND(+E2097+F2097+G2097,4)</f>
        <v>0</v>
      </c>
      <c r="I2097" s="234"/>
      <c r="J2097" s="411"/>
      <c r="K2097" s="411"/>
      <c r="L2097" s="414">
        <v>0.1</v>
      </c>
      <c r="M2097" s="414">
        <f>ROUND(+L2097*C2097,4)</f>
        <v>0</v>
      </c>
      <c r="N2097" s="414"/>
      <c r="O2097" s="414"/>
      <c r="P2097" s="414"/>
      <c r="Q2097" s="419">
        <f>ROUND(+N2097+O2097+P2097,4)</f>
        <v>0</v>
      </c>
      <c r="R2097" s="419">
        <f>ROUND(IF(+Q2097-H2097&lt;=0,0,Q2097-H2097),4)</f>
        <v>0</v>
      </c>
      <c r="S2097" s="423">
        <v>0.5</v>
      </c>
      <c r="T2097" s="419">
        <f>ROUND(+(R2097*C2097)*S2097,4)</f>
        <v>0</v>
      </c>
      <c r="U2097" s="419">
        <f>ROUND(+J2097+M2097+T2097,4)</f>
        <v>0</v>
      </c>
      <c r="V2097" s="235"/>
    </row>
    <row r="2098" spans="1:22" ht="15.75" x14ac:dyDescent="0.25">
      <c r="A2098" s="231"/>
      <c r="B2098" s="232"/>
      <c r="C2098" s="400"/>
      <c r="D2098" s="233"/>
      <c r="E2098" s="405"/>
      <c r="F2098" s="405"/>
      <c r="G2098" s="405"/>
      <c r="H2098" s="408">
        <f>ROUND(+E2098+F2098+G2098,4)</f>
        <v>0</v>
      </c>
      <c r="I2098" s="234"/>
      <c r="J2098" s="411"/>
      <c r="K2098" s="411"/>
      <c r="L2098" s="414">
        <v>0.1</v>
      </c>
      <c r="M2098" s="414">
        <f>ROUND(+L2098*C2098,4)</f>
        <v>0</v>
      </c>
      <c r="N2098" s="414"/>
      <c r="O2098" s="414"/>
      <c r="P2098" s="414"/>
      <c r="Q2098" s="419">
        <f>ROUND(+N2098+O2098+P2098,4)</f>
        <v>0</v>
      </c>
      <c r="R2098" s="419">
        <f>ROUND(IF(+Q2098-H2098&lt;=0,0,Q2098-H2098),4)</f>
        <v>0</v>
      </c>
      <c r="S2098" s="423">
        <v>0.5</v>
      </c>
      <c r="T2098" s="419">
        <f>ROUND(+(R2098*C2098)*S2098,4)</f>
        <v>0</v>
      </c>
      <c r="U2098" s="419">
        <f>ROUND(+J2098+M2098+T2098,4)</f>
        <v>0</v>
      </c>
      <c r="V2098" s="235"/>
    </row>
    <row r="2099" spans="1:22" ht="15.75" x14ac:dyDescent="0.25">
      <c r="A2099" s="231"/>
      <c r="B2099" s="232"/>
      <c r="C2099" s="400"/>
      <c r="D2099" s="233"/>
      <c r="E2099" s="405"/>
      <c r="F2099" s="405"/>
      <c r="G2099" s="405"/>
      <c r="H2099" s="408">
        <f>ROUND(+E2099+F2099+G2099,4)</f>
        <v>0</v>
      </c>
      <c r="I2099" s="234"/>
      <c r="J2099" s="411"/>
      <c r="K2099" s="411"/>
      <c r="L2099" s="414">
        <v>0.1</v>
      </c>
      <c r="M2099" s="414">
        <f>ROUND(+L2099*C2099,4)</f>
        <v>0</v>
      </c>
      <c r="N2099" s="414"/>
      <c r="O2099" s="414"/>
      <c r="P2099" s="414"/>
      <c r="Q2099" s="419">
        <f>ROUND(+N2099+O2099+P2099,4)</f>
        <v>0</v>
      </c>
      <c r="R2099" s="419">
        <f>ROUND(IF(+Q2099-H2099&lt;=0,0,Q2099-H2099),4)</f>
        <v>0</v>
      </c>
      <c r="S2099" s="423">
        <v>0.5</v>
      </c>
      <c r="T2099" s="419">
        <f>ROUND(+(R2099*C2099)*S2099,4)</f>
        <v>0</v>
      </c>
      <c r="U2099" s="419">
        <f>ROUND(+J2099+M2099+T2099,4)</f>
        <v>0</v>
      </c>
      <c r="V2099" s="235"/>
    </row>
    <row r="2100" spans="1:22" ht="15.75" x14ac:dyDescent="0.25">
      <c r="A2100" s="231"/>
      <c r="B2100" s="232"/>
      <c r="C2100" s="400"/>
      <c r="D2100" s="233"/>
      <c r="E2100" s="405"/>
      <c r="F2100" s="405"/>
      <c r="G2100" s="405"/>
      <c r="H2100" s="408">
        <f>ROUND(+E2100+F2100+G2100,4)</f>
        <v>0</v>
      </c>
      <c r="I2100" s="234"/>
      <c r="J2100" s="411"/>
      <c r="K2100" s="411"/>
      <c r="L2100" s="414">
        <v>0.1</v>
      </c>
      <c r="M2100" s="414">
        <f>ROUND(+L2100*C2100,4)</f>
        <v>0</v>
      </c>
      <c r="N2100" s="414"/>
      <c r="O2100" s="414"/>
      <c r="P2100" s="414"/>
      <c r="Q2100" s="419">
        <f>ROUND(+N2100+O2100+P2100,4)</f>
        <v>0</v>
      </c>
      <c r="R2100" s="419">
        <f>ROUND(IF(+Q2100-H2100&lt;=0,0,Q2100-H2100),4)</f>
        <v>0</v>
      </c>
      <c r="S2100" s="423">
        <v>0.5</v>
      </c>
      <c r="T2100" s="419">
        <f>ROUND(+(R2100*C2100)*S2100,4)</f>
        <v>0</v>
      </c>
      <c r="U2100" s="419">
        <f>ROUND(+J2100+M2100+T2100,4)</f>
        <v>0</v>
      </c>
      <c r="V2100" s="235"/>
    </row>
    <row r="2101" spans="1:22" ht="15.75" x14ac:dyDescent="0.25">
      <c r="A2101" s="231"/>
      <c r="B2101" s="232"/>
      <c r="C2101" s="400"/>
      <c r="D2101" s="233"/>
      <c r="E2101" s="405"/>
      <c r="F2101" s="405"/>
      <c r="G2101" s="405"/>
      <c r="H2101" s="408">
        <f>ROUND(+E2101+F2101+G2101,4)</f>
        <v>0</v>
      </c>
      <c r="I2101" s="234"/>
      <c r="J2101" s="411"/>
      <c r="K2101" s="411"/>
      <c r="L2101" s="414">
        <v>0.1</v>
      </c>
      <c r="M2101" s="414">
        <f>ROUND(+L2101*C2101,4)</f>
        <v>0</v>
      </c>
      <c r="N2101" s="414"/>
      <c r="O2101" s="414"/>
      <c r="P2101" s="414"/>
      <c r="Q2101" s="419">
        <f>ROUND(+N2101+O2101+P2101,4)</f>
        <v>0</v>
      </c>
      <c r="R2101" s="419">
        <f>ROUND(IF(+Q2101-H2101&lt;=0,0,Q2101-H2101),4)</f>
        <v>0</v>
      </c>
      <c r="S2101" s="423">
        <v>0.5</v>
      </c>
      <c r="T2101" s="419">
        <f>ROUND(+(R2101*C2101)*S2101,4)</f>
        <v>0</v>
      </c>
      <c r="U2101" s="419">
        <f>ROUND(+J2101+M2101+T2101,4)</f>
        <v>0</v>
      </c>
      <c r="V2101" s="235"/>
    </row>
    <row r="2102" spans="1:22" ht="15.75" x14ac:dyDescent="0.25">
      <c r="A2102" s="231"/>
      <c r="B2102" s="232"/>
      <c r="C2102" s="400"/>
      <c r="D2102" s="233"/>
      <c r="E2102" s="405"/>
      <c r="F2102" s="405"/>
      <c r="G2102" s="405"/>
      <c r="H2102" s="408">
        <f>ROUND(+E2102+F2102+G2102,4)</f>
        <v>0</v>
      </c>
      <c r="I2102" s="234"/>
      <c r="J2102" s="411"/>
      <c r="K2102" s="411"/>
      <c r="L2102" s="414">
        <v>0.1</v>
      </c>
      <c r="M2102" s="414">
        <f>ROUND(+L2102*C2102,4)</f>
        <v>0</v>
      </c>
      <c r="N2102" s="414"/>
      <c r="O2102" s="414"/>
      <c r="P2102" s="414"/>
      <c r="Q2102" s="419">
        <f>ROUND(+N2102+O2102+P2102,4)</f>
        <v>0</v>
      </c>
      <c r="R2102" s="419">
        <f>ROUND(IF(+Q2102-H2102&lt;=0,0,Q2102-H2102),4)</f>
        <v>0</v>
      </c>
      <c r="S2102" s="423">
        <v>0.5</v>
      </c>
      <c r="T2102" s="419">
        <f>ROUND(+(R2102*C2102)*S2102,4)</f>
        <v>0</v>
      </c>
      <c r="U2102" s="419">
        <f>ROUND(+J2102+M2102+T2102,4)</f>
        <v>0</v>
      </c>
      <c r="V2102" s="235"/>
    </row>
    <row r="2103" spans="1:22" ht="15.75" x14ac:dyDescent="0.25">
      <c r="A2103" s="231"/>
      <c r="B2103" s="232"/>
      <c r="C2103" s="400"/>
      <c r="D2103" s="233"/>
      <c r="E2103" s="405"/>
      <c r="F2103" s="405"/>
      <c r="G2103" s="405"/>
      <c r="H2103" s="408">
        <f>ROUND(+E2103+F2103+G2103,4)</f>
        <v>0</v>
      </c>
      <c r="I2103" s="234"/>
      <c r="J2103" s="411"/>
      <c r="K2103" s="411"/>
      <c r="L2103" s="414">
        <v>0.1</v>
      </c>
      <c r="M2103" s="414">
        <f>ROUND(+L2103*C2103,4)</f>
        <v>0</v>
      </c>
      <c r="N2103" s="414"/>
      <c r="O2103" s="414"/>
      <c r="P2103" s="414"/>
      <c r="Q2103" s="419">
        <f>ROUND(+N2103+O2103+P2103,4)</f>
        <v>0</v>
      </c>
      <c r="R2103" s="419">
        <f>ROUND(IF(+Q2103-H2103&lt;=0,0,Q2103-H2103),4)</f>
        <v>0</v>
      </c>
      <c r="S2103" s="423">
        <v>0.5</v>
      </c>
      <c r="T2103" s="419">
        <f>ROUND(+(R2103*C2103)*S2103,4)</f>
        <v>0</v>
      </c>
      <c r="U2103" s="419">
        <f>ROUND(+J2103+M2103+T2103,4)</f>
        <v>0</v>
      </c>
      <c r="V2103" s="235"/>
    </row>
    <row r="2104" spans="1:22" ht="15.75" x14ac:dyDescent="0.25">
      <c r="A2104" s="231"/>
      <c r="B2104" s="232"/>
      <c r="C2104" s="400"/>
      <c r="D2104" s="233"/>
      <c r="E2104" s="405"/>
      <c r="F2104" s="405"/>
      <c r="G2104" s="405"/>
      <c r="H2104" s="408">
        <f>ROUND(+E2104+F2104+G2104,4)</f>
        <v>0</v>
      </c>
      <c r="I2104" s="234"/>
      <c r="J2104" s="411"/>
      <c r="K2104" s="411"/>
      <c r="L2104" s="414">
        <v>0.1</v>
      </c>
      <c r="M2104" s="414">
        <f>ROUND(+L2104*C2104,4)</f>
        <v>0</v>
      </c>
      <c r="N2104" s="414"/>
      <c r="O2104" s="414"/>
      <c r="P2104" s="414"/>
      <c r="Q2104" s="419">
        <f>ROUND(+N2104+O2104+P2104,4)</f>
        <v>0</v>
      </c>
      <c r="R2104" s="419">
        <f>ROUND(IF(+Q2104-H2104&lt;=0,0,Q2104-H2104),4)</f>
        <v>0</v>
      </c>
      <c r="S2104" s="423">
        <v>0.5</v>
      </c>
      <c r="T2104" s="419">
        <f>ROUND(+(R2104*C2104)*S2104,4)</f>
        <v>0</v>
      </c>
      <c r="U2104" s="419">
        <f>ROUND(+J2104+M2104+T2104,4)</f>
        <v>0</v>
      </c>
      <c r="V2104" s="235"/>
    </row>
    <row r="2105" spans="1:22" ht="15.75" x14ac:dyDescent="0.25">
      <c r="A2105" s="231"/>
      <c r="B2105" s="232"/>
      <c r="C2105" s="400"/>
      <c r="D2105" s="233"/>
      <c r="E2105" s="405"/>
      <c r="F2105" s="405"/>
      <c r="G2105" s="405"/>
      <c r="H2105" s="408">
        <f>ROUND(+E2105+F2105+G2105,4)</f>
        <v>0</v>
      </c>
      <c r="I2105" s="234"/>
      <c r="J2105" s="411"/>
      <c r="K2105" s="411"/>
      <c r="L2105" s="414">
        <v>0.1</v>
      </c>
      <c r="M2105" s="414">
        <f>ROUND(+L2105*C2105,4)</f>
        <v>0</v>
      </c>
      <c r="N2105" s="414"/>
      <c r="O2105" s="414"/>
      <c r="P2105" s="414"/>
      <c r="Q2105" s="419">
        <f>ROUND(+N2105+O2105+P2105,4)</f>
        <v>0</v>
      </c>
      <c r="R2105" s="419">
        <f>ROUND(IF(+Q2105-H2105&lt;=0,0,Q2105-H2105),4)</f>
        <v>0</v>
      </c>
      <c r="S2105" s="423">
        <v>0.5</v>
      </c>
      <c r="T2105" s="419">
        <f>ROUND(+(R2105*C2105)*S2105,4)</f>
        <v>0</v>
      </c>
      <c r="U2105" s="419">
        <f>ROUND(+J2105+M2105+T2105,4)</f>
        <v>0</v>
      </c>
      <c r="V2105" s="235"/>
    </row>
    <row r="2106" spans="1:22" ht="15.75" x14ac:dyDescent="0.25">
      <c r="A2106" s="231"/>
      <c r="B2106" s="232"/>
      <c r="C2106" s="400"/>
      <c r="D2106" s="233"/>
      <c r="E2106" s="405"/>
      <c r="F2106" s="405"/>
      <c r="G2106" s="405"/>
      <c r="H2106" s="408">
        <f>ROUND(+E2106+F2106+G2106,4)</f>
        <v>0</v>
      </c>
      <c r="I2106" s="234"/>
      <c r="J2106" s="411"/>
      <c r="K2106" s="411"/>
      <c r="L2106" s="414">
        <v>0.1</v>
      </c>
      <c r="M2106" s="414">
        <f>ROUND(+L2106*C2106,4)</f>
        <v>0</v>
      </c>
      <c r="N2106" s="414"/>
      <c r="O2106" s="414"/>
      <c r="P2106" s="414"/>
      <c r="Q2106" s="419">
        <f>ROUND(+N2106+O2106+P2106,4)</f>
        <v>0</v>
      </c>
      <c r="R2106" s="419">
        <f>ROUND(IF(+Q2106-H2106&lt;=0,0,Q2106-H2106),4)</f>
        <v>0</v>
      </c>
      <c r="S2106" s="423">
        <v>0.5</v>
      </c>
      <c r="T2106" s="419">
        <f>ROUND(+(R2106*C2106)*S2106,4)</f>
        <v>0</v>
      </c>
      <c r="U2106" s="419">
        <f>ROUND(+J2106+M2106+T2106,4)</f>
        <v>0</v>
      </c>
      <c r="V2106" s="235"/>
    </row>
    <row r="2107" spans="1:22" ht="15.75" x14ac:dyDescent="0.25">
      <c r="A2107" s="231"/>
      <c r="B2107" s="232"/>
      <c r="C2107" s="400"/>
      <c r="D2107" s="233"/>
      <c r="E2107" s="405"/>
      <c r="F2107" s="405"/>
      <c r="G2107" s="405"/>
      <c r="H2107" s="408">
        <f>ROUND(+E2107+F2107+G2107,4)</f>
        <v>0</v>
      </c>
      <c r="I2107" s="234"/>
      <c r="J2107" s="411"/>
      <c r="K2107" s="411"/>
      <c r="L2107" s="414">
        <v>0.1</v>
      </c>
      <c r="M2107" s="414">
        <f>ROUND(+L2107*C2107,4)</f>
        <v>0</v>
      </c>
      <c r="N2107" s="414"/>
      <c r="O2107" s="414"/>
      <c r="P2107" s="414"/>
      <c r="Q2107" s="419">
        <f>ROUND(+N2107+O2107+P2107,4)</f>
        <v>0</v>
      </c>
      <c r="R2107" s="419">
        <f>ROUND(IF(+Q2107-H2107&lt;=0,0,Q2107-H2107),4)</f>
        <v>0</v>
      </c>
      <c r="S2107" s="423">
        <v>0.5</v>
      </c>
      <c r="T2107" s="419">
        <f>ROUND(+(R2107*C2107)*S2107,4)</f>
        <v>0</v>
      </c>
      <c r="U2107" s="419">
        <f>ROUND(+J2107+M2107+T2107,4)</f>
        <v>0</v>
      </c>
      <c r="V2107" s="235"/>
    </row>
    <row r="2108" spans="1:22" ht="15.75" x14ac:dyDescent="0.25">
      <c r="A2108" s="231"/>
      <c r="B2108" s="232"/>
      <c r="C2108" s="400"/>
      <c r="D2108" s="233"/>
      <c r="E2108" s="405"/>
      <c r="F2108" s="405"/>
      <c r="G2108" s="405"/>
      <c r="H2108" s="408">
        <f>ROUND(+E2108+F2108+G2108,4)</f>
        <v>0</v>
      </c>
      <c r="I2108" s="234"/>
      <c r="J2108" s="411"/>
      <c r="K2108" s="411"/>
      <c r="L2108" s="414">
        <v>0.1</v>
      </c>
      <c r="M2108" s="414">
        <f>ROUND(+L2108*C2108,4)</f>
        <v>0</v>
      </c>
      <c r="N2108" s="414"/>
      <c r="O2108" s="414"/>
      <c r="P2108" s="414"/>
      <c r="Q2108" s="419">
        <f>ROUND(+N2108+O2108+P2108,4)</f>
        <v>0</v>
      </c>
      <c r="R2108" s="419">
        <f>ROUND(IF(+Q2108-H2108&lt;=0,0,Q2108-H2108),4)</f>
        <v>0</v>
      </c>
      <c r="S2108" s="423">
        <v>0.5</v>
      </c>
      <c r="T2108" s="419">
        <f>ROUND(+(R2108*C2108)*S2108,4)</f>
        <v>0</v>
      </c>
      <c r="U2108" s="419">
        <f>ROUND(+J2108+M2108+T2108,4)</f>
        <v>0</v>
      </c>
      <c r="V2108" s="235"/>
    </row>
    <row r="2109" spans="1:22" ht="15.75" x14ac:dyDescent="0.25">
      <c r="A2109" s="231"/>
      <c r="B2109" s="232"/>
      <c r="C2109" s="400"/>
      <c r="D2109" s="233"/>
      <c r="E2109" s="405"/>
      <c r="F2109" s="405"/>
      <c r="G2109" s="405"/>
      <c r="H2109" s="408">
        <f>ROUND(+E2109+F2109+G2109,4)</f>
        <v>0</v>
      </c>
      <c r="I2109" s="234"/>
      <c r="J2109" s="411"/>
      <c r="K2109" s="411"/>
      <c r="L2109" s="414">
        <v>0.1</v>
      </c>
      <c r="M2109" s="414">
        <f>ROUND(+L2109*C2109,4)</f>
        <v>0</v>
      </c>
      <c r="N2109" s="414"/>
      <c r="O2109" s="414"/>
      <c r="P2109" s="414"/>
      <c r="Q2109" s="419">
        <f>ROUND(+N2109+O2109+P2109,4)</f>
        <v>0</v>
      </c>
      <c r="R2109" s="419">
        <f>ROUND(IF(+Q2109-H2109&lt;=0,0,Q2109-H2109),4)</f>
        <v>0</v>
      </c>
      <c r="S2109" s="423">
        <v>0.5</v>
      </c>
      <c r="T2109" s="419">
        <f>ROUND(+(R2109*C2109)*S2109,4)</f>
        <v>0</v>
      </c>
      <c r="U2109" s="419">
        <f>ROUND(+J2109+M2109+T2109,4)</f>
        <v>0</v>
      </c>
      <c r="V2109" s="235"/>
    </row>
    <row r="2110" spans="1:22" ht="15.75" x14ac:dyDescent="0.25">
      <c r="A2110" s="231"/>
      <c r="B2110" s="232"/>
      <c r="C2110" s="400"/>
      <c r="D2110" s="233"/>
      <c r="E2110" s="405"/>
      <c r="F2110" s="405"/>
      <c r="G2110" s="405"/>
      <c r="H2110" s="408">
        <f>ROUND(+E2110+F2110+G2110,4)</f>
        <v>0</v>
      </c>
      <c r="I2110" s="234"/>
      <c r="J2110" s="411"/>
      <c r="K2110" s="411"/>
      <c r="L2110" s="414">
        <v>0.1</v>
      </c>
      <c r="M2110" s="414">
        <f>ROUND(+L2110*C2110,4)</f>
        <v>0</v>
      </c>
      <c r="N2110" s="414"/>
      <c r="O2110" s="414"/>
      <c r="P2110" s="414"/>
      <c r="Q2110" s="419">
        <f>ROUND(+N2110+O2110+P2110,4)</f>
        <v>0</v>
      </c>
      <c r="R2110" s="419">
        <f>ROUND(IF(+Q2110-H2110&lt;=0,0,Q2110-H2110),4)</f>
        <v>0</v>
      </c>
      <c r="S2110" s="423">
        <v>0.5</v>
      </c>
      <c r="T2110" s="419">
        <f>ROUND(+(R2110*C2110)*S2110,4)</f>
        <v>0</v>
      </c>
      <c r="U2110" s="419">
        <f>ROUND(+J2110+M2110+T2110,4)</f>
        <v>0</v>
      </c>
      <c r="V2110" s="235"/>
    </row>
    <row r="2111" spans="1:22" ht="15.75" x14ac:dyDescent="0.25">
      <c r="A2111" s="231"/>
      <c r="B2111" s="232"/>
      <c r="C2111" s="400"/>
      <c r="D2111" s="233"/>
      <c r="E2111" s="405"/>
      <c r="F2111" s="405"/>
      <c r="G2111" s="405"/>
      <c r="H2111" s="408">
        <f>ROUND(+E2111+F2111+G2111,4)</f>
        <v>0</v>
      </c>
      <c r="I2111" s="234"/>
      <c r="J2111" s="411"/>
      <c r="K2111" s="411"/>
      <c r="L2111" s="414">
        <v>0.1</v>
      </c>
      <c r="M2111" s="414">
        <f>ROUND(+L2111*C2111,4)</f>
        <v>0</v>
      </c>
      <c r="N2111" s="414"/>
      <c r="O2111" s="414"/>
      <c r="P2111" s="414"/>
      <c r="Q2111" s="419">
        <f>ROUND(+N2111+O2111+P2111,4)</f>
        <v>0</v>
      </c>
      <c r="R2111" s="419">
        <f>ROUND(IF(+Q2111-H2111&lt;=0,0,Q2111-H2111),4)</f>
        <v>0</v>
      </c>
      <c r="S2111" s="423">
        <v>0.5</v>
      </c>
      <c r="T2111" s="419">
        <f>ROUND(+(R2111*C2111)*S2111,4)</f>
        <v>0</v>
      </c>
      <c r="U2111" s="419">
        <f>ROUND(+J2111+M2111+T2111,4)</f>
        <v>0</v>
      </c>
      <c r="V2111" s="235"/>
    </row>
    <row r="2112" spans="1:22" ht="15.75" x14ac:dyDescent="0.25">
      <c r="A2112" s="231"/>
      <c r="B2112" s="232"/>
      <c r="C2112" s="400"/>
      <c r="D2112" s="233"/>
      <c r="E2112" s="405"/>
      <c r="F2112" s="405"/>
      <c r="G2112" s="405"/>
      <c r="H2112" s="408">
        <f>ROUND(+E2112+F2112+G2112,4)</f>
        <v>0</v>
      </c>
      <c r="I2112" s="234"/>
      <c r="J2112" s="411"/>
      <c r="K2112" s="411"/>
      <c r="L2112" s="414">
        <v>0.1</v>
      </c>
      <c r="M2112" s="414">
        <f>ROUND(+L2112*C2112,4)</f>
        <v>0</v>
      </c>
      <c r="N2112" s="414"/>
      <c r="O2112" s="414"/>
      <c r="P2112" s="414"/>
      <c r="Q2112" s="419">
        <f>ROUND(+N2112+O2112+P2112,4)</f>
        <v>0</v>
      </c>
      <c r="R2112" s="419">
        <f>ROUND(IF(+Q2112-H2112&lt;=0,0,Q2112-H2112),4)</f>
        <v>0</v>
      </c>
      <c r="S2112" s="423">
        <v>0.5</v>
      </c>
      <c r="T2112" s="419">
        <f>ROUND(+(R2112*C2112)*S2112,4)</f>
        <v>0</v>
      </c>
      <c r="U2112" s="419">
        <f>ROUND(+J2112+M2112+T2112,4)</f>
        <v>0</v>
      </c>
      <c r="V2112" s="235"/>
    </row>
    <row r="2113" spans="1:22" ht="15.75" x14ac:dyDescent="0.25">
      <c r="A2113" s="231"/>
      <c r="B2113" s="232"/>
      <c r="C2113" s="400"/>
      <c r="D2113" s="233"/>
      <c r="E2113" s="405"/>
      <c r="F2113" s="405"/>
      <c r="G2113" s="405"/>
      <c r="H2113" s="408">
        <f>ROUND(+E2113+F2113+G2113,4)</f>
        <v>0</v>
      </c>
      <c r="I2113" s="234"/>
      <c r="J2113" s="411"/>
      <c r="K2113" s="411"/>
      <c r="L2113" s="414">
        <v>0.1</v>
      </c>
      <c r="M2113" s="414">
        <f>ROUND(+L2113*C2113,4)</f>
        <v>0</v>
      </c>
      <c r="N2113" s="414"/>
      <c r="O2113" s="414"/>
      <c r="P2113" s="414"/>
      <c r="Q2113" s="419">
        <f>ROUND(+N2113+O2113+P2113,4)</f>
        <v>0</v>
      </c>
      <c r="R2113" s="419">
        <f>ROUND(IF(+Q2113-H2113&lt;=0,0,Q2113-H2113),4)</f>
        <v>0</v>
      </c>
      <c r="S2113" s="423">
        <v>0.5</v>
      </c>
      <c r="T2113" s="419">
        <f>ROUND(+(R2113*C2113)*S2113,4)</f>
        <v>0</v>
      </c>
      <c r="U2113" s="419">
        <f>ROUND(+J2113+M2113+T2113,4)</f>
        <v>0</v>
      </c>
      <c r="V2113" s="235"/>
    </row>
    <row r="2114" spans="1:22" ht="15.75" x14ac:dyDescent="0.25">
      <c r="A2114" s="231"/>
      <c r="B2114" s="232"/>
      <c r="C2114" s="400"/>
      <c r="D2114" s="233"/>
      <c r="E2114" s="405"/>
      <c r="F2114" s="405"/>
      <c r="G2114" s="405"/>
      <c r="H2114" s="408">
        <f>ROUND(+E2114+F2114+G2114,4)</f>
        <v>0</v>
      </c>
      <c r="I2114" s="234"/>
      <c r="J2114" s="411"/>
      <c r="K2114" s="411"/>
      <c r="L2114" s="414">
        <v>0.1</v>
      </c>
      <c r="M2114" s="414">
        <f>ROUND(+L2114*C2114,4)</f>
        <v>0</v>
      </c>
      <c r="N2114" s="414"/>
      <c r="O2114" s="414"/>
      <c r="P2114" s="414"/>
      <c r="Q2114" s="419">
        <f>ROUND(+N2114+O2114+P2114,4)</f>
        <v>0</v>
      </c>
      <c r="R2114" s="419">
        <f>ROUND(IF(+Q2114-H2114&lt;=0,0,Q2114-H2114),4)</f>
        <v>0</v>
      </c>
      <c r="S2114" s="423">
        <v>0.5</v>
      </c>
      <c r="T2114" s="419">
        <f>ROUND(+(R2114*C2114)*S2114,4)</f>
        <v>0</v>
      </c>
      <c r="U2114" s="419">
        <f>ROUND(+J2114+M2114+T2114,4)</f>
        <v>0</v>
      </c>
      <c r="V2114" s="235"/>
    </row>
    <row r="2115" spans="1:22" ht="15.75" x14ac:dyDescent="0.25">
      <c r="A2115" s="231"/>
      <c r="B2115" s="232"/>
      <c r="C2115" s="400"/>
      <c r="D2115" s="233"/>
      <c r="E2115" s="405"/>
      <c r="F2115" s="405"/>
      <c r="G2115" s="405"/>
      <c r="H2115" s="408">
        <f>ROUND(+E2115+F2115+G2115,4)</f>
        <v>0</v>
      </c>
      <c r="I2115" s="234"/>
      <c r="J2115" s="411"/>
      <c r="K2115" s="411"/>
      <c r="L2115" s="414">
        <v>0.1</v>
      </c>
      <c r="M2115" s="414">
        <f>ROUND(+L2115*C2115,4)</f>
        <v>0</v>
      </c>
      <c r="N2115" s="414"/>
      <c r="O2115" s="414"/>
      <c r="P2115" s="414"/>
      <c r="Q2115" s="419">
        <f>ROUND(+N2115+O2115+P2115,4)</f>
        <v>0</v>
      </c>
      <c r="R2115" s="419">
        <f>ROUND(IF(+Q2115-H2115&lt;=0,0,Q2115-H2115),4)</f>
        <v>0</v>
      </c>
      <c r="S2115" s="423">
        <v>0.5</v>
      </c>
      <c r="T2115" s="419">
        <f>ROUND(+(R2115*C2115)*S2115,4)</f>
        <v>0</v>
      </c>
      <c r="U2115" s="419">
        <f>ROUND(+J2115+M2115+T2115,4)</f>
        <v>0</v>
      </c>
      <c r="V2115" s="235"/>
    </row>
    <row r="2116" spans="1:22" ht="15.75" x14ac:dyDescent="0.25">
      <c r="A2116" s="231"/>
      <c r="B2116" s="232"/>
      <c r="C2116" s="400"/>
      <c r="D2116" s="233"/>
      <c r="E2116" s="405"/>
      <c r="F2116" s="405"/>
      <c r="G2116" s="405"/>
      <c r="H2116" s="408">
        <f>ROUND(+E2116+F2116+G2116,4)</f>
        <v>0</v>
      </c>
      <c r="I2116" s="234"/>
      <c r="J2116" s="411"/>
      <c r="K2116" s="411"/>
      <c r="L2116" s="414">
        <v>0.1</v>
      </c>
      <c r="M2116" s="414">
        <f>ROUND(+L2116*C2116,4)</f>
        <v>0</v>
      </c>
      <c r="N2116" s="414"/>
      <c r="O2116" s="414"/>
      <c r="P2116" s="414"/>
      <c r="Q2116" s="419">
        <f>ROUND(+N2116+O2116+P2116,4)</f>
        <v>0</v>
      </c>
      <c r="R2116" s="419">
        <f>ROUND(IF(+Q2116-H2116&lt;=0,0,Q2116-H2116),4)</f>
        <v>0</v>
      </c>
      <c r="S2116" s="423">
        <v>0.5</v>
      </c>
      <c r="T2116" s="419">
        <f>ROUND(+(R2116*C2116)*S2116,4)</f>
        <v>0</v>
      </c>
      <c r="U2116" s="419">
        <f>ROUND(+J2116+M2116+T2116,4)</f>
        <v>0</v>
      </c>
      <c r="V2116" s="235"/>
    </row>
    <row r="2117" spans="1:22" ht="15.75" x14ac:dyDescent="0.25">
      <c r="A2117" s="231"/>
      <c r="B2117" s="232"/>
      <c r="C2117" s="400"/>
      <c r="D2117" s="233"/>
      <c r="E2117" s="405"/>
      <c r="F2117" s="405"/>
      <c r="G2117" s="405"/>
      <c r="H2117" s="408">
        <f>ROUND(+E2117+F2117+G2117,4)</f>
        <v>0</v>
      </c>
      <c r="I2117" s="234"/>
      <c r="J2117" s="411"/>
      <c r="K2117" s="411"/>
      <c r="L2117" s="414">
        <v>0.1</v>
      </c>
      <c r="M2117" s="414">
        <f>ROUND(+L2117*C2117,4)</f>
        <v>0</v>
      </c>
      <c r="N2117" s="414"/>
      <c r="O2117" s="414"/>
      <c r="P2117" s="414"/>
      <c r="Q2117" s="419">
        <f>ROUND(+N2117+O2117+P2117,4)</f>
        <v>0</v>
      </c>
      <c r="R2117" s="419">
        <f>ROUND(IF(+Q2117-H2117&lt;=0,0,Q2117-H2117),4)</f>
        <v>0</v>
      </c>
      <c r="S2117" s="423">
        <v>0.5</v>
      </c>
      <c r="T2117" s="419">
        <f>ROUND(+(R2117*C2117)*S2117,4)</f>
        <v>0</v>
      </c>
      <c r="U2117" s="419">
        <f>ROUND(+J2117+M2117+T2117,4)</f>
        <v>0</v>
      </c>
      <c r="V2117" s="235"/>
    </row>
    <row r="2118" spans="1:22" ht="15.75" x14ac:dyDescent="0.25">
      <c r="A2118" s="231"/>
      <c r="B2118" s="232"/>
      <c r="C2118" s="400"/>
      <c r="D2118" s="233"/>
      <c r="E2118" s="405"/>
      <c r="F2118" s="405"/>
      <c r="G2118" s="405"/>
      <c r="H2118" s="408">
        <f>ROUND(+E2118+F2118+G2118,4)</f>
        <v>0</v>
      </c>
      <c r="I2118" s="234"/>
      <c r="J2118" s="411"/>
      <c r="K2118" s="411"/>
      <c r="L2118" s="414">
        <v>0.1</v>
      </c>
      <c r="M2118" s="414">
        <f>ROUND(+L2118*C2118,4)</f>
        <v>0</v>
      </c>
      <c r="N2118" s="414"/>
      <c r="O2118" s="414"/>
      <c r="P2118" s="414"/>
      <c r="Q2118" s="419">
        <f>ROUND(+N2118+O2118+P2118,4)</f>
        <v>0</v>
      </c>
      <c r="R2118" s="419">
        <f>ROUND(IF(+Q2118-H2118&lt;=0,0,Q2118-H2118),4)</f>
        <v>0</v>
      </c>
      <c r="S2118" s="423">
        <v>0.5</v>
      </c>
      <c r="T2118" s="419">
        <f>ROUND(+(R2118*C2118)*S2118,4)</f>
        <v>0</v>
      </c>
      <c r="U2118" s="419">
        <f>ROUND(+J2118+M2118+T2118,4)</f>
        <v>0</v>
      </c>
      <c r="V2118" s="235"/>
    </row>
    <row r="2119" spans="1:22" ht="15.75" x14ac:dyDescent="0.25">
      <c r="A2119" s="231"/>
      <c r="B2119" s="232"/>
      <c r="C2119" s="400"/>
      <c r="D2119" s="233"/>
      <c r="E2119" s="405"/>
      <c r="F2119" s="405"/>
      <c r="G2119" s="405"/>
      <c r="H2119" s="408">
        <f>ROUND(+E2119+F2119+G2119,4)</f>
        <v>0</v>
      </c>
      <c r="I2119" s="234"/>
      <c r="J2119" s="411"/>
      <c r="K2119" s="411"/>
      <c r="L2119" s="414">
        <v>0.1</v>
      </c>
      <c r="M2119" s="414">
        <f>ROUND(+L2119*C2119,4)</f>
        <v>0</v>
      </c>
      <c r="N2119" s="414"/>
      <c r="O2119" s="414"/>
      <c r="P2119" s="414"/>
      <c r="Q2119" s="419">
        <f>ROUND(+N2119+O2119+P2119,4)</f>
        <v>0</v>
      </c>
      <c r="R2119" s="419">
        <f>ROUND(IF(+Q2119-H2119&lt;=0,0,Q2119-H2119),4)</f>
        <v>0</v>
      </c>
      <c r="S2119" s="423">
        <v>0.5</v>
      </c>
      <c r="T2119" s="419">
        <f>ROUND(+(R2119*C2119)*S2119,4)</f>
        <v>0</v>
      </c>
      <c r="U2119" s="419">
        <f>ROUND(+J2119+M2119+T2119,4)</f>
        <v>0</v>
      </c>
      <c r="V2119" s="235"/>
    </row>
    <row r="2120" spans="1:22" ht="15.75" x14ac:dyDescent="0.25">
      <c r="A2120" s="231"/>
      <c r="B2120" s="232"/>
      <c r="C2120" s="400"/>
      <c r="D2120" s="233"/>
      <c r="E2120" s="405"/>
      <c r="F2120" s="405"/>
      <c r="G2120" s="405"/>
      <c r="H2120" s="408">
        <f>ROUND(+E2120+F2120+G2120,4)</f>
        <v>0</v>
      </c>
      <c r="I2120" s="234"/>
      <c r="J2120" s="411"/>
      <c r="K2120" s="411"/>
      <c r="L2120" s="414">
        <v>0.1</v>
      </c>
      <c r="M2120" s="414">
        <f>ROUND(+L2120*C2120,4)</f>
        <v>0</v>
      </c>
      <c r="N2120" s="414"/>
      <c r="O2120" s="414"/>
      <c r="P2120" s="414"/>
      <c r="Q2120" s="419">
        <f>ROUND(+N2120+O2120+P2120,4)</f>
        <v>0</v>
      </c>
      <c r="R2120" s="419">
        <f>ROUND(IF(+Q2120-H2120&lt;=0,0,Q2120-H2120),4)</f>
        <v>0</v>
      </c>
      <c r="S2120" s="423">
        <v>0.5</v>
      </c>
      <c r="T2120" s="419">
        <f>ROUND(+(R2120*C2120)*S2120,4)</f>
        <v>0</v>
      </c>
      <c r="U2120" s="419">
        <f>ROUND(+J2120+M2120+T2120,4)</f>
        <v>0</v>
      </c>
      <c r="V2120" s="235"/>
    </row>
    <row r="2121" spans="1:22" ht="15.75" x14ac:dyDescent="0.25">
      <c r="A2121" s="231"/>
      <c r="B2121" s="232"/>
      <c r="C2121" s="400"/>
      <c r="D2121" s="233"/>
      <c r="E2121" s="405"/>
      <c r="F2121" s="405"/>
      <c r="G2121" s="405"/>
      <c r="H2121" s="408">
        <f>ROUND(+E2121+F2121+G2121,4)</f>
        <v>0</v>
      </c>
      <c r="I2121" s="234"/>
      <c r="J2121" s="411"/>
      <c r="K2121" s="411"/>
      <c r="L2121" s="414">
        <v>0.1</v>
      </c>
      <c r="M2121" s="414">
        <f>ROUND(+L2121*C2121,4)</f>
        <v>0</v>
      </c>
      <c r="N2121" s="414"/>
      <c r="O2121" s="414"/>
      <c r="P2121" s="414"/>
      <c r="Q2121" s="419">
        <f>ROUND(+N2121+O2121+P2121,4)</f>
        <v>0</v>
      </c>
      <c r="R2121" s="419">
        <f>ROUND(IF(+Q2121-H2121&lt;=0,0,Q2121-H2121),4)</f>
        <v>0</v>
      </c>
      <c r="S2121" s="423">
        <v>0.5</v>
      </c>
      <c r="T2121" s="419">
        <f>ROUND(+(R2121*C2121)*S2121,4)</f>
        <v>0</v>
      </c>
      <c r="U2121" s="419">
        <f>ROUND(+J2121+M2121+T2121,4)</f>
        <v>0</v>
      </c>
      <c r="V2121" s="235"/>
    </row>
    <row r="2122" spans="1:22" ht="15.75" x14ac:dyDescent="0.25">
      <c r="A2122" s="231"/>
      <c r="B2122" s="232"/>
      <c r="C2122" s="400"/>
      <c r="D2122" s="233"/>
      <c r="E2122" s="405"/>
      <c r="F2122" s="405"/>
      <c r="G2122" s="405"/>
      <c r="H2122" s="408">
        <f>ROUND(+E2122+F2122+G2122,4)</f>
        <v>0</v>
      </c>
      <c r="I2122" s="234"/>
      <c r="J2122" s="411"/>
      <c r="K2122" s="411"/>
      <c r="L2122" s="414">
        <v>0.1</v>
      </c>
      <c r="M2122" s="414">
        <f>ROUND(+L2122*C2122,4)</f>
        <v>0</v>
      </c>
      <c r="N2122" s="414"/>
      <c r="O2122" s="414"/>
      <c r="P2122" s="414"/>
      <c r="Q2122" s="419">
        <f>ROUND(+N2122+O2122+P2122,4)</f>
        <v>0</v>
      </c>
      <c r="R2122" s="419">
        <f>ROUND(IF(+Q2122-H2122&lt;=0,0,Q2122-H2122),4)</f>
        <v>0</v>
      </c>
      <c r="S2122" s="423">
        <v>0.5</v>
      </c>
      <c r="T2122" s="419">
        <f>ROUND(+(R2122*C2122)*S2122,4)</f>
        <v>0</v>
      </c>
      <c r="U2122" s="419">
        <f>ROUND(+J2122+M2122+T2122,4)</f>
        <v>0</v>
      </c>
      <c r="V2122" s="235"/>
    </row>
    <row r="2123" spans="1:22" ht="15.75" x14ac:dyDescent="0.25">
      <c r="A2123" s="231"/>
      <c r="B2123" s="232"/>
      <c r="C2123" s="400"/>
      <c r="D2123" s="233"/>
      <c r="E2123" s="405"/>
      <c r="F2123" s="405"/>
      <c r="G2123" s="405"/>
      <c r="H2123" s="408">
        <f>ROUND(+E2123+F2123+G2123,4)</f>
        <v>0</v>
      </c>
      <c r="I2123" s="234"/>
      <c r="J2123" s="411"/>
      <c r="K2123" s="411"/>
      <c r="L2123" s="414">
        <v>0.1</v>
      </c>
      <c r="M2123" s="414">
        <f>ROUND(+L2123*C2123,4)</f>
        <v>0</v>
      </c>
      <c r="N2123" s="414"/>
      <c r="O2123" s="414"/>
      <c r="P2123" s="414"/>
      <c r="Q2123" s="419">
        <f>ROUND(+N2123+O2123+P2123,4)</f>
        <v>0</v>
      </c>
      <c r="R2123" s="419">
        <f>ROUND(IF(+Q2123-H2123&lt;=0,0,Q2123-H2123),4)</f>
        <v>0</v>
      </c>
      <c r="S2123" s="423">
        <v>0.5</v>
      </c>
      <c r="T2123" s="419">
        <f>ROUND(+(R2123*C2123)*S2123,4)</f>
        <v>0</v>
      </c>
      <c r="U2123" s="419">
        <f>ROUND(+J2123+M2123+T2123,4)</f>
        <v>0</v>
      </c>
      <c r="V2123" s="235"/>
    </row>
    <row r="2124" spans="1:22" ht="15.75" x14ac:dyDescent="0.25">
      <c r="A2124" s="231"/>
      <c r="B2124" s="232"/>
      <c r="C2124" s="400"/>
      <c r="D2124" s="233"/>
      <c r="E2124" s="405"/>
      <c r="F2124" s="405"/>
      <c r="G2124" s="405"/>
      <c r="H2124" s="408">
        <f>ROUND(+E2124+F2124+G2124,4)</f>
        <v>0</v>
      </c>
      <c r="I2124" s="234"/>
      <c r="J2124" s="411"/>
      <c r="K2124" s="411"/>
      <c r="L2124" s="414">
        <v>0.1</v>
      </c>
      <c r="M2124" s="414">
        <f>ROUND(+L2124*C2124,4)</f>
        <v>0</v>
      </c>
      <c r="N2124" s="414"/>
      <c r="O2124" s="414"/>
      <c r="P2124" s="414"/>
      <c r="Q2124" s="419">
        <f>ROUND(+N2124+O2124+P2124,4)</f>
        <v>0</v>
      </c>
      <c r="R2124" s="419">
        <f>ROUND(IF(+Q2124-H2124&lt;=0,0,Q2124-H2124),4)</f>
        <v>0</v>
      </c>
      <c r="S2124" s="423">
        <v>0.5</v>
      </c>
      <c r="T2124" s="419">
        <f>ROUND(+(R2124*C2124)*S2124,4)</f>
        <v>0</v>
      </c>
      <c r="U2124" s="419">
        <f>ROUND(+J2124+M2124+T2124,4)</f>
        <v>0</v>
      </c>
      <c r="V2124" s="235"/>
    </row>
    <row r="2125" spans="1:22" ht="15.75" x14ac:dyDescent="0.25">
      <c r="A2125" s="231"/>
      <c r="B2125" s="232"/>
      <c r="C2125" s="400"/>
      <c r="D2125" s="233"/>
      <c r="E2125" s="405"/>
      <c r="F2125" s="405"/>
      <c r="G2125" s="405"/>
      <c r="H2125" s="408">
        <f>ROUND(+E2125+F2125+G2125,4)</f>
        <v>0</v>
      </c>
      <c r="I2125" s="234"/>
      <c r="J2125" s="411"/>
      <c r="K2125" s="411"/>
      <c r="L2125" s="414">
        <v>0.1</v>
      </c>
      <c r="M2125" s="414">
        <f>ROUND(+L2125*C2125,4)</f>
        <v>0</v>
      </c>
      <c r="N2125" s="414"/>
      <c r="O2125" s="414"/>
      <c r="P2125" s="414"/>
      <c r="Q2125" s="419">
        <f>ROUND(+N2125+O2125+P2125,4)</f>
        <v>0</v>
      </c>
      <c r="R2125" s="419">
        <f>ROUND(IF(+Q2125-H2125&lt;=0,0,Q2125-H2125),4)</f>
        <v>0</v>
      </c>
      <c r="S2125" s="423">
        <v>0.5</v>
      </c>
      <c r="T2125" s="419">
        <f>ROUND(+(R2125*C2125)*S2125,4)</f>
        <v>0</v>
      </c>
      <c r="U2125" s="419">
        <f>ROUND(+J2125+M2125+T2125,4)</f>
        <v>0</v>
      </c>
      <c r="V2125" s="235"/>
    </row>
    <row r="2126" spans="1:22" ht="15.75" x14ac:dyDescent="0.25">
      <c r="A2126" s="231"/>
      <c r="B2126" s="232"/>
      <c r="C2126" s="400"/>
      <c r="D2126" s="233"/>
      <c r="E2126" s="405"/>
      <c r="F2126" s="405"/>
      <c r="G2126" s="405"/>
      <c r="H2126" s="408">
        <f>ROUND(+E2126+F2126+G2126,4)</f>
        <v>0</v>
      </c>
      <c r="I2126" s="234"/>
      <c r="J2126" s="411"/>
      <c r="K2126" s="411"/>
      <c r="L2126" s="414">
        <v>0.1</v>
      </c>
      <c r="M2126" s="414">
        <f>ROUND(+L2126*C2126,4)</f>
        <v>0</v>
      </c>
      <c r="N2126" s="414"/>
      <c r="O2126" s="414"/>
      <c r="P2126" s="414"/>
      <c r="Q2126" s="419">
        <f>ROUND(+N2126+O2126+P2126,4)</f>
        <v>0</v>
      </c>
      <c r="R2126" s="419">
        <f>ROUND(IF(+Q2126-H2126&lt;=0,0,Q2126-H2126),4)</f>
        <v>0</v>
      </c>
      <c r="S2126" s="423">
        <v>0.5</v>
      </c>
      <c r="T2126" s="419">
        <f>ROUND(+(R2126*C2126)*S2126,4)</f>
        <v>0</v>
      </c>
      <c r="U2126" s="419">
        <f>ROUND(+J2126+M2126+T2126,4)</f>
        <v>0</v>
      </c>
      <c r="V2126" s="235"/>
    </row>
    <row r="2127" spans="1:22" ht="15.75" x14ac:dyDescent="0.25">
      <c r="A2127" s="231"/>
      <c r="B2127" s="232"/>
      <c r="C2127" s="400"/>
      <c r="D2127" s="233"/>
      <c r="E2127" s="405"/>
      <c r="F2127" s="405"/>
      <c r="G2127" s="405"/>
      <c r="H2127" s="408">
        <f>ROUND(+E2127+F2127+G2127,4)</f>
        <v>0</v>
      </c>
      <c r="I2127" s="234"/>
      <c r="J2127" s="411"/>
      <c r="K2127" s="411"/>
      <c r="L2127" s="414">
        <v>0.1</v>
      </c>
      <c r="M2127" s="414">
        <f>ROUND(+L2127*C2127,4)</f>
        <v>0</v>
      </c>
      <c r="N2127" s="414"/>
      <c r="O2127" s="414"/>
      <c r="P2127" s="414"/>
      <c r="Q2127" s="419">
        <f>ROUND(+N2127+O2127+P2127,4)</f>
        <v>0</v>
      </c>
      <c r="R2127" s="419">
        <f>ROUND(IF(+Q2127-H2127&lt;=0,0,Q2127-H2127),4)</f>
        <v>0</v>
      </c>
      <c r="S2127" s="423">
        <v>0.5</v>
      </c>
      <c r="T2127" s="419">
        <f>ROUND(+(R2127*C2127)*S2127,4)</f>
        <v>0</v>
      </c>
      <c r="U2127" s="419">
        <f>ROUND(+J2127+M2127+T2127,4)</f>
        <v>0</v>
      </c>
      <c r="V2127" s="235"/>
    </row>
    <row r="2128" spans="1:22" ht="15.75" x14ac:dyDescent="0.25">
      <c r="A2128" s="231"/>
      <c r="B2128" s="232"/>
      <c r="C2128" s="400"/>
      <c r="D2128" s="233"/>
      <c r="E2128" s="405"/>
      <c r="F2128" s="405"/>
      <c r="G2128" s="405"/>
      <c r="H2128" s="408">
        <f>ROUND(+E2128+F2128+G2128,4)</f>
        <v>0</v>
      </c>
      <c r="I2128" s="234"/>
      <c r="J2128" s="411"/>
      <c r="K2128" s="411"/>
      <c r="L2128" s="414">
        <v>0.1</v>
      </c>
      <c r="M2128" s="414">
        <f>ROUND(+L2128*C2128,4)</f>
        <v>0</v>
      </c>
      <c r="N2128" s="414"/>
      <c r="O2128" s="414"/>
      <c r="P2128" s="414"/>
      <c r="Q2128" s="419">
        <f>ROUND(+N2128+O2128+P2128,4)</f>
        <v>0</v>
      </c>
      <c r="R2128" s="419">
        <f>ROUND(IF(+Q2128-H2128&lt;=0,0,Q2128-H2128),4)</f>
        <v>0</v>
      </c>
      <c r="S2128" s="423">
        <v>0.5</v>
      </c>
      <c r="T2128" s="419">
        <f>ROUND(+(R2128*C2128)*S2128,4)</f>
        <v>0</v>
      </c>
      <c r="U2128" s="419">
        <f>ROUND(+J2128+M2128+T2128,4)</f>
        <v>0</v>
      </c>
      <c r="V2128" s="235"/>
    </row>
    <row r="2129" spans="1:22" ht="15.75" x14ac:dyDescent="0.25">
      <c r="A2129" s="231"/>
      <c r="B2129" s="232"/>
      <c r="C2129" s="400"/>
      <c r="D2129" s="233"/>
      <c r="E2129" s="405"/>
      <c r="F2129" s="405"/>
      <c r="G2129" s="405"/>
      <c r="H2129" s="408">
        <f>ROUND(+E2129+F2129+G2129,4)</f>
        <v>0</v>
      </c>
      <c r="I2129" s="234"/>
      <c r="J2129" s="411"/>
      <c r="K2129" s="411"/>
      <c r="L2129" s="414">
        <v>0.1</v>
      </c>
      <c r="M2129" s="414">
        <f>ROUND(+L2129*C2129,4)</f>
        <v>0</v>
      </c>
      <c r="N2129" s="414"/>
      <c r="O2129" s="414"/>
      <c r="P2129" s="414"/>
      <c r="Q2129" s="419">
        <f>ROUND(+N2129+O2129+P2129,4)</f>
        <v>0</v>
      </c>
      <c r="R2129" s="419">
        <f>ROUND(IF(+Q2129-H2129&lt;=0,0,Q2129-H2129),4)</f>
        <v>0</v>
      </c>
      <c r="S2129" s="423">
        <v>0.5</v>
      </c>
      <c r="T2129" s="419">
        <f>ROUND(+(R2129*C2129)*S2129,4)</f>
        <v>0</v>
      </c>
      <c r="U2129" s="419">
        <f>ROUND(+J2129+M2129+T2129,4)</f>
        <v>0</v>
      </c>
      <c r="V2129" s="235"/>
    </row>
    <row r="2130" spans="1:22" ht="15.75" x14ac:dyDescent="0.25">
      <c r="A2130" s="231"/>
      <c r="B2130" s="232"/>
      <c r="C2130" s="400"/>
      <c r="D2130" s="233"/>
      <c r="E2130" s="405"/>
      <c r="F2130" s="405"/>
      <c r="G2130" s="405"/>
      <c r="H2130" s="408">
        <f>ROUND(+E2130+F2130+G2130,4)</f>
        <v>0</v>
      </c>
      <c r="I2130" s="234"/>
      <c r="J2130" s="411"/>
      <c r="K2130" s="411"/>
      <c r="L2130" s="414">
        <v>0.1</v>
      </c>
      <c r="M2130" s="414">
        <f>ROUND(+L2130*C2130,4)</f>
        <v>0</v>
      </c>
      <c r="N2130" s="414"/>
      <c r="O2130" s="414"/>
      <c r="P2130" s="414"/>
      <c r="Q2130" s="419">
        <f>ROUND(+N2130+O2130+P2130,4)</f>
        <v>0</v>
      </c>
      <c r="R2130" s="419">
        <f>ROUND(IF(+Q2130-H2130&lt;=0,0,Q2130-H2130),4)</f>
        <v>0</v>
      </c>
      <c r="S2130" s="423">
        <v>0.5</v>
      </c>
      <c r="T2130" s="419">
        <f>ROUND(+(R2130*C2130)*S2130,4)</f>
        <v>0</v>
      </c>
      <c r="U2130" s="419">
        <f>ROUND(+J2130+M2130+T2130,4)</f>
        <v>0</v>
      </c>
      <c r="V2130" s="235"/>
    </row>
    <row r="2131" spans="1:22" ht="15.75" x14ac:dyDescent="0.25">
      <c r="A2131" s="231"/>
      <c r="B2131" s="232"/>
      <c r="C2131" s="400"/>
      <c r="D2131" s="233"/>
      <c r="E2131" s="405"/>
      <c r="F2131" s="405"/>
      <c r="G2131" s="405"/>
      <c r="H2131" s="408">
        <f>ROUND(+E2131+F2131+G2131,4)</f>
        <v>0</v>
      </c>
      <c r="I2131" s="234"/>
      <c r="J2131" s="411"/>
      <c r="K2131" s="411"/>
      <c r="L2131" s="414">
        <v>0.1</v>
      </c>
      <c r="M2131" s="414">
        <f>ROUND(+L2131*C2131,4)</f>
        <v>0</v>
      </c>
      <c r="N2131" s="414"/>
      <c r="O2131" s="414"/>
      <c r="P2131" s="414"/>
      <c r="Q2131" s="419">
        <f>ROUND(+N2131+O2131+P2131,4)</f>
        <v>0</v>
      </c>
      <c r="R2131" s="419">
        <f>ROUND(IF(+Q2131-H2131&lt;=0,0,Q2131-H2131),4)</f>
        <v>0</v>
      </c>
      <c r="S2131" s="423">
        <v>0.5</v>
      </c>
      <c r="T2131" s="419">
        <f>ROUND(+(R2131*C2131)*S2131,4)</f>
        <v>0</v>
      </c>
      <c r="U2131" s="419">
        <f>ROUND(+J2131+M2131+T2131,4)</f>
        <v>0</v>
      </c>
      <c r="V2131" s="235"/>
    </row>
    <row r="2132" spans="1:22" ht="15.75" x14ac:dyDescent="0.25">
      <c r="A2132" s="231"/>
      <c r="B2132" s="232"/>
      <c r="C2132" s="400"/>
      <c r="D2132" s="233"/>
      <c r="E2132" s="405"/>
      <c r="F2132" s="405"/>
      <c r="G2132" s="405"/>
      <c r="H2132" s="408">
        <f>ROUND(+E2132+F2132+G2132,4)</f>
        <v>0</v>
      </c>
      <c r="I2132" s="234"/>
      <c r="J2132" s="411"/>
      <c r="K2132" s="411"/>
      <c r="L2132" s="414">
        <v>0.1</v>
      </c>
      <c r="M2132" s="414">
        <f>ROUND(+L2132*C2132,4)</f>
        <v>0</v>
      </c>
      <c r="N2132" s="414"/>
      <c r="O2132" s="414"/>
      <c r="P2132" s="414"/>
      <c r="Q2132" s="419">
        <f>ROUND(+N2132+O2132+P2132,4)</f>
        <v>0</v>
      </c>
      <c r="R2132" s="419">
        <f>ROUND(IF(+Q2132-H2132&lt;=0,0,Q2132-H2132),4)</f>
        <v>0</v>
      </c>
      <c r="S2132" s="423">
        <v>0.5</v>
      </c>
      <c r="T2132" s="419">
        <f>ROUND(+(R2132*C2132)*S2132,4)</f>
        <v>0</v>
      </c>
      <c r="U2132" s="419">
        <f>ROUND(+J2132+M2132+T2132,4)</f>
        <v>0</v>
      </c>
      <c r="V2132" s="235"/>
    </row>
    <row r="2133" spans="1:22" ht="15.75" x14ac:dyDescent="0.25">
      <c r="A2133" s="231"/>
      <c r="B2133" s="232"/>
      <c r="C2133" s="400"/>
      <c r="D2133" s="233"/>
      <c r="E2133" s="405"/>
      <c r="F2133" s="405"/>
      <c r="G2133" s="405"/>
      <c r="H2133" s="408">
        <f>ROUND(+E2133+F2133+G2133,4)</f>
        <v>0</v>
      </c>
      <c r="I2133" s="234"/>
      <c r="J2133" s="411"/>
      <c r="K2133" s="411"/>
      <c r="L2133" s="414">
        <v>0.1</v>
      </c>
      <c r="M2133" s="414">
        <f>ROUND(+L2133*C2133,4)</f>
        <v>0</v>
      </c>
      <c r="N2133" s="414"/>
      <c r="O2133" s="414"/>
      <c r="P2133" s="414"/>
      <c r="Q2133" s="419">
        <f>ROUND(+N2133+O2133+P2133,4)</f>
        <v>0</v>
      </c>
      <c r="R2133" s="419">
        <f>ROUND(IF(+Q2133-H2133&lt;=0,0,Q2133-H2133),4)</f>
        <v>0</v>
      </c>
      <c r="S2133" s="423">
        <v>0.5</v>
      </c>
      <c r="T2133" s="419">
        <f>ROUND(+(R2133*C2133)*S2133,4)</f>
        <v>0</v>
      </c>
      <c r="U2133" s="419">
        <f>ROUND(+J2133+M2133+T2133,4)</f>
        <v>0</v>
      </c>
      <c r="V2133" s="235"/>
    </row>
    <row r="2134" spans="1:22" ht="15.75" x14ac:dyDescent="0.25">
      <c r="A2134" s="231"/>
      <c r="B2134" s="232"/>
      <c r="C2134" s="400"/>
      <c r="D2134" s="233"/>
      <c r="E2134" s="405"/>
      <c r="F2134" s="405"/>
      <c r="G2134" s="405"/>
      <c r="H2134" s="408">
        <f>ROUND(+E2134+F2134+G2134,4)</f>
        <v>0</v>
      </c>
      <c r="I2134" s="234"/>
      <c r="J2134" s="411"/>
      <c r="K2134" s="411"/>
      <c r="L2134" s="414">
        <v>0.1</v>
      </c>
      <c r="M2134" s="414">
        <f>ROUND(+L2134*C2134,4)</f>
        <v>0</v>
      </c>
      <c r="N2134" s="414"/>
      <c r="O2134" s="414"/>
      <c r="P2134" s="414"/>
      <c r="Q2134" s="419">
        <f>ROUND(+N2134+O2134+P2134,4)</f>
        <v>0</v>
      </c>
      <c r="R2134" s="419">
        <f>ROUND(IF(+Q2134-H2134&lt;=0,0,Q2134-H2134),4)</f>
        <v>0</v>
      </c>
      <c r="S2134" s="423">
        <v>0.5</v>
      </c>
      <c r="T2134" s="419">
        <f>ROUND(+(R2134*C2134)*S2134,4)</f>
        <v>0</v>
      </c>
      <c r="U2134" s="419">
        <f>ROUND(+J2134+M2134+T2134,4)</f>
        <v>0</v>
      </c>
      <c r="V2134" s="235"/>
    </row>
    <row r="2135" spans="1:22" ht="15.75" x14ac:dyDescent="0.25">
      <c r="A2135" s="231"/>
      <c r="B2135" s="232"/>
      <c r="C2135" s="400"/>
      <c r="D2135" s="233"/>
      <c r="E2135" s="405"/>
      <c r="F2135" s="405"/>
      <c r="G2135" s="405"/>
      <c r="H2135" s="408">
        <f>ROUND(+E2135+F2135+G2135,4)</f>
        <v>0</v>
      </c>
      <c r="I2135" s="234"/>
      <c r="J2135" s="411"/>
      <c r="K2135" s="411"/>
      <c r="L2135" s="414">
        <v>0.1</v>
      </c>
      <c r="M2135" s="414">
        <f>ROUND(+L2135*C2135,4)</f>
        <v>0</v>
      </c>
      <c r="N2135" s="414"/>
      <c r="O2135" s="414"/>
      <c r="P2135" s="414"/>
      <c r="Q2135" s="419">
        <f>ROUND(+N2135+O2135+P2135,4)</f>
        <v>0</v>
      </c>
      <c r="R2135" s="419">
        <f>ROUND(IF(+Q2135-H2135&lt;=0,0,Q2135-H2135),4)</f>
        <v>0</v>
      </c>
      <c r="S2135" s="423">
        <v>0.5</v>
      </c>
      <c r="T2135" s="419">
        <f>ROUND(+(R2135*C2135)*S2135,4)</f>
        <v>0</v>
      </c>
      <c r="U2135" s="419">
        <f>ROUND(+J2135+M2135+T2135,4)</f>
        <v>0</v>
      </c>
      <c r="V2135" s="235"/>
    </row>
    <row r="2136" spans="1:22" ht="15.75" x14ac:dyDescent="0.25">
      <c r="A2136" s="231"/>
      <c r="B2136" s="232"/>
      <c r="C2136" s="400"/>
      <c r="D2136" s="233"/>
      <c r="E2136" s="405"/>
      <c r="F2136" s="405"/>
      <c r="G2136" s="405"/>
      <c r="H2136" s="408">
        <f>ROUND(+E2136+F2136+G2136,4)</f>
        <v>0</v>
      </c>
      <c r="I2136" s="234"/>
      <c r="J2136" s="411"/>
      <c r="K2136" s="411"/>
      <c r="L2136" s="414">
        <v>0.1</v>
      </c>
      <c r="M2136" s="414">
        <f>ROUND(+L2136*C2136,4)</f>
        <v>0</v>
      </c>
      <c r="N2136" s="414"/>
      <c r="O2136" s="414"/>
      <c r="P2136" s="414"/>
      <c r="Q2136" s="419">
        <f>ROUND(+N2136+O2136+P2136,4)</f>
        <v>0</v>
      </c>
      <c r="R2136" s="419">
        <f>ROUND(IF(+Q2136-H2136&lt;=0,0,Q2136-H2136),4)</f>
        <v>0</v>
      </c>
      <c r="S2136" s="423">
        <v>0.5</v>
      </c>
      <c r="T2136" s="419">
        <f>ROUND(+(R2136*C2136)*S2136,4)</f>
        <v>0</v>
      </c>
      <c r="U2136" s="419">
        <f>ROUND(+J2136+M2136+T2136,4)</f>
        <v>0</v>
      </c>
      <c r="V2136" s="235"/>
    </row>
    <row r="2137" spans="1:22" ht="15.75" x14ac:dyDescent="0.25">
      <c r="A2137" s="231"/>
      <c r="B2137" s="232"/>
      <c r="C2137" s="400"/>
      <c r="D2137" s="233"/>
      <c r="E2137" s="405"/>
      <c r="F2137" s="405"/>
      <c r="G2137" s="405"/>
      <c r="H2137" s="408">
        <f>ROUND(+E2137+F2137+G2137,4)</f>
        <v>0</v>
      </c>
      <c r="I2137" s="234"/>
      <c r="J2137" s="411"/>
      <c r="K2137" s="411"/>
      <c r="L2137" s="414">
        <v>0.1</v>
      </c>
      <c r="M2137" s="414">
        <f>ROUND(+L2137*C2137,4)</f>
        <v>0</v>
      </c>
      <c r="N2137" s="414"/>
      <c r="O2137" s="414"/>
      <c r="P2137" s="414"/>
      <c r="Q2137" s="419">
        <f>ROUND(+N2137+O2137+P2137,4)</f>
        <v>0</v>
      </c>
      <c r="R2137" s="419">
        <f>ROUND(IF(+Q2137-H2137&lt;=0,0,Q2137-H2137),4)</f>
        <v>0</v>
      </c>
      <c r="S2137" s="423">
        <v>0.5</v>
      </c>
      <c r="T2137" s="419">
        <f>ROUND(+(R2137*C2137)*S2137,4)</f>
        <v>0</v>
      </c>
      <c r="U2137" s="419">
        <f>ROUND(+J2137+M2137+T2137,4)</f>
        <v>0</v>
      </c>
      <c r="V2137" s="235"/>
    </row>
    <row r="2138" spans="1:22" ht="15.75" x14ac:dyDescent="0.25">
      <c r="A2138" s="231"/>
      <c r="B2138" s="232"/>
      <c r="C2138" s="400"/>
      <c r="D2138" s="233"/>
      <c r="E2138" s="405"/>
      <c r="F2138" s="405"/>
      <c r="G2138" s="405"/>
      <c r="H2138" s="408">
        <f>ROUND(+E2138+F2138+G2138,4)</f>
        <v>0</v>
      </c>
      <c r="I2138" s="234"/>
      <c r="J2138" s="411"/>
      <c r="K2138" s="411"/>
      <c r="L2138" s="414">
        <v>0.1</v>
      </c>
      <c r="M2138" s="414">
        <f>ROUND(+L2138*C2138,4)</f>
        <v>0</v>
      </c>
      <c r="N2138" s="414"/>
      <c r="O2138" s="414"/>
      <c r="P2138" s="414"/>
      <c r="Q2138" s="419">
        <f>ROUND(+N2138+O2138+P2138,4)</f>
        <v>0</v>
      </c>
      <c r="R2138" s="419">
        <f>ROUND(IF(+Q2138-H2138&lt;=0,0,Q2138-H2138),4)</f>
        <v>0</v>
      </c>
      <c r="S2138" s="423">
        <v>0.5</v>
      </c>
      <c r="T2138" s="419">
        <f>ROUND(+(R2138*C2138)*S2138,4)</f>
        <v>0</v>
      </c>
      <c r="U2138" s="419">
        <f>ROUND(+J2138+M2138+T2138,4)</f>
        <v>0</v>
      </c>
      <c r="V2138" s="235"/>
    </row>
    <row r="2139" spans="1:22" ht="15.75" x14ac:dyDescent="0.25">
      <c r="A2139" s="231"/>
      <c r="B2139" s="232"/>
      <c r="C2139" s="400"/>
      <c r="D2139" s="233"/>
      <c r="E2139" s="405"/>
      <c r="F2139" s="405"/>
      <c r="G2139" s="405"/>
      <c r="H2139" s="408">
        <f>ROUND(+E2139+F2139+G2139,4)</f>
        <v>0</v>
      </c>
      <c r="I2139" s="234"/>
      <c r="J2139" s="411"/>
      <c r="K2139" s="411"/>
      <c r="L2139" s="414">
        <v>0.1</v>
      </c>
      <c r="M2139" s="414">
        <f>ROUND(+L2139*C2139,4)</f>
        <v>0</v>
      </c>
      <c r="N2139" s="414"/>
      <c r="O2139" s="414"/>
      <c r="P2139" s="414"/>
      <c r="Q2139" s="419">
        <f>ROUND(+N2139+O2139+P2139,4)</f>
        <v>0</v>
      </c>
      <c r="R2139" s="419">
        <f>ROUND(IF(+Q2139-H2139&lt;=0,0,Q2139-H2139),4)</f>
        <v>0</v>
      </c>
      <c r="S2139" s="423">
        <v>0.5</v>
      </c>
      <c r="T2139" s="419">
        <f>ROUND(+(R2139*C2139)*S2139,4)</f>
        <v>0</v>
      </c>
      <c r="U2139" s="419">
        <f>ROUND(+J2139+M2139+T2139,4)</f>
        <v>0</v>
      </c>
      <c r="V2139" s="235"/>
    </row>
    <row r="2140" spans="1:22" ht="15.75" x14ac:dyDescent="0.25">
      <c r="A2140" s="231"/>
      <c r="B2140" s="232"/>
      <c r="C2140" s="400"/>
      <c r="D2140" s="233"/>
      <c r="E2140" s="405"/>
      <c r="F2140" s="405"/>
      <c r="G2140" s="405"/>
      <c r="H2140" s="408">
        <f>ROUND(+E2140+F2140+G2140,4)</f>
        <v>0</v>
      </c>
      <c r="I2140" s="234"/>
      <c r="J2140" s="411"/>
      <c r="K2140" s="411"/>
      <c r="L2140" s="414">
        <v>0.1</v>
      </c>
      <c r="M2140" s="414">
        <f>ROUND(+L2140*C2140,4)</f>
        <v>0</v>
      </c>
      <c r="N2140" s="414"/>
      <c r="O2140" s="414"/>
      <c r="P2140" s="414"/>
      <c r="Q2140" s="419">
        <f>ROUND(+N2140+O2140+P2140,4)</f>
        <v>0</v>
      </c>
      <c r="R2140" s="419">
        <f>ROUND(IF(+Q2140-H2140&lt;=0,0,Q2140-H2140),4)</f>
        <v>0</v>
      </c>
      <c r="S2140" s="423">
        <v>0.5</v>
      </c>
      <c r="T2140" s="419">
        <f>ROUND(+(R2140*C2140)*S2140,4)</f>
        <v>0</v>
      </c>
      <c r="U2140" s="419">
        <f>ROUND(+J2140+M2140+T2140,4)</f>
        <v>0</v>
      </c>
      <c r="V2140" s="235"/>
    </row>
    <row r="2141" spans="1:22" ht="15.75" x14ac:dyDescent="0.25">
      <c r="A2141" s="231"/>
      <c r="B2141" s="232"/>
      <c r="C2141" s="400"/>
      <c r="D2141" s="233"/>
      <c r="E2141" s="405"/>
      <c r="F2141" s="405"/>
      <c r="G2141" s="405"/>
      <c r="H2141" s="408">
        <f>ROUND(+E2141+F2141+G2141,4)</f>
        <v>0</v>
      </c>
      <c r="I2141" s="234"/>
      <c r="J2141" s="411"/>
      <c r="K2141" s="411"/>
      <c r="L2141" s="414">
        <v>0.1</v>
      </c>
      <c r="M2141" s="414">
        <f>ROUND(+L2141*C2141,4)</f>
        <v>0</v>
      </c>
      <c r="N2141" s="414"/>
      <c r="O2141" s="414"/>
      <c r="P2141" s="414"/>
      <c r="Q2141" s="419">
        <f>ROUND(+N2141+O2141+P2141,4)</f>
        <v>0</v>
      </c>
      <c r="R2141" s="419">
        <f>ROUND(IF(+Q2141-H2141&lt;=0,0,Q2141-H2141),4)</f>
        <v>0</v>
      </c>
      <c r="S2141" s="423">
        <v>0.5</v>
      </c>
      <c r="T2141" s="419">
        <f>ROUND(+(R2141*C2141)*S2141,4)</f>
        <v>0</v>
      </c>
      <c r="U2141" s="419">
        <f>ROUND(+J2141+M2141+T2141,4)</f>
        <v>0</v>
      </c>
      <c r="V2141" s="235"/>
    </row>
    <row r="2142" spans="1:22" ht="15.75" x14ac:dyDescent="0.25">
      <c r="A2142" s="231"/>
      <c r="B2142" s="232"/>
      <c r="C2142" s="400"/>
      <c r="D2142" s="233"/>
      <c r="E2142" s="405"/>
      <c r="F2142" s="405"/>
      <c r="G2142" s="405"/>
      <c r="H2142" s="408">
        <f>ROUND(+E2142+F2142+G2142,4)</f>
        <v>0</v>
      </c>
      <c r="I2142" s="234"/>
      <c r="J2142" s="411"/>
      <c r="K2142" s="411"/>
      <c r="L2142" s="414">
        <v>0.1</v>
      </c>
      <c r="M2142" s="414">
        <f>ROUND(+L2142*C2142,4)</f>
        <v>0</v>
      </c>
      <c r="N2142" s="414"/>
      <c r="O2142" s="414"/>
      <c r="P2142" s="414"/>
      <c r="Q2142" s="419">
        <f>ROUND(+N2142+O2142+P2142,4)</f>
        <v>0</v>
      </c>
      <c r="R2142" s="419">
        <f>ROUND(IF(+Q2142-H2142&lt;=0,0,Q2142-H2142),4)</f>
        <v>0</v>
      </c>
      <c r="S2142" s="423">
        <v>0.5</v>
      </c>
      <c r="T2142" s="419">
        <f>ROUND(+(R2142*C2142)*S2142,4)</f>
        <v>0</v>
      </c>
      <c r="U2142" s="419">
        <f>ROUND(+J2142+M2142+T2142,4)</f>
        <v>0</v>
      </c>
      <c r="V2142" s="235"/>
    </row>
    <row r="2143" spans="1:22" ht="15.75" x14ac:dyDescent="0.25">
      <c r="A2143" s="231"/>
      <c r="B2143" s="232"/>
      <c r="C2143" s="400"/>
      <c r="D2143" s="233"/>
      <c r="E2143" s="405"/>
      <c r="F2143" s="405"/>
      <c r="G2143" s="405"/>
      <c r="H2143" s="408">
        <f>ROUND(+E2143+F2143+G2143,4)</f>
        <v>0</v>
      </c>
      <c r="I2143" s="234"/>
      <c r="J2143" s="411"/>
      <c r="K2143" s="411"/>
      <c r="L2143" s="414">
        <v>0.1</v>
      </c>
      <c r="M2143" s="414">
        <f>ROUND(+L2143*C2143,4)</f>
        <v>0</v>
      </c>
      <c r="N2143" s="414"/>
      <c r="O2143" s="414"/>
      <c r="P2143" s="414"/>
      <c r="Q2143" s="419">
        <f>ROUND(+N2143+O2143+P2143,4)</f>
        <v>0</v>
      </c>
      <c r="R2143" s="419">
        <f>ROUND(IF(+Q2143-H2143&lt;=0,0,Q2143-H2143),4)</f>
        <v>0</v>
      </c>
      <c r="S2143" s="423">
        <v>0.5</v>
      </c>
      <c r="T2143" s="419">
        <f>ROUND(+(R2143*C2143)*S2143,4)</f>
        <v>0</v>
      </c>
      <c r="U2143" s="419">
        <f>ROUND(+J2143+M2143+T2143,4)</f>
        <v>0</v>
      </c>
      <c r="V2143" s="235"/>
    </row>
    <row r="2144" spans="1:22" ht="15.75" x14ac:dyDescent="0.25">
      <c r="A2144" s="231"/>
      <c r="B2144" s="232"/>
      <c r="C2144" s="400"/>
      <c r="D2144" s="233"/>
      <c r="E2144" s="405"/>
      <c r="F2144" s="405"/>
      <c r="G2144" s="405"/>
      <c r="H2144" s="408">
        <f>ROUND(+E2144+F2144+G2144,4)</f>
        <v>0</v>
      </c>
      <c r="I2144" s="234"/>
      <c r="J2144" s="411"/>
      <c r="K2144" s="411"/>
      <c r="L2144" s="414">
        <v>0.1</v>
      </c>
      <c r="M2144" s="414">
        <f>ROUND(+L2144*C2144,4)</f>
        <v>0</v>
      </c>
      <c r="N2144" s="414"/>
      <c r="O2144" s="414"/>
      <c r="P2144" s="414"/>
      <c r="Q2144" s="419">
        <f>ROUND(+N2144+O2144+P2144,4)</f>
        <v>0</v>
      </c>
      <c r="R2144" s="419">
        <f>ROUND(IF(+Q2144-H2144&lt;=0,0,Q2144-H2144),4)</f>
        <v>0</v>
      </c>
      <c r="S2144" s="423">
        <v>0.5</v>
      </c>
      <c r="T2144" s="419">
        <f>ROUND(+(R2144*C2144)*S2144,4)</f>
        <v>0</v>
      </c>
      <c r="U2144" s="419">
        <f>ROUND(+J2144+M2144+T2144,4)</f>
        <v>0</v>
      </c>
      <c r="V2144" s="235"/>
    </row>
    <row r="2145" spans="1:22" ht="15.75" x14ac:dyDescent="0.25">
      <c r="A2145" s="231"/>
      <c r="B2145" s="232"/>
      <c r="C2145" s="400"/>
      <c r="D2145" s="233"/>
      <c r="E2145" s="405"/>
      <c r="F2145" s="405"/>
      <c r="G2145" s="405"/>
      <c r="H2145" s="408">
        <f>ROUND(+E2145+F2145+G2145,4)</f>
        <v>0</v>
      </c>
      <c r="I2145" s="234"/>
      <c r="J2145" s="411"/>
      <c r="K2145" s="411"/>
      <c r="L2145" s="414">
        <v>0.1</v>
      </c>
      <c r="M2145" s="414">
        <f>ROUND(+L2145*C2145,4)</f>
        <v>0</v>
      </c>
      <c r="N2145" s="414"/>
      <c r="O2145" s="414"/>
      <c r="P2145" s="414"/>
      <c r="Q2145" s="419">
        <f>ROUND(+N2145+O2145+P2145,4)</f>
        <v>0</v>
      </c>
      <c r="R2145" s="419">
        <f>ROUND(IF(+Q2145-H2145&lt;=0,0,Q2145-H2145),4)</f>
        <v>0</v>
      </c>
      <c r="S2145" s="423">
        <v>0.5</v>
      </c>
      <c r="T2145" s="419">
        <f>ROUND(+(R2145*C2145)*S2145,4)</f>
        <v>0</v>
      </c>
      <c r="U2145" s="419">
        <f>ROUND(+J2145+M2145+T2145,4)</f>
        <v>0</v>
      </c>
      <c r="V2145" s="235"/>
    </row>
    <row r="2146" spans="1:22" ht="15.75" x14ac:dyDescent="0.25">
      <c r="A2146" s="231"/>
      <c r="B2146" s="232"/>
      <c r="C2146" s="400"/>
      <c r="D2146" s="233"/>
      <c r="E2146" s="405"/>
      <c r="F2146" s="405"/>
      <c r="G2146" s="405"/>
      <c r="H2146" s="408">
        <f>ROUND(+E2146+F2146+G2146,4)</f>
        <v>0</v>
      </c>
      <c r="I2146" s="234"/>
      <c r="J2146" s="411"/>
      <c r="K2146" s="411"/>
      <c r="L2146" s="414">
        <v>0.1</v>
      </c>
      <c r="M2146" s="414">
        <f>ROUND(+L2146*C2146,4)</f>
        <v>0</v>
      </c>
      <c r="N2146" s="414"/>
      <c r="O2146" s="414"/>
      <c r="P2146" s="414"/>
      <c r="Q2146" s="419">
        <f>ROUND(+N2146+O2146+P2146,4)</f>
        <v>0</v>
      </c>
      <c r="R2146" s="419">
        <f>ROUND(IF(+Q2146-H2146&lt;=0,0,Q2146-H2146),4)</f>
        <v>0</v>
      </c>
      <c r="S2146" s="423">
        <v>0.5</v>
      </c>
      <c r="T2146" s="419">
        <f>ROUND(+(R2146*C2146)*S2146,4)</f>
        <v>0</v>
      </c>
      <c r="U2146" s="419">
        <f>ROUND(+J2146+M2146+T2146,4)</f>
        <v>0</v>
      </c>
      <c r="V2146" s="235"/>
    </row>
    <row r="2147" spans="1:22" ht="15.75" x14ac:dyDescent="0.25">
      <c r="A2147" s="231"/>
      <c r="B2147" s="232"/>
      <c r="C2147" s="400"/>
      <c r="D2147" s="233"/>
      <c r="E2147" s="405"/>
      <c r="F2147" s="405"/>
      <c r="G2147" s="405"/>
      <c r="H2147" s="408">
        <f>ROUND(+E2147+F2147+G2147,4)</f>
        <v>0</v>
      </c>
      <c r="I2147" s="234"/>
      <c r="J2147" s="411"/>
      <c r="K2147" s="411"/>
      <c r="L2147" s="414">
        <v>0.1</v>
      </c>
      <c r="M2147" s="414">
        <f>ROUND(+L2147*C2147,4)</f>
        <v>0</v>
      </c>
      <c r="N2147" s="414"/>
      <c r="O2147" s="414"/>
      <c r="P2147" s="414"/>
      <c r="Q2147" s="419">
        <f>ROUND(+N2147+O2147+P2147,4)</f>
        <v>0</v>
      </c>
      <c r="R2147" s="419">
        <f>ROUND(IF(+Q2147-H2147&lt;=0,0,Q2147-H2147),4)</f>
        <v>0</v>
      </c>
      <c r="S2147" s="423">
        <v>0.5</v>
      </c>
      <c r="T2147" s="419">
        <f>ROUND(+(R2147*C2147)*S2147,4)</f>
        <v>0</v>
      </c>
      <c r="U2147" s="419">
        <f>ROUND(+J2147+M2147+T2147,4)</f>
        <v>0</v>
      </c>
      <c r="V2147" s="235"/>
    </row>
    <row r="2148" spans="1:22" ht="15.75" x14ac:dyDescent="0.25">
      <c r="A2148" s="231"/>
      <c r="B2148" s="232"/>
      <c r="C2148" s="400"/>
      <c r="D2148" s="233"/>
      <c r="E2148" s="405"/>
      <c r="F2148" s="405"/>
      <c r="G2148" s="405"/>
      <c r="H2148" s="408">
        <f>ROUND(+E2148+F2148+G2148,4)</f>
        <v>0</v>
      </c>
      <c r="I2148" s="234"/>
      <c r="J2148" s="411"/>
      <c r="K2148" s="411"/>
      <c r="L2148" s="414">
        <v>0.1</v>
      </c>
      <c r="M2148" s="414">
        <f>ROUND(+L2148*C2148,4)</f>
        <v>0</v>
      </c>
      <c r="N2148" s="414"/>
      <c r="O2148" s="414"/>
      <c r="P2148" s="414"/>
      <c r="Q2148" s="419">
        <f>ROUND(+N2148+O2148+P2148,4)</f>
        <v>0</v>
      </c>
      <c r="R2148" s="419">
        <f>ROUND(IF(+Q2148-H2148&lt;=0,0,Q2148-H2148),4)</f>
        <v>0</v>
      </c>
      <c r="S2148" s="423">
        <v>0.5</v>
      </c>
      <c r="T2148" s="419">
        <f>ROUND(+(R2148*C2148)*S2148,4)</f>
        <v>0</v>
      </c>
      <c r="U2148" s="419">
        <f>ROUND(+J2148+M2148+T2148,4)</f>
        <v>0</v>
      </c>
      <c r="V2148" s="235"/>
    </row>
    <row r="2149" spans="1:22" ht="15.75" x14ac:dyDescent="0.25">
      <c r="A2149" s="231"/>
      <c r="B2149" s="232"/>
      <c r="C2149" s="400"/>
      <c r="D2149" s="233"/>
      <c r="E2149" s="405"/>
      <c r="F2149" s="405"/>
      <c r="G2149" s="405"/>
      <c r="H2149" s="408">
        <f>ROUND(+E2149+F2149+G2149,4)</f>
        <v>0</v>
      </c>
      <c r="I2149" s="234"/>
      <c r="J2149" s="411"/>
      <c r="K2149" s="411"/>
      <c r="L2149" s="414">
        <v>0.1</v>
      </c>
      <c r="M2149" s="414">
        <f>ROUND(+L2149*C2149,4)</f>
        <v>0</v>
      </c>
      <c r="N2149" s="414"/>
      <c r="O2149" s="414"/>
      <c r="P2149" s="414"/>
      <c r="Q2149" s="419">
        <f>ROUND(+N2149+O2149+P2149,4)</f>
        <v>0</v>
      </c>
      <c r="R2149" s="419">
        <f>ROUND(IF(+Q2149-H2149&lt;=0,0,Q2149-H2149),4)</f>
        <v>0</v>
      </c>
      <c r="S2149" s="423">
        <v>0.5</v>
      </c>
      <c r="T2149" s="419">
        <f>ROUND(+(R2149*C2149)*S2149,4)</f>
        <v>0</v>
      </c>
      <c r="U2149" s="419">
        <f>ROUND(+J2149+M2149+T2149,4)</f>
        <v>0</v>
      </c>
      <c r="V2149" s="235"/>
    </row>
    <row r="2150" spans="1:22" ht="15.75" x14ac:dyDescent="0.25">
      <c r="A2150" s="231"/>
      <c r="B2150" s="232"/>
      <c r="C2150" s="400"/>
      <c r="D2150" s="233"/>
      <c r="E2150" s="405"/>
      <c r="F2150" s="405"/>
      <c r="G2150" s="405"/>
      <c r="H2150" s="408">
        <f>ROUND(+E2150+F2150+G2150,4)</f>
        <v>0</v>
      </c>
      <c r="I2150" s="234"/>
      <c r="J2150" s="411"/>
      <c r="K2150" s="411"/>
      <c r="L2150" s="414">
        <v>0.1</v>
      </c>
      <c r="M2150" s="414">
        <f>ROUND(+L2150*C2150,4)</f>
        <v>0</v>
      </c>
      <c r="N2150" s="414"/>
      <c r="O2150" s="414"/>
      <c r="P2150" s="414"/>
      <c r="Q2150" s="419">
        <f>ROUND(+N2150+O2150+P2150,4)</f>
        <v>0</v>
      </c>
      <c r="R2150" s="419">
        <f>ROUND(IF(+Q2150-H2150&lt;=0,0,Q2150-H2150),4)</f>
        <v>0</v>
      </c>
      <c r="S2150" s="423">
        <v>0.5</v>
      </c>
      <c r="T2150" s="419">
        <f>ROUND(+(R2150*C2150)*S2150,4)</f>
        <v>0</v>
      </c>
      <c r="U2150" s="419">
        <f>ROUND(+J2150+M2150+T2150,4)</f>
        <v>0</v>
      </c>
      <c r="V2150" s="235"/>
    </row>
    <row r="2151" spans="1:22" ht="15.75" x14ac:dyDescent="0.25">
      <c r="A2151" s="231"/>
      <c r="B2151" s="232"/>
      <c r="C2151" s="400"/>
      <c r="D2151" s="233"/>
      <c r="E2151" s="405"/>
      <c r="F2151" s="405"/>
      <c r="G2151" s="405"/>
      <c r="H2151" s="408">
        <f>ROUND(+E2151+F2151+G2151,4)</f>
        <v>0</v>
      </c>
      <c r="I2151" s="234"/>
      <c r="J2151" s="411"/>
      <c r="K2151" s="411"/>
      <c r="L2151" s="414">
        <v>0.1</v>
      </c>
      <c r="M2151" s="414">
        <f>ROUND(+L2151*C2151,4)</f>
        <v>0</v>
      </c>
      <c r="N2151" s="414"/>
      <c r="O2151" s="414"/>
      <c r="P2151" s="414"/>
      <c r="Q2151" s="419">
        <f>ROUND(+N2151+O2151+P2151,4)</f>
        <v>0</v>
      </c>
      <c r="R2151" s="419">
        <f>ROUND(IF(+Q2151-H2151&lt;=0,0,Q2151-H2151),4)</f>
        <v>0</v>
      </c>
      <c r="S2151" s="423">
        <v>0.5</v>
      </c>
      <c r="T2151" s="419">
        <f>ROUND(+(R2151*C2151)*S2151,4)</f>
        <v>0</v>
      </c>
      <c r="U2151" s="419">
        <f>ROUND(+J2151+M2151+T2151,4)</f>
        <v>0</v>
      </c>
      <c r="V2151" s="235"/>
    </row>
    <row r="2152" spans="1:22" ht="15.75" x14ac:dyDescent="0.25">
      <c r="A2152" s="231"/>
      <c r="B2152" s="232"/>
      <c r="C2152" s="400"/>
      <c r="D2152" s="233"/>
      <c r="E2152" s="405"/>
      <c r="F2152" s="405"/>
      <c r="G2152" s="405"/>
      <c r="H2152" s="408">
        <f>ROUND(+E2152+F2152+G2152,4)</f>
        <v>0</v>
      </c>
      <c r="I2152" s="234"/>
      <c r="J2152" s="411"/>
      <c r="K2152" s="411"/>
      <c r="L2152" s="414">
        <v>0.1</v>
      </c>
      <c r="M2152" s="414">
        <f>ROUND(+L2152*C2152,4)</f>
        <v>0</v>
      </c>
      <c r="N2152" s="414"/>
      <c r="O2152" s="414"/>
      <c r="P2152" s="414"/>
      <c r="Q2152" s="419">
        <f>ROUND(+N2152+O2152+P2152,4)</f>
        <v>0</v>
      </c>
      <c r="R2152" s="419">
        <f>ROUND(IF(+Q2152-H2152&lt;=0,0,Q2152-H2152),4)</f>
        <v>0</v>
      </c>
      <c r="S2152" s="423">
        <v>0.5</v>
      </c>
      <c r="T2152" s="419">
        <f>ROUND(+(R2152*C2152)*S2152,4)</f>
        <v>0</v>
      </c>
      <c r="U2152" s="419">
        <f>ROUND(+J2152+M2152+T2152,4)</f>
        <v>0</v>
      </c>
      <c r="V2152" s="235"/>
    </row>
    <row r="2153" spans="1:22" ht="15.75" x14ac:dyDescent="0.25">
      <c r="A2153" s="231"/>
      <c r="B2153" s="232"/>
      <c r="C2153" s="400"/>
      <c r="D2153" s="233"/>
      <c r="E2153" s="405"/>
      <c r="F2153" s="405"/>
      <c r="G2153" s="405"/>
      <c r="H2153" s="408">
        <f>ROUND(+E2153+F2153+G2153,4)</f>
        <v>0</v>
      </c>
      <c r="I2153" s="234"/>
      <c r="J2153" s="411"/>
      <c r="K2153" s="411"/>
      <c r="L2153" s="414">
        <v>0.1</v>
      </c>
      <c r="M2153" s="414">
        <f>ROUND(+L2153*C2153,4)</f>
        <v>0</v>
      </c>
      <c r="N2153" s="414"/>
      <c r="O2153" s="414"/>
      <c r="P2153" s="414"/>
      <c r="Q2153" s="419">
        <f>ROUND(+N2153+O2153+P2153,4)</f>
        <v>0</v>
      </c>
      <c r="R2153" s="419">
        <f>ROUND(IF(+Q2153-H2153&lt;=0,0,Q2153-H2153),4)</f>
        <v>0</v>
      </c>
      <c r="S2153" s="423">
        <v>0.5</v>
      </c>
      <c r="T2153" s="419">
        <f>ROUND(+(R2153*C2153)*S2153,4)</f>
        <v>0</v>
      </c>
      <c r="U2153" s="419">
        <f>ROUND(+J2153+M2153+T2153,4)</f>
        <v>0</v>
      </c>
      <c r="V2153" s="235"/>
    </row>
    <row r="2154" spans="1:22" ht="15.75" x14ac:dyDescent="0.25">
      <c r="A2154" s="231"/>
      <c r="B2154" s="232"/>
      <c r="C2154" s="400"/>
      <c r="D2154" s="233"/>
      <c r="E2154" s="405"/>
      <c r="F2154" s="405"/>
      <c r="G2154" s="405"/>
      <c r="H2154" s="408">
        <f>ROUND(+E2154+F2154+G2154,4)</f>
        <v>0</v>
      </c>
      <c r="I2154" s="234"/>
      <c r="J2154" s="411"/>
      <c r="K2154" s="411"/>
      <c r="L2154" s="414">
        <v>0.1</v>
      </c>
      <c r="M2154" s="414">
        <f>ROUND(+L2154*C2154,4)</f>
        <v>0</v>
      </c>
      <c r="N2154" s="414"/>
      <c r="O2154" s="414"/>
      <c r="P2154" s="414"/>
      <c r="Q2154" s="419">
        <f>ROUND(+N2154+O2154+P2154,4)</f>
        <v>0</v>
      </c>
      <c r="R2154" s="419">
        <f>ROUND(IF(+Q2154-H2154&lt;=0,0,Q2154-H2154),4)</f>
        <v>0</v>
      </c>
      <c r="S2154" s="423">
        <v>0.5</v>
      </c>
      <c r="T2154" s="419">
        <f>ROUND(+(R2154*C2154)*S2154,4)</f>
        <v>0</v>
      </c>
      <c r="U2154" s="419">
        <f>ROUND(+J2154+M2154+T2154,4)</f>
        <v>0</v>
      </c>
      <c r="V2154" s="235"/>
    </row>
    <row r="2155" spans="1:22" ht="15.75" x14ac:dyDescent="0.25">
      <c r="A2155" s="231"/>
      <c r="B2155" s="232"/>
      <c r="C2155" s="400"/>
      <c r="D2155" s="233"/>
      <c r="E2155" s="405"/>
      <c r="F2155" s="405"/>
      <c r="G2155" s="405"/>
      <c r="H2155" s="408">
        <f>ROUND(+E2155+F2155+G2155,4)</f>
        <v>0</v>
      </c>
      <c r="I2155" s="234"/>
      <c r="J2155" s="411"/>
      <c r="K2155" s="411"/>
      <c r="L2155" s="414">
        <v>0.1</v>
      </c>
      <c r="M2155" s="414">
        <f>ROUND(+L2155*C2155,4)</f>
        <v>0</v>
      </c>
      <c r="N2155" s="414"/>
      <c r="O2155" s="414"/>
      <c r="P2155" s="414"/>
      <c r="Q2155" s="419">
        <f>ROUND(+N2155+O2155+P2155,4)</f>
        <v>0</v>
      </c>
      <c r="R2155" s="419">
        <f>ROUND(IF(+Q2155-H2155&lt;=0,0,Q2155-H2155),4)</f>
        <v>0</v>
      </c>
      <c r="S2155" s="423">
        <v>0.5</v>
      </c>
      <c r="T2155" s="419">
        <f>ROUND(+(R2155*C2155)*S2155,4)</f>
        <v>0</v>
      </c>
      <c r="U2155" s="419">
        <f>ROUND(+J2155+M2155+T2155,4)</f>
        <v>0</v>
      </c>
      <c r="V2155" s="235"/>
    </row>
    <row r="2156" spans="1:22" ht="15.75" x14ac:dyDescent="0.25">
      <c r="A2156" s="231"/>
      <c r="B2156" s="232"/>
      <c r="C2156" s="400"/>
      <c r="D2156" s="233"/>
      <c r="E2156" s="405"/>
      <c r="F2156" s="405"/>
      <c r="G2156" s="405"/>
      <c r="H2156" s="408">
        <f>ROUND(+E2156+F2156+G2156,4)</f>
        <v>0</v>
      </c>
      <c r="I2156" s="234"/>
      <c r="J2156" s="411"/>
      <c r="K2156" s="411"/>
      <c r="L2156" s="414">
        <v>0.1</v>
      </c>
      <c r="M2156" s="414">
        <f>ROUND(+L2156*C2156,4)</f>
        <v>0</v>
      </c>
      <c r="N2156" s="414"/>
      <c r="O2156" s="414"/>
      <c r="P2156" s="414"/>
      <c r="Q2156" s="419">
        <f>ROUND(+N2156+O2156+P2156,4)</f>
        <v>0</v>
      </c>
      <c r="R2156" s="419">
        <f>ROUND(IF(+Q2156-H2156&lt;=0,0,Q2156-H2156),4)</f>
        <v>0</v>
      </c>
      <c r="S2156" s="423">
        <v>0.5</v>
      </c>
      <c r="T2156" s="419">
        <f>ROUND(+(R2156*C2156)*S2156,4)</f>
        <v>0</v>
      </c>
      <c r="U2156" s="419">
        <f>ROUND(+J2156+M2156+T2156,4)</f>
        <v>0</v>
      </c>
      <c r="V2156" s="235"/>
    </row>
    <row r="2157" spans="1:22" ht="15.75" x14ac:dyDescent="0.25">
      <c r="A2157" s="231"/>
      <c r="B2157" s="232"/>
      <c r="C2157" s="400"/>
      <c r="D2157" s="233"/>
      <c r="E2157" s="405"/>
      <c r="F2157" s="405"/>
      <c r="G2157" s="405"/>
      <c r="H2157" s="408">
        <f>ROUND(+E2157+F2157+G2157,4)</f>
        <v>0</v>
      </c>
      <c r="I2157" s="234"/>
      <c r="J2157" s="411"/>
      <c r="K2157" s="411"/>
      <c r="L2157" s="414">
        <v>0.1</v>
      </c>
      <c r="M2157" s="414">
        <f>ROUND(+L2157*C2157,4)</f>
        <v>0</v>
      </c>
      <c r="N2157" s="414"/>
      <c r="O2157" s="414"/>
      <c r="P2157" s="414"/>
      <c r="Q2157" s="419">
        <f>ROUND(+N2157+O2157+P2157,4)</f>
        <v>0</v>
      </c>
      <c r="R2157" s="419">
        <f>ROUND(IF(+Q2157-H2157&lt;=0,0,Q2157-H2157),4)</f>
        <v>0</v>
      </c>
      <c r="S2157" s="423">
        <v>0.5</v>
      </c>
      <c r="T2157" s="419">
        <f>ROUND(+(R2157*C2157)*S2157,4)</f>
        <v>0</v>
      </c>
      <c r="U2157" s="419">
        <f>ROUND(+J2157+M2157+T2157,4)</f>
        <v>0</v>
      </c>
      <c r="V2157" s="235"/>
    </row>
    <row r="2158" spans="1:22" ht="15.75" x14ac:dyDescent="0.25">
      <c r="A2158" s="231"/>
      <c r="B2158" s="232"/>
      <c r="C2158" s="400"/>
      <c r="D2158" s="233"/>
      <c r="E2158" s="405"/>
      <c r="F2158" s="405"/>
      <c r="G2158" s="405"/>
      <c r="H2158" s="408">
        <f>ROUND(+E2158+F2158+G2158,4)</f>
        <v>0</v>
      </c>
      <c r="I2158" s="234"/>
      <c r="J2158" s="411"/>
      <c r="K2158" s="411"/>
      <c r="L2158" s="414">
        <v>0.1</v>
      </c>
      <c r="M2158" s="414">
        <f>ROUND(+L2158*C2158,4)</f>
        <v>0</v>
      </c>
      <c r="N2158" s="414"/>
      <c r="O2158" s="414"/>
      <c r="P2158" s="414"/>
      <c r="Q2158" s="419">
        <f>ROUND(+N2158+O2158+P2158,4)</f>
        <v>0</v>
      </c>
      <c r="R2158" s="419">
        <f>ROUND(IF(+Q2158-H2158&lt;=0,0,Q2158-H2158),4)</f>
        <v>0</v>
      </c>
      <c r="S2158" s="423">
        <v>0.5</v>
      </c>
      <c r="T2158" s="419">
        <f>ROUND(+(R2158*C2158)*S2158,4)</f>
        <v>0</v>
      </c>
      <c r="U2158" s="419">
        <f>ROUND(+J2158+M2158+T2158,4)</f>
        <v>0</v>
      </c>
      <c r="V2158" s="235"/>
    </row>
    <row r="2159" spans="1:22" ht="15.75" x14ac:dyDescent="0.25">
      <c r="A2159" s="231"/>
      <c r="B2159" s="232"/>
      <c r="C2159" s="400"/>
      <c r="D2159" s="233"/>
      <c r="E2159" s="405"/>
      <c r="F2159" s="405"/>
      <c r="G2159" s="405"/>
      <c r="H2159" s="408">
        <f>ROUND(+E2159+F2159+G2159,4)</f>
        <v>0</v>
      </c>
      <c r="I2159" s="234"/>
      <c r="J2159" s="411"/>
      <c r="K2159" s="411"/>
      <c r="L2159" s="414">
        <v>0.1</v>
      </c>
      <c r="M2159" s="414">
        <f>ROUND(+L2159*C2159,4)</f>
        <v>0</v>
      </c>
      <c r="N2159" s="414"/>
      <c r="O2159" s="414"/>
      <c r="P2159" s="414"/>
      <c r="Q2159" s="419">
        <f>ROUND(+N2159+O2159+P2159,4)</f>
        <v>0</v>
      </c>
      <c r="R2159" s="419">
        <f>ROUND(IF(+Q2159-H2159&lt;=0,0,Q2159-H2159),4)</f>
        <v>0</v>
      </c>
      <c r="S2159" s="423">
        <v>0.5</v>
      </c>
      <c r="T2159" s="419">
        <f>ROUND(+(R2159*C2159)*S2159,4)</f>
        <v>0</v>
      </c>
      <c r="U2159" s="419">
        <f>ROUND(+J2159+M2159+T2159,4)</f>
        <v>0</v>
      </c>
      <c r="V2159" s="235"/>
    </row>
    <row r="2160" spans="1:22" ht="15.75" x14ac:dyDescent="0.25">
      <c r="A2160" s="231"/>
      <c r="B2160" s="232"/>
      <c r="C2160" s="400"/>
      <c r="D2160" s="233"/>
      <c r="E2160" s="405"/>
      <c r="F2160" s="405"/>
      <c r="G2160" s="405"/>
      <c r="H2160" s="408">
        <f>ROUND(+E2160+F2160+G2160,4)</f>
        <v>0</v>
      </c>
      <c r="I2160" s="234"/>
      <c r="J2160" s="411"/>
      <c r="K2160" s="411"/>
      <c r="L2160" s="414">
        <v>0.1</v>
      </c>
      <c r="M2160" s="414">
        <f>ROUND(+L2160*C2160,4)</f>
        <v>0</v>
      </c>
      <c r="N2160" s="414"/>
      <c r="O2160" s="414"/>
      <c r="P2160" s="414"/>
      <c r="Q2160" s="419">
        <f>ROUND(+N2160+O2160+P2160,4)</f>
        <v>0</v>
      </c>
      <c r="R2160" s="419">
        <f>ROUND(IF(+Q2160-H2160&lt;=0,0,Q2160-H2160),4)</f>
        <v>0</v>
      </c>
      <c r="S2160" s="423">
        <v>0.5</v>
      </c>
      <c r="T2160" s="419">
        <f>ROUND(+(R2160*C2160)*S2160,4)</f>
        <v>0</v>
      </c>
      <c r="U2160" s="419">
        <f>ROUND(+J2160+M2160+T2160,4)</f>
        <v>0</v>
      </c>
      <c r="V2160" s="235"/>
    </row>
    <row r="2161" spans="1:22" ht="15.75" x14ac:dyDescent="0.25">
      <c r="A2161" s="231"/>
      <c r="B2161" s="232"/>
      <c r="C2161" s="400"/>
      <c r="D2161" s="233"/>
      <c r="E2161" s="405"/>
      <c r="F2161" s="405"/>
      <c r="G2161" s="405"/>
      <c r="H2161" s="408">
        <f>ROUND(+E2161+F2161+G2161,4)</f>
        <v>0</v>
      </c>
      <c r="I2161" s="234"/>
      <c r="J2161" s="411"/>
      <c r="K2161" s="411"/>
      <c r="L2161" s="414">
        <v>0.1</v>
      </c>
      <c r="M2161" s="414">
        <f>ROUND(+L2161*C2161,4)</f>
        <v>0</v>
      </c>
      <c r="N2161" s="414"/>
      <c r="O2161" s="414"/>
      <c r="P2161" s="414"/>
      <c r="Q2161" s="419">
        <f>ROUND(+N2161+O2161+P2161,4)</f>
        <v>0</v>
      </c>
      <c r="R2161" s="419">
        <f>ROUND(IF(+Q2161-H2161&lt;=0,0,Q2161-H2161),4)</f>
        <v>0</v>
      </c>
      <c r="S2161" s="423">
        <v>0.5</v>
      </c>
      <c r="T2161" s="419">
        <f>ROUND(+(R2161*C2161)*S2161,4)</f>
        <v>0</v>
      </c>
      <c r="U2161" s="419">
        <f>ROUND(+J2161+M2161+T2161,4)</f>
        <v>0</v>
      </c>
      <c r="V2161" s="235"/>
    </row>
    <row r="2162" spans="1:22" ht="15.75" x14ac:dyDescent="0.25">
      <c r="A2162" s="231"/>
      <c r="B2162" s="232"/>
      <c r="C2162" s="400"/>
      <c r="D2162" s="233"/>
      <c r="E2162" s="405"/>
      <c r="F2162" s="405"/>
      <c r="G2162" s="405"/>
      <c r="H2162" s="408">
        <f>ROUND(+E2162+F2162+G2162,4)</f>
        <v>0</v>
      </c>
      <c r="I2162" s="234"/>
      <c r="J2162" s="411"/>
      <c r="K2162" s="411"/>
      <c r="L2162" s="414">
        <v>0.1</v>
      </c>
      <c r="M2162" s="414">
        <f>ROUND(+L2162*C2162,4)</f>
        <v>0</v>
      </c>
      <c r="N2162" s="414"/>
      <c r="O2162" s="414"/>
      <c r="P2162" s="414"/>
      <c r="Q2162" s="419">
        <f>ROUND(+N2162+O2162+P2162,4)</f>
        <v>0</v>
      </c>
      <c r="R2162" s="419">
        <f>ROUND(IF(+Q2162-H2162&lt;=0,0,Q2162-H2162),4)</f>
        <v>0</v>
      </c>
      <c r="S2162" s="423">
        <v>0.5</v>
      </c>
      <c r="T2162" s="419">
        <f>ROUND(+(R2162*C2162)*S2162,4)</f>
        <v>0</v>
      </c>
      <c r="U2162" s="419">
        <f>ROUND(+J2162+M2162+T2162,4)</f>
        <v>0</v>
      </c>
      <c r="V2162" s="235"/>
    </row>
    <row r="2163" spans="1:22" ht="15.75" x14ac:dyDescent="0.25">
      <c r="A2163" s="231"/>
      <c r="B2163" s="232"/>
      <c r="C2163" s="400"/>
      <c r="D2163" s="233"/>
      <c r="E2163" s="405"/>
      <c r="F2163" s="405"/>
      <c r="G2163" s="405"/>
      <c r="H2163" s="408">
        <f>ROUND(+E2163+F2163+G2163,4)</f>
        <v>0</v>
      </c>
      <c r="I2163" s="234"/>
      <c r="J2163" s="411"/>
      <c r="K2163" s="411"/>
      <c r="L2163" s="414">
        <v>0.1</v>
      </c>
      <c r="M2163" s="414">
        <f>ROUND(+L2163*C2163,4)</f>
        <v>0</v>
      </c>
      <c r="N2163" s="414"/>
      <c r="O2163" s="414"/>
      <c r="P2163" s="414"/>
      <c r="Q2163" s="419">
        <f>ROUND(+N2163+O2163+P2163,4)</f>
        <v>0</v>
      </c>
      <c r="R2163" s="419">
        <f>ROUND(IF(+Q2163-H2163&lt;=0,0,Q2163-H2163),4)</f>
        <v>0</v>
      </c>
      <c r="S2163" s="423">
        <v>0.5</v>
      </c>
      <c r="T2163" s="419">
        <f>ROUND(+(R2163*C2163)*S2163,4)</f>
        <v>0</v>
      </c>
      <c r="U2163" s="419">
        <f>ROUND(+J2163+M2163+T2163,4)</f>
        <v>0</v>
      </c>
      <c r="V2163" s="235"/>
    </row>
    <row r="2164" spans="1:22" ht="15.75" x14ac:dyDescent="0.25">
      <c r="A2164" s="231"/>
      <c r="B2164" s="232"/>
      <c r="C2164" s="400"/>
      <c r="D2164" s="233"/>
      <c r="E2164" s="405"/>
      <c r="F2164" s="405"/>
      <c r="G2164" s="405"/>
      <c r="H2164" s="408">
        <f>ROUND(+E2164+F2164+G2164,4)</f>
        <v>0</v>
      </c>
      <c r="I2164" s="234"/>
      <c r="J2164" s="411"/>
      <c r="K2164" s="411"/>
      <c r="L2164" s="414">
        <v>0.1</v>
      </c>
      <c r="M2164" s="414">
        <f>ROUND(+L2164*C2164,4)</f>
        <v>0</v>
      </c>
      <c r="N2164" s="414"/>
      <c r="O2164" s="414"/>
      <c r="P2164" s="414"/>
      <c r="Q2164" s="419">
        <f>ROUND(+N2164+O2164+P2164,4)</f>
        <v>0</v>
      </c>
      <c r="R2164" s="419">
        <f>ROUND(IF(+Q2164-H2164&lt;=0,0,Q2164-H2164),4)</f>
        <v>0</v>
      </c>
      <c r="S2164" s="423">
        <v>0.5</v>
      </c>
      <c r="T2164" s="419">
        <f>ROUND(+(R2164*C2164)*S2164,4)</f>
        <v>0</v>
      </c>
      <c r="U2164" s="419">
        <f>ROUND(+J2164+M2164+T2164,4)</f>
        <v>0</v>
      </c>
      <c r="V2164" s="235"/>
    </row>
    <row r="2165" spans="1:22" ht="15.75" x14ac:dyDescent="0.25">
      <c r="A2165" s="231"/>
      <c r="B2165" s="232"/>
      <c r="C2165" s="400"/>
      <c r="D2165" s="233"/>
      <c r="E2165" s="405"/>
      <c r="F2165" s="405"/>
      <c r="G2165" s="405"/>
      <c r="H2165" s="408">
        <f>ROUND(+E2165+F2165+G2165,4)</f>
        <v>0</v>
      </c>
      <c r="I2165" s="234"/>
      <c r="J2165" s="411"/>
      <c r="K2165" s="411"/>
      <c r="L2165" s="414">
        <v>0.1</v>
      </c>
      <c r="M2165" s="414">
        <f>ROUND(+L2165*C2165,4)</f>
        <v>0</v>
      </c>
      <c r="N2165" s="414"/>
      <c r="O2165" s="414"/>
      <c r="P2165" s="414"/>
      <c r="Q2165" s="419">
        <f>ROUND(+N2165+O2165+P2165,4)</f>
        <v>0</v>
      </c>
      <c r="R2165" s="419">
        <f>ROUND(IF(+Q2165-H2165&lt;=0,0,Q2165-H2165),4)</f>
        <v>0</v>
      </c>
      <c r="S2165" s="423">
        <v>0.5</v>
      </c>
      <c r="T2165" s="419">
        <f>ROUND(+(R2165*C2165)*S2165,4)</f>
        <v>0</v>
      </c>
      <c r="U2165" s="419">
        <f>ROUND(+J2165+M2165+T2165,4)</f>
        <v>0</v>
      </c>
      <c r="V2165" s="235"/>
    </row>
    <row r="2166" spans="1:22" ht="15.75" x14ac:dyDescent="0.25">
      <c r="A2166" s="231"/>
      <c r="B2166" s="232"/>
      <c r="C2166" s="400"/>
      <c r="D2166" s="233"/>
      <c r="E2166" s="405"/>
      <c r="F2166" s="405"/>
      <c r="G2166" s="405"/>
      <c r="H2166" s="408">
        <f>ROUND(+E2166+F2166+G2166,4)</f>
        <v>0</v>
      </c>
      <c r="I2166" s="234"/>
      <c r="J2166" s="411"/>
      <c r="K2166" s="411"/>
      <c r="L2166" s="414">
        <v>0.1</v>
      </c>
      <c r="M2166" s="414">
        <f>ROUND(+L2166*C2166,4)</f>
        <v>0</v>
      </c>
      <c r="N2166" s="414"/>
      <c r="O2166" s="414"/>
      <c r="P2166" s="414"/>
      <c r="Q2166" s="419">
        <f>ROUND(+N2166+O2166+P2166,4)</f>
        <v>0</v>
      </c>
      <c r="R2166" s="419">
        <f>ROUND(IF(+Q2166-H2166&lt;=0,0,Q2166-H2166),4)</f>
        <v>0</v>
      </c>
      <c r="S2166" s="423">
        <v>0.5</v>
      </c>
      <c r="T2166" s="419">
        <f>ROUND(+(R2166*C2166)*S2166,4)</f>
        <v>0</v>
      </c>
      <c r="U2166" s="419">
        <f>ROUND(+J2166+M2166+T2166,4)</f>
        <v>0</v>
      </c>
      <c r="V2166" s="235"/>
    </row>
    <row r="2167" spans="1:22" ht="15.75" x14ac:dyDescent="0.25">
      <c r="A2167" s="231"/>
      <c r="B2167" s="232"/>
      <c r="C2167" s="400"/>
      <c r="D2167" s="233"/>
      <c r="E2167" s="405"/>
      <c r="F2167" s="405"/>
      <c r="G2167" s="405"/>
      <c r="H2167" s="408">
        <f>ROUND(+E2167+F2167+G2167,4)</f>
        <v>0</v>
      </c>
      <c r="I2167" s="234"/>
      <c r="J2167" s="411"/>
      <c r="K2167" s="411"/>
      <c r="L2167" s="414">
        <v>0.1</v>
      </c>
      <c r="M2167" s="414">
        <f>ROUND(+L2167*C2167,4)</f>
        <v>0</v>
      </c>
      <c r="N2167" s="414"/>
      <c r="O2167" s="414"/>
      <c r="P2167" s="414"/>
      <c r="Q2167" s="419">
        <f>ROUND(+N2167+O2167+P2167,4)</f>
        <v>0</v>
      </c>
      <c r="R2167" s="419">
        <f>ROUND(IF(+Q2167-H2167&lt;=0,0,Q2167-H2167),4)</f>
        <v>0</v>
      </c>
      <c r="S2167" s="423">
        <v>0.5</v>
      </c>
      <c r="T2167" s="419">
        <f>ROUND(+(R2167*C2167)*S2167,4)</f>
        <v>0</v>
      </c>
      <c r="U2167" s="419">
        <f>ROUND(+J2167+M2167+T2167,4)</f>
        <v>0</v>
      </c>
      <c r="V2167" s="235"/>
    </row>
    <row r="2168" spans="1:22" ht="15.75" x14ac:dyDescent="0.25">
      <c r="A2168" s="231"/>
      <c r="B2168" s="232"/>
      <c r="C2168" s="400"/>
      <c r="D2168" s="233"/>
      <c r="E2168" s="405"/>
      <c r="F2168" s="405"/>
      <c r="G2168" s="405"/>
      <c r="H2168" s="408">
        <f>ROUND(+E2168+F2168+G2168,4)</f>
        <v>0</v>
      </c>
      <c r="I2168" s="234"/>
      <c r="J2168" s="411"/>
      <c r="K2168" s="411"/>
      <c r="L2168" s="414">
        <v>0.1</v>
      </c>
      <c r="M2168" s="414">
        <f>ROUND(+L2168*C2168,4)</f>
        <v>0</v>
      </c>
      <c r="N2168" s="414"/>
      <c r="O2168" s="414"/>
      <c r="P2168" s="414"/>
      <c r="Q2168" s="419">
        <f>ROUND(+N2168+O2168+P2168,4)</f>
        <v>0</v>
      </c>
      <c r="R2168" s="419">
        <f>ROUND(IF(+Q2168-H2168&lt;=0,0,Q2168-H2168),4)</f>
        <v>0</v>
      </c>
      <c r="S2168" s="423">
        <v>0.5</v>
      </c>
      <c r="T2168" s="419">
        <f>ROUND(+(R2168*C2168)*S2168,4)</f>
        <v>0</v>
      </c>
      <c r="U2168" s="419">
        <f>ROUND(+J2168+M2168+T2168,4)</f>
        <v>0</v>
      </c>
      <c r="V2168" s="235"/>
    </row>
    <row r="2169" spans="1:22" ht="15.75" x14ac:dyDescent="0.25">
      <c r="A2169" s="231"/>
      <c r="B2169" s="232"/>
      <c r="C2169" s="400"/>
      <c r="D2169" s="233"/>
      <c r="E2169" s="405"/>
      <c r="F2169" s="405"/>
      <c r="G2169" s="405"/>
      <c r="H2169" s="408">
        <f>ROUND(+E2169+F2169+G2169,4)</f>
        <v>0</v>
      </c>
      <c r="I2169" s="234"/>
      <c r="J2169" s="411"/>
      <c r="K2169" s="411"/>
      <c r="L2169" s="414">
        <v>0.1</v>
      </c>
      <c r="M2169" s="414">
        <f>ROUND(+L2169*C2169,4)</f>
        <v>0</v>
      </c>
      <c r="N2169" s="414"/>
      <c r="O2169" s="414"/>
      <c r="P2169" s="414"/>
      <c r="Q2169" s="419">
        <f>ROUND(+N2169+O2169+P2169,4)</f>
        <v>0</v>
      </c>
      <c r="R2169" s="419">
        <f>ROUND(IF(+Q2169-H2169&lt;=0,0,Q2169-H2169),4)</f>
        <v>0</v>
      </c>
      <c r="S2169" s="423">
        <v>0.5</v>
      </c>
      <c r="T2169" s="419">
        <f>ROUND(+(R2169*C2169)*S2169,4)</f>
        <v>0</v>
      </c>
      <c r="U2169" s="419">
        <f>ROUND(+J2169+M2169+T2169,4)</f>
        <v>0</v>
      </c>
      <c r="V2169" s="235"/>
    </row>
    <row r="2170" spans="1:22" ht="15.75" x14ac:dyDescent="0.25">
      <c r="A2170" s="231"/>
      <c r="B2170" s="232"/>
      <c r="C2170" s="400"/>
      <c r="D2170" s="233"/>
      <c r="E2170" s="405"/>
      <c r="F2170" s="405"/>
      <c r="G2170" s="405"/>
      <c r="H2170" s="408">
        <f>ROUND(+E2170+F2170+G2170,4)</f>
        <v>0</v>
      </c>
      <c r="I2170" s="234"/>
      <c r="J2170" s="411"/>
      <c r="K2170" s="411"/>
      <c r="L2170" s="414">
        <v>0.1</v>
      </c>
      <c r="M2170" s="414">
        <f>ROUND(+L2170*C2170,4)</f>
        <v>0</v>
      </c>
      <c r="N2170" s="414"/>
      <c r="O2170" s="414"/>
      <c r="P2170" s="414"/>
      <c r="Q2170" s="419">
        <f>ROUND(+N2170+O2170+P2170,4)</f>
        <v>0</v>
      </c>
      <c r="R2170" s="419">
        <f>ROUND(IF(+Q2170-H2170&lt;=0,0,Q2170-H2170),4)</f>
        <v>0</v>
      </c>
      <c r="S2170" s="423">
        <v>0.5</v>
      </c>
      <c r="T2170" s="419">
        <f>ROUND(+(R2170*C2170)*S2170,4)</f>
        <v>0</v>
      </c>
      <c r="U2170" s="419">
        <f>ROUND(+J2170+M2170+T2170,4)</f>
        <v>0</v>
      </c>
      <c r="V2170" s="235"/>
    </row>
    <row r="2171" spans="1:22" ht="15.75" x14ac:dyDescent="0.25">
      <c r="A2171" s="231"/>
      <c r="B2171" s="232"/>
      <c r="C2171" s="400"/>
      <c r="D2171" s="233"/>
      <c r="E2171" s="405"/>
      <c r="F2171" s="405"/>
      <c r="G2171" s="405"/>
      <c r="H2171" s="408">
        <f>ROUND(+E2171+F2171+G2171,4)</f>
        <v>0</v>
      </c>
      <c r="I2171" s="234"/>
      <c r="J2171" s="411"/>
      <c r="K2171" s="411"/>
      <c r="L2171" s="414">
        <v>0.1</v>
      </c>
      <c r="M2171" s="414">
        <f>ROUND(+L2171*C2171,4)</f>
        <v>0</v>
      </c>
      <c r="N2171" s="414"/>
      <c r="O2171" s="414"/>
      <c r="P2171" s="414"/>
      <c r="Q2171" s="419">
        <f>ROUND(+N2171+O2171+P2171,4)</f>
        <v>0</v>
      </c>
      <c r="R2171" s="419">
        <f>ROUND(IF(+Q2171-H2171&lt;=0,0,Q2171-H2171),4)</f>
        <v>0</v>
      </c>
      <c r="S2171" s="423">
        <v>0.5</v>
      </c>
      <c r="T2171" s="419">
        <f>ROUND(+(R2171*C2171)*S2171,4)</f>
        <v>0</v>
      </c>
      <c r="U2171" s="419">
        <f>ROUND(+J2171+M2171+T2171,4)</f>
        <v>0</v>
      </c>
      <c r="V2171" s="235"/>
    </row>
    <row r="2172" spans="1:22" ht="15.75" x14ac:dyDescent="0.25">
      <c r="A2172" s="231"/>
      <c r="B2172" s="232"/>
      <c r="C2172" s="400"/>
      <c r="D2172" s="233"/>
      <c r="E2172" s="405"/>
      <c r="F2172" s="405"/>
      <c r="G2172" s="405"/>
      <c r="H2172" s="408">
        <f>ROUND(+E2172+F2172+G2172,4)</f>
        <v>0</v>
      </c>
      <c r="I2172" s="234"/>
      <c r="J2172" s="411"/>
      <c r="K2172" s="411"/>
      <c r="L2172" s="414">
        <v>0.1</v>
      </c>
      <c r="M2172" s="414">
        <f>ROUND(+L2172*C2172,4)</f>
        <v>0</v>
      </c>
      <c r="N2172" s="414"/>
      <c r="O2172" s="414"/>
      <c r="P2172" s="414"/>
      <c r="Q2172" s="419">
        <f>ROUND(+N2172+O2172+P2172,4)</f>
        <v>0</v>
      </c>
      <c r="R2172" s="419">
        <f>ROUND(IF(+Q2172-H2172&lt;=0,0,Q2172-H2172),4)</f>
        <v>0</v>
      </c>
      <c r="S2172" s="423">
        <v>0.5</v>
      </c>
      <c r="T2172" s="419">
        <f>ROUND(+(R2172*C2172)*S2172,4)</f>
        <v>0</v>
      </c>
      <c r="U2172" s="419">
        <f>ROUND(+J2172+M2172+T2172,4)</f>
        <v>0</v>
      </c>
      <c r="V2172" s="235"/>
    </row>
    <row r="2173" spans="1:22" ht="15.75" x14ac:dyDescent="0.25">
      <c r="A2173" s="231"/>
      <c r="B2173" s="232"/>
      <c r="C2173" s="400"/>
      <c r="D2173" s="233"/>
      <c r="E2173" s="405"/>
      <c r="F2173" s="405"/>
      <c r="G2173" s="405"/>
      <c r="H2173" s="408">
        <f>ROUND(+E2173+F2173+G2173,4)</f>
        <v>0</v>
      </c>
      <c r="I2173" s="234"/>
      <c r="J2173" s="411"/>
      <c r="K2173" s="411"/>
      <c r="L2173" s="414">
        <v>0.1</v>
      </c>
      <c r="M2173" s="414">
        <f>ROUND(+L2173*C2173,4)</f>
        <v>0</v>
      </c>
      <c r="N2173" s="414"/>
      <c r="O2173" s="414"/>
      <c r="P2173" s="414"/>
      <c r="Q2173" s="419">
        <f>ROUND(+N2173+O2173+P2173,4)</f>
        <v>0</v>
      </c>
      <c r="R2173" s="419">
        <f>ROUND(IF(+Q2173-H2173&lt;=0,0,Q2173-H2173),4)</f>
        <v>0</v>
      </c>
      <c r="S2173" s="423">
        <v>0.5</v>
      </c>
      <c r="T2173" s="419">
        <f>ROUND(+(R2173*C2173)*S2173,4)</f>
        <v>0</v>
      </c>
      <c r="U2173" s="419">
        <f>ROUND(+J2173+M2173+T2173,4)</f>
        <v>0</v>
      </c>
      <c r="V2173" s="235"/>
    </row>
    <row r="2174" spans="1:22" ht="15.75" x14ac:dyDescent="0.25">
      <c r="A2174" s="231"/>
      <c r="B2174" s="232"/>
      <c r="C2174" s="400"/>
      <c r="D2174" s="233"/>
      <c r="E2174" s="405"/>
      <c r="F2174" s="405"/>
      <c r="G2174" s="405"/>
      <c r="H2174" s="408">
        <f>ROUND(+E2174+F2174+G2174,4)</f>
        <v>0</v>
      </c>
      <c r="I2174" s="234"/>
      <c r="J2174" s="411"/>
      <c r="K2174" s="411"/>
      <c r="L2174" s="414">
        <v>0.1</v>
      </c>
      <c r="M2174" s="414">
        <f>ROUND(+L2174*C2174,4)</f>
        <v>0</v>
      </c>
      <c r="N2174" s="414"/>
      <c r="O2174" s="414"/>
      <c r="P2174" s="414"/>
      <c r="Q2174" s="419">
        <f>ROUND(+N2174+O2174+P2174,4)</f>
        <v>0</v>
      </c>
      <c r="R2174" s="419">
        <f>ROUND(IF(+Q2174-H2174&lt;=0,0,Q2174-H2174),4)</f>
        <v>0</v>
      </c>
      <c r="S2174" s="423">
        <v>0.5</v>
      </c>
      <c r="T2174" s="419">
        <f>ROUND(+(R2174*C2174)*S2174,4)</f>
        <v>0</v>
      </c>
      <c r="U2174" s="419">
        <f>ROUND(+J2174+M2174+T2174,4)</f>
        <v>0</v>
      </c>
      <c r="V2174" s="235"/>
    </row>
    <row r="2175" spans="1:22" ht="15.75" x14ac:dyDescent="0.25">
      <c r="A2175" s="231"/>
      <c r="B2175" s="232"/>
      <c r="C2175" s="400"/>
      <c r="D2175" s="233"/>
      <c r="E2175" s="405"/>
      <c r="F2175" s="405"/>
      <c r="G2175" s="405"/>
      <c r="H2175" s="408">
        <f>ROUND(+E2175+F2175+G2175,4)</f>
        <v>0</v>
      </c>
      <c r="I2175" s="234"/>
      <c r="J2175" s="411"/>
      <c r="K2175" s="411"/>
      <c r="L2175" s="414">
        <v>0.1</v>
      </c>
      <c r="M2175" s="414">
        <f>ROUND(+L2175*C2175,4)</f>
        <v>0</v>
      </c>
      <c r="N2175" s="414"/>
      <c r="O2175" s="414"/>
      <c r="P2175" s="414"/>
      <c r="Q2175" s="419">
        <f>ROUND(+N2175+O2175+P2175,4)</f>
        <v>0</v>
      </c>
      <c r="R2175" s="419">
        <f>ROUND(IF(+Q2175-H2175&lt;=0,0,Q2175-H2175),4)</f>
        <v>0</v>
      </c>
      <c r="S2175" s="423">
        <v>0.5</v>
      </c>
      <c r="T2175" s="419">
        <f>ROUND(+(R2175*C2175)*S2175,4)</f>
        <v>0</v>
      </c>
      <c r="U2175" s="419">
        <f>ROUND(+J2175+M2175+T2175,4)</f>
        <v>0</v>
      </c>
      <c r="V2175" s="235"/>
    </row>
    <row r="2176" spans="1:22" ht="15.75" x14ac:dyDescent="0.25">
      <c r="A2176" s="231"/>
      <c r="B2176" s="232"/>
      <c r="C2176" s="400"/>
      <c r="D2176" s="233"/>
      <c r="E2176" s="405"/>
      <c r="F2176" s="405"/>
      <c r="G2176" s="405"/>
      <c r="H2176" s="408">
        <f>ROUND(+E2176+F2176+G2176,4)</f>
        <v>0</v>
      </c>
      <c r="I2176" s="234"/>
      <c r="J2176" s="411"/>
      <c r="K2176" s="411"/>
      <c r="L2176" s="414">
        <v>0.1</v>
      </c>
      <c r="M2176" s="414">
        <f>ROUND(+L2176*C2176,4)</f>
        <v>0</v>
      </c>
      <c r="N2176" s="414"/>
      <c r="O2176" s="414"/>
      <c r="P2176" s="414"/>
      <c r="Q2176" s="419">
        <f>ROUND(+N2176+O2176+P2176,4)</f>
        <v>0</v>
      </c>
      <c r="R2176" s="419">
        <f>ROUND(IF(+Q2176-H2176&lt;=0,0,Q2176-H2176),4)</f>
        <v>0</v>
      </c>
      <c r="S2176" s="423">
        <v>0.5</v>
      </c>
      <c r="T2176" s="419">
        <f>ROUND(+(R2176*C2176)*S2176,4)</f>
        <v>0</v>
      </c>
      <c r="U2176" s="419">
        <f>ROUND(+J2176+M2176+T2176,4)</f>
        <v>0</v>
      </c>
      <c r="V2176" s="235"/>
    </row>
    <row r="2177" spans="1:22" ht="15.75" x14ac:dyDescent="0.25">
      <c r="A2177" s="231"/>
      <c r="B2177" s="232"/>
      <c r="C2177" s="400"/>
      <c r="D2177" s="233"/>
      <c r="E2177" s="405"/>
      <c r="F2177" s="405"/>
      <c r="G2177" s="405"/>
      <c r="H2177" s="408">
        <f>ROUND(+E2177+F2177+G2177,4)</f>
        <v>0</v>
      </c>
      <c r="I2177" s="234"/>
      <c r="J2177" s="411"/>
      <c r="K2177" s="411"/>
      <c r="L2177" s="414">
        <v>0.1</v>
      </c>
      <c r="M2177" s="414">
        <f>ROUND(+L2177*C2177,4)</f>
        <v>0</v>
      </c>
      <c r="N2177" s="414"/>
      <c r="O2177" s="414"/>
      <c r="P2177" s="414"/>
      <c r="Q2177" s="419">
        <f>ROUND(+N2177+O2177+P2177,4)</f>
        <v>0</v>
      </c>
      <c r="R2177" s="419">
        <f>ROUND(IF(+Q2177-H2177&lt;=0,0,Q2177-H2177),4)</f>
        <v>0</v>
      </c>
      <c r="S2177" s="423">
        <v>0.5</v>
      </c>
      <c r="T2177" s="419">
        <f>ROUND(+(R2177*C2177)*S2177,4)</f>
        <v>0</v>
      </c>
      <c r="U2177" s="419">
        <f>ROUND(+J2177+M2177+T2177,4)</f>
        <v>0</v>
      </c>
      <c r="V2177" s="235"/>
    </row>
    <row r="2178" spans="1:22" ht="15.75" x14ac:dyDescent="0.25">
      <c r="A2178" s="231"/>
      <c r="B2178" s="232"/>
      <c r="C2178" s="400"/>
      <c r="D2178" s="233"/>
      <c r="E2178" s="405"/>
      <c r="F2178" s="405"/>
      <c r="G2178" s="405"/>
      <c r="H2178" s="408">
        <f>ROUND(+E2178+F2178+G2178,4)</f>
        <v>0</v>
      </c>
      <c r="I2178" s="234"/>
      <c r="J2178" s="411"/>
      <c r="K2178" s="411"/>
      <c r="L2178" s="414">
        <v>0.1</v>
      </c>
      <c r="M2178" s="414">
        <f>ROUND(+L2178*C2178,4)</f>
        <v>0</v>
      </c>
      <c r="N2178" s="414"/>
      <c r="O2178" s="414"/>
      <c r="P2178" s="414"/>
      <c r="Q2178" s="419">
        <f>ROUND(+N2178+O2178+P2178,4)</f>
        <v>0</v>
      </c>
      <c r="R2178" s="419">
        <f>ROUND(IF(+Q2178-H2178&lt;=0,0,Q2178-H2178),4)</f>
        <v>0</v>
      </c>
      <c r="S2178" s="423">
        <v>0.5</v>
      </c>
      <c r="T2178" s="419">
        <f>ROUND(+(R2178*C2178)*S2178,4)</f>
        <v>0</v>
      </c>
      <c r="U2178" s="419">
        <f>ROUND(+J2178+M2178+T2178,4)</f>
        <v>0</v>
      </c>
      <c r="V2178" s="235"/>
    </row>
    <row r="2179" spans="1:22" ht="15.75" x14ac:dyDescent="0.25">
      <c r="A2179" s="231"/>
      <c r="B2179" s="232"/>
      <c r="C2179" s="400"/>
      <c r="D2179" s="233"/>
      <c r="E2179" s="405"/>
      <c r="F2179" s="405"/>
      <c r="G2179" s="405"/>
      <c r="H2179" s="408">
        <f>ROUND(+E2179+F2179+G2179,4)</f>
        <v>0</v>
      </c>
      <c r="I2179" s="234"/>
      <c r="J2179" s="411"/>
      <c r="K2179" s="411"/>
      <c r="L2179" s="414">
        <v>0.1</v>
      </c>
      <c r="M2179" s="414">
        <f>ROUND(+L2179*C2179,4)</f>
        <v>0</v>
      </c>
      <c r="N2179" s="414"/>
      <c r="O2179" s="414"/>
      <c r="P2179" s="414"/>
      <c r="Q2179" s="419">
        <f>ROUND(+N2179+O2179+P2179,4)</f>
        <v>0</v>
      </c>
      <c r="R2179" s="419">
        <f>ROUND(IF(+Q2179-H2179&lt;=0,0,Q2179-H2179),4)</f>
        <v>0</v>
      </c>
      <c r="S2179" s="423">
        <v>0.5</v>
      </c>
      <c r="T2179" s="419">
        <f>ROUND(+(R2179*C2179)*S2179,4)</f>
        <v>0</v>
      </c>
      <c r="U2179" s="419">
        <f>ROUND(+J2179+M2179+T2179,4)</f>
        <v>0</v>
      </c>
      <c r="V2179" s="235"/>
    </row>
    <row r="2180" spans="1:22" ht="15.75" x14ac:dyDescent="0.25">
      <c r="A2180" s="231"/>
      <c r="B2180" s="232"/>
      <c r="C2180" s="400"/>
      <c r="D2180" s="233"/>
      <c r="E2180" s="405"/>
      <c r="F2180" s="405"/>
      <c r="G2180" s="405"/>
      <c r="H2180" s="408">
        <f>ROUND(+E2180+F2180+G2180,4)</f>
        <v>0</v>
      </c>
      <c r="I2180" s="234"/>
      <c r="J2180" s="411"/>
      <c r="K2180" s="411"/>
      <c r="L2180" s="414">
        <v>0.1</v>
      </c>
      <c r="M2180" s="414">
        <f>ROUND(+L2180*C2180,4)</f>
        <v>0</v>
      </c>
      <c r="N2180" s="414"/>
      <c r="O2180" s="414"/>
      <c r="P2180" s="414"/>
      <c r="Q2180" s="419">
        <f>ROUND(+N2180+O2180+P2180,4)</f>
        <v>0</v>
      </c>
      <c r="R2180" s="419">
        <f>ROUND(IF(+Q2180-H2180&lt;=0,0,Q2180-H2180),4)</f>
        <v>0</v>
      </c>
      <c r="S2180" s="423">
        <v>0.5</v>
      </c>
      <c r="T2180" s="419">
        <f>ROUND(+(R2180*C2180)*S2180,4)</f>
        <v>0</v>
      </c>
      <c r="U2180" s="419">
        <f>ROUND(+J2180+M2180+T2180,4)</f>
        <v>0</v>
      </c>
      <c r="V2180" s="235"/>
    </row>
    <row r="2181" spans="1:22" ht="15.75" x14ac:dyDescent="0.25">
      <c r="A2181" s="231"/>
      <c r="B2181" s="232"/>
      <c r="C2181" s="400"/>
      <c r="D2181" s="233"/>
      <c r="E2181" s="405"/>
      <c r="F2181" s="405"/>
      <c r="G2181" s="405"/>
      <c r="H2181" s="408">
        <f>ROUND(+E2181+F2181+G2181,4)</f>
        <v>0</v>
      </c>
      <c r="I2181" s="234"/>
      <c r="J2181" s="411"/>
      <c r="K2181" s="411"/>
      <c r="L2181" s="414">
        <v>0.1</v>
      </c>
      <c r="M2181" s="414">
        <f>ROUND(+L2181*C2181,4)</f>
        <v>0</v>
      </c>
      <c r="N2181" s="414"/>
      <c r="O2181" s="414"/>
      <c r="P2181" s="414"/>
      <c r="Q2181" s="419">
        <f>ROUND(+N2181+O2181+P2181,4)</f>
        <v>0</v>
      </c>
      <c r="R2181" s="419">
        <f>ROUND(IF(+Q2181-H2181&lt;=0,0,Q2181-H2181),4)</f>
        <v>0</v>
      </c>
      <c r="S2181" s="423">
        <v>0.5</v>
      </c>
      <c r="T2181" s="419">
        <f>ROUND(+(R2181*C2181)*S2181,4)</f>
        <v>0</v>
      </c>
      <c r="U2181" s="419">
        <f>ROUND(+J2181+M2181+T2181,4)</f>
        <v>0</v>
      </c>
      <c r="V2181" s="235"/>
    </row>
    <row r="2182" spans="1:22" ht="15.75" x14ac:dyDescent="0.25">
      <c r="A2182" s="231"/>
      <c r="B2182" s="232"/>
      <c r="C2182" s="400"/>
      <c r="D2182" s="233"/>
      <c r="E2182" s="405"/>
      <c r="F2182" s="405"/>
      <c r="G2182" s="405"/>
      <c r="H2182" s="408">
        <f>ROUND(+E2182+F2182+G2182,4)</f>
        <v>0</v>
      </c>
      <c r="I2182" s="234"/>
      <c r="J2182" s="411"/>
      <c r="K2182" s="411"/>
      <c r="L2182" s="414">
        <v>0.1</v>
      </c>
      <c r="M2182" s="414">
        <f>ROUND(+L2182*C2182,4)</f>
        <v>0</v>
      </c>
      <c r="N2182" s="414"/>
      <c r="O2182" s="414"/>
      <c r="P2182" s="414"/>
      <c r="Q2182" s="419">
        <f>ROUND(+N2182+O2182+P2182,4)</f>
        <v>0</v>
      </c>
      <c r="R2182" s="419">
        <f>ROUND(IF(+Q2182-H2182&lt;=0,0,Q2182-H2182),4)</f>
        <v>0</v>
      </c>
      <c r="S2182" s="423">
        <v>0.5</v>
      </c>
      <c r="T2182" s="419">
        <f>ROUND(+(R2182*C2182)*S2182,4)</f>
        <v>0</v>
      </c>
      <c r="U2182" s="419">
        <f>ROUND(+J2182+M2182+T2182,4)</f>
        <v>0</v>
      </c>
      <c r="V2182" s="235"/>
    </row>
    <row r="2183" spans="1:22" ht="15.75" x14ac:dyDescent="0.25">
      <c r="A2183" s="231"/>
      <c r="B2183" s="232"/>
      <c r="C2183" s="400"/>
      <c r="D2183" s="233"/>
      <c r="E2183" s="405"/>
      <c r="F2183" s="405"/>
      <c r="G2183" s="405"/>
      <c r="H2183" s="408">
        <f>ROUND(+E2183+F2183+G2183,4)</f>
        <v>0</v>
      </c>
      <c r="I2183" s="234"/>
      <c r="J2183" s="411"/>
      <c r="K2183" s="411"/>
      <c r="L2183" s="414">
        <v>0.1</v>
      </c>
      <c r="M2183" s="414">
        <f>ROUND(+L2183*C2183,4)</f>
        <v>0</v>
      </c>
      <c r="N2183" s="414"/>
      <c r="O2183" s="414"/>
      <c r="P2183" s="414"/>
      <c r="Q2183" s="419">
        <f>ROUND(+N2183+O2183+P2183,4)</f>
        <v>0</v>
      </c>
      <c r="R2183" s="419">
        <f>ROUND(IF(+Q2183-H2183&lt;=0,0,Q2183-H2183),4)</f>
        <v>0</v>
      </c>
      <c r="S2183" s="423">
        <v>0.5</v>
      </c>
      <c r="T2183" s="419">
        <f>ROUND(+(R2183*C2183)*S2183,4)</f>
        <v>0</v>
      </c>
      <c r="U2183" s="419">
        <f>ROUND(+J2183+M2183+T2183,4)</f>
        <v>0</v>
      </c>
      <c r="V2183" s="235"/>
    </row>
    <row r="2184" spans="1:22" ht="15.75" x14ac:dyDescent="0.25">
      <c r="A2184" s="231"/>
      <c r="B2184" s="232"/>
      <c r="C2184" s="400"/>
      <c r="D2184" s="233"/>
      <c r="E2184" s="405"/>
      <c r="F2184" s="405"/>
      <c r="G2184" s="405"/>
      <c r="H2184" s="408">
        <f>ROUND(+E2184+F2184+G2184,4)</f>
        <v>0</v>
      </c>
      <c r="I2184" s="234"/>
      <c r="J2184" s="411"/>
      <c r="K2184" s="411"/>
      <c r="L2184" s="414">
        <v>0.1</v>
      </c>
      <c r="M2184" s="414">
        <f>ROUND(+L2184*C2184,4)</f>
        <v>0</v>
      </c>
      <c r="N2184" s="414"/>
      <c r="O2184" s="414"/>
      <c r="P2184" s="414"/>
      <c r="Q2184" s="419">
        <f>ROUND(+N2184+O2184+P2184,4)</f>
        <v>0</v>
      </c>
      <c r="R2184" s="419">
        <f>ROUND(IF(+Q2184-H2184&lt;=0,0,Q2184-H2184),4)</f>
        <v>0</v>
      </c>
      <c r="S2184" s="423">
        <v>0.5</v>
      </c>
      <c r="T2184" s="419">
        <f>ROUND(+(R2184*C2184)*S2184,4)</f>
        <v>0</v>
      </c>
      <c r="U2184" s="419">
        <f>ROUND(+J2184+M2184+T2184,4)</f>
        <v>0</v>
      </c>
      <c r="V2184" s="235"/>
    </row>
    <row r="2185" spans="1:22" ht="15.75" x14ac:dyDescent="0.25">
      <c r="A2185" s="231"/>
      <c r="B2185" s="232"/>
      <c r="C2185" s="400"/>
      <c r="D2185" s="233"/>
      <c r="E2185" s="405"/>
      <c r="F2185" s="405"/>
      <c r="G2185" s="405"/>
      <c r="H2185" s="408">
        <f>ROUND(+E2185+F2185+G2185,4)</f>
        <v>0</v>
      </c>
      <c r="I2185" s="234"/>
      <c r="J2185" s="411"/>
      <c r="K2185" s="411"/>
      <c r="L2185" s="414">
        <v>0.1</v>
      </c>
      <c r="M2185" s="414">
        <f>ROUND(+L2185*C2185,4)</f>
        <v>0</v>
      </c>
      <c r="N2185" s="414"/>
      <c r="O2185" s="414"/>
      <c r="P2185" s="414"/>
      <c r="Q2185" s="419">
        <f>ROUND(+N2185+O2185+P2185,4)</f>
        <v>0</v>
      </c>
      <c r="R2185" s="419">
        <f>ROUND(IF(+Q2185-H2185&lt;=0,0,Q2185-H2185),4)</f>
        <v>0</v>
      </c>
      <c r="S2185" s="423">
        <v>0.5</v>
      </c>
      <c r="T2185" s="419">
        <f>ROUND(+(R2185*C2185)*S2185,4)</f>
        <v>0</v>
      </c>
      <c r="U2185" s="419">
        <f>ROUND(+J2185+M2185+T2185,4)</f>
        <v>0</v>
      </c>
      <c r="V2185" s="235"/>
    </row>
    <row r="2186" spans="1:22" ht="15.75" x14ac:dyDescent="0.25">
      <c r="A2186" s="231"/>
      <c r="B2186" s="232"/>
      <c r="C2186" s="400"/>
      <c r="D2186" s="233"/>
      <c r="E2186" s="405"/>
      <c r="F2186" s="405"/>
      <c r="G2186" s="405"/>
      <c r="H2186" s="408">
        <f>ROUND(+E2186+F2186+G2186,4)</f>
        <v>0</v>
      </c>
      <c r="I2186" s="234"/>
      <c r="J2186" s="411"/>
      <c r="K2186" s="411"/>
      <c r="L2186" s="414">
        <v>0.1</v>
      </c>
      <c r="M2186" s="414">
        <f>ROUND(+L2186*C2186,4)</f>
        <v>0</v>
      </c>
      <c r="N2186" s="414"/>
      <c r="O2186" s="414"/>
      <c r="P2186" s="414"/>
      <c r="Q2186" s="419">
        <f>ROUND(+N2186+O2186+P2186,4)</f>
        <v>0</v>
      </c>
      <c r="R2186" s="419">
        <f>ROUND(IF(+Q2186-H2186&lt;=0,0,Q2186-H2186),4)</f>
        <v>0</v>
      </c>
      <c r="S2186" s="423">
        <v>0.5</v>
      </c>
      <c r="T2186" s="419">
        <f>ROUND(+(R2186*C2186)*S2186,4)</f>
        <v>0</v>
      </c>
      <c r="U2186" s="419">
        <f>ROUND(+J2186+M2186+T2186,4)</f>
        <v>0</v>
      </c>
      <c r="V2186" s="235"/>
    </row>
    <row r="2187" spans="1:22" ht="15.75" x14ac:dyDescent="0.25">
      <c r="A2187" s="231"/>
      <c r="B2187" s="232"/>
      <c r="C2187" s="400"/>
      <c r="D2187" s="233"/>
      <c r="E2187" s="405"/>
      <c r="F2187" s="405"/>
      <c r="G2187" s="405"/>
      <c r="H2187" s="408">
        <f>ROUND(+E2187+F2187+G2187,4)</f>
        <v>0</v>
      </c>
      <c r="I2187" s="234"/>
      <c r="J2187" s="411"/>
      <c r="K2187" s="411"/>
      <c r="L2187" s="414">
        <v>0.1</v>
      </c>
      <c r="M2187" s="414">
        <f>ROUND(+L2187*C2187,4)</f>
        <v>0</v>
      </c>
      <c r="N2187" s="414"/>
      <c r="O2187" s="414"/>
      <c r="P2187" s="414"/>
      <c r="Q2187" s="419">
        <f>ROUND(+N2187+O2187+P2187,4)</f>
        <v>0</v>
      </c>
      <c r="R2187" s="419">
        <f>ROUND(IF(+Q2187-H2187&lt;=0,0,Q2187-H2187),4)</f>
        <v>0</v>
      </c>
      <c r="S2187" s="423">
        <v>0.5</v>
      </c>
      <c r="T2187" s="419">
        <f>ROUND(+(R2187*C2187)*S2187,4)</f>
        <v>0</v>
      </c>
      <c r="U2187" s="419">
        <f>ROUND(+J2187+M2187+T2187,4)</f>
        <v>0</v>
      </c>
      <c r="V2187" s="235"/>
    </row>
    <row r="2188" spans="1:22" ht="15.75" x14ac:dyDescent="0.25">
      <c r="A2188" s="231"/>
      <c r="B2188" s="232"/>
      <c r="C2188" s="400"/>
      <c r="D2188" s="233"/>
      <c r="E2188" s="405"/>
      <c r="F2188" s="405"/>
      <c r="G2188" s="405"/>
      <c r="H2188" s="408">
        <f>ROUND(+E2188+F2188+G2188,4)</f>
        <v>0</v>
      </c>
      <c r="I2188" s="234"/>
      <c r="J2188" s="411"/>
      <c r="K2188" s="411"/>
      <c r="L2188" s="414">
        <v>0.1</v>
      </c>
      <c r="M2188" s="414">
        <f>ROUND(+L2188*C2188,4)</f>
        <v>0</v>
      </c>
      <c r="N2188" s="414"/>
      <c r="O2188" s="414"/>
      <c r="P2188" s="414"/>
      <c r="Q2188" s="419">
        <f>ROUND(+N2188+O2188+P2188,4)</f>
        <v>0</v>
      </c>
      <c r="R2188" s="419">
        <f>ROUND(IF(+Q2188-H2188&lt;=0,0,Q2188-H2188),4)</f>
        <v>0</v>
      </c>
      <c r="S2188" s="423">
        <v>0.5</v>
      </c>
      <c r="T2188" s="419">
        <f>ROUND(+(R2188*C2188)*S2188,4)</f>
        <v>0</v>
      </c>
      <c r="U2188" s="419">
        <f>ROUND(+J2188+M2188+T2188,4)</f>
        <v>0</v>
      </c>
      <c r="V2188" s="235"/>
    </row>
    <row r="2189" spans="1:22" ht="15.75" x14ac:dyDescent="0.25">
      <c r="A2189" s="231"/>
      <c r="B2189" s="232"/>
      <c r="C2189" s="400"/>
      <c r="D2189" s="233"/>
      <c r="E2189" s="405"/>
      <c r="F2189" s="405"/>
      <c r="G2189" s="405"/>
      <c r="H2189" s="408">
        <f>ROUND(+E2189+F2189+G2189,4)</f>
        <v>0</v>
      </c>
      <c r="I2189" s="234"/>
      <c r="J2189" s="411"/>
      <c r="K2189" s="411"/>
      <c r="L2189" s="414">
        <v>0.1</v>
      </c>
      <c r="M2189" s="414">
        <f>ROUND(+L2189*C2189,4)</f>
        <v>0</v>
      </c>
      <c r="N2189" s="414"/>
      <c r="O2189" s="414"/>
      <c r="P2189" s="414"/>
      <c r="Q2189" s="419">
        <f>ROUND(+N2189+O2189+P2189,4)</f>
        <v>0</v>
      </c>
      <c r="R2189" s="419">
        <f>ROUND(IF(+Q2189-H2189&lt;=0,0,Q2189-H2189),4)</f>
        <v>0</v>
      </c>
      <c r="S2189" s="423">
        <v>0.5</v>
      </c>
      <c r="T2189" s="419">
        <f>ROUND(+(R2189*C2189)*S2189,4)</f>
        <v>0</v>
      </c>
      <c r="U2189" s="419">
        <f>ROUND(+J2189+M2189+T2189,4)</f>
        <v>0</v>
      </c>
      <c r="V2189" s="235"/>
    </row>
    <row r="2190" spans="1:22" ht="15.75" x14ac:dyDescent="0.25">
      <c r="A2190" s="231"/>
      <c r="B2190" s="232"/>
      <c r="C2190" s="400"/>
      <c r="D2190" s="233"/>
      <c r="E2190" s="405"/>
      <c r="F2190" s="405"/>
      <c r="G2190" s="405"/>
      <c r="H2190" s="408">
        <f>ROUND(+E2190+F2190+G2190,4)</f>
        <v>0</v>
      </c>
      <c r="I2190" s="234"/>
      <c r="J2190" s="411"/>
      <c r="K2190" s="411"/>
      <c r="L2190" s="414">
        <v>0.1</v>
      </c>
      <c r="M2190" s="414">
        <f>ROUND(+L2190*C2190,4)</f>
        <v>0</v>
      </c>
      <c r="N2190" s="414"/>
      <c r="O2190" s="414"/>
      <c r="P2190" s="414"/>
      <c r="Q2190" s="419">
        <f>ROUND(+N2190+O2190+P2190,4)</f>
        <v>0</v>
      </c>
      <c r="R2190" s="419">
        <f>ROUND(IF(+Q2190-H2190&lt;=0,0,Q2190-H2190),4)</f>
        <v>0</v>
      </c>
      <c r="S2190" s="423">
        <v>0.5</v>
      </c>
      <c r="T2190" s="419">
        <f>ROUND(+(R2190*C2190)*S2190,4)</f>
        <v>0</v>
      </c>
      <c r="U2190" s="419">
        <f>ROUND(+J2190+M2190+T2190,4)</f>
        <v>0</v>
      </c>
      <c r="V2190" s="235"/>
    </row>
    <row r="2191" spans="1:22" ht="15.75" x14ac:dyDescent="0.25">
      <c r="A2191" s="231"/>
      <c r="B2191" s="232"/>
      <c r="C2191" s="400"/>
      <c r="D2191" s="233"/>
      <c r="E2191" s="405"/>
      <c r="F2191" s="405"/>
      <c r="G2191" s="405"/>
      <c r="H2191" s="408">
        <f>ROUND(+E2191+F2191+G2191,4)</f>
        <v>0</v>
      </c>
      <c r="I2191" s="234"/>
      <c r="J2191" s="411"/>
      <c r="K2191" s="411"/>
      <c r="L2191" s="414">
        <v>0.1</v>
      </c>
      <c r="M2191" s="414">
        <f>ROUND(+L2191*C2191,4)</f>
        <v>0</v>
      </c>
      <c r="N2191" s="414"/>
      <c r="O2191" s="414"/>
      <c r="P2191" s="414"/>
      <c r="Q2191" s="419">
        <f>ROUND(+N2191+O2191+P2191,4)</f>
        <v>0</v>
      </c>
      <c r="R2191" s="419">
        <f>ROUND(IF(+Q2191-H2191&lt;=0,0,Q2191-H2191),4)</f>
        <v>0</v>
      </c>
      <c r="S2191" s="423">
        <v>0.5</v>
      </c>
      <c r="T2191" s="419">
        <f>ROUND(+(R2191*C2191)*S2191,4)</f>
        <v>0</v>
      </c>
      <c r="U2191" s="419">
        <f>ROUND(+J2191+M2191+T2191,4)</f>
        <v>0</v>
      </c>
      <c r="V2191" s="235"/>
    </row>
    <row r="2192" spans="1:22" ht="15.75" x14ac:dyDescent="0.25">
      <c r="A2192" s="231"/>
      <c r="B2192" s="232"/>
      <c r="C2192" s="400"/>
      <c r="D2192" s="233"/>
      <c r="E2192" s="405"/>
      <c r="F2192" s="405"/>
      <c r="G2192" s="405"/>
      <c r="H2192" s="408">
        <f>ROUND(+E2192+F2192+G2192,4)</f>
        <v>0</v>
      </c>
      <c r="I2192" s="234"/>
      <c r="J2192" s="411"/>
      <c r="K2192" s="411"/>
      <c r="L2192" s="414">
        <v>0.1</v>
      </c>
      <c r="M2192" s="414">
        <f>ROUND(+L2192*C2192,4)</f>
        <v>0</v>
      </c>
      <c r="N2192" s="414"/>
      <c r="O2192" s="414"/>
      <c r="P2192" s="414"/>
      <c r="Q2192" s="419">
        <f>ROUND(+N2192+O2192+P2192,4)</f>
        <v>0</v>
      </c>
      <c r="R2192" s="419">
        <f>ROUND(IF(+Q2192-H2192&lt;=0,0,Q2192-H2192),4)</f>
        <v>0</v>
      </c>
      <c r="S2192" s="423">
        <v>0.5</v>
      </c>
      <c r="T2192" s="419">
        <f>ROUND(+(R2192*C2192)*S2192,4)</f>
        <v>0</v>
      </c>
      <c r="U2192" s="419">
        <f>ROUND(+J2192+M2192+T2192,4)</f>
        <v>0</v>
      </c>
      <c r="V2192" s="235"/>
    </row>
    <row r="2193" spans="1:22" ht="15.75" x14ac:dyDescent="0.25">
      <c r="A2193" s="231"/>
      <c r="B2193" s="232"/>
      <c r="C2193" s="400"/>
      <c r="D2193" s="233"/>
      <c r="E2193" s="405"/>
      <c r="F2193" s="405"/>
      <c r="G2193" s="405"/>
      <c r="H2193" s="408">
        <f>ROUND(+E2193+F2193+G2193,4)</f>
        <v>0</v>
      </c>
      <c r="I2193" s="234"/>
      <c r="J2193" s="411"/>
      <c r="K2193" s="411"/>
      <c r="L2193" s="414">
        <v>0.1</v>
      </c>
      <c r="M2193" s="414">
        <f>ROUND(+L2193*C2193,4)</f>
        <v>0</v>
      </c>
      <c r="N2193" s="414"/>
      <c r="O2193" s="414"/>
      <c r="P2193" s="414"/>
      <c r="Q2193" s="419">
        <f>ROUND(+N2193+O2193+P2193,4)</f>
        <v>0</v>
      </c>
      <c r="R2193" s="419">
        <f>ROUND(IF(+Q2193-H2193&lt;=0,0,Q2193-H2193),4)</f>
        <v>0</v>
      </c>
      <c r="S2193" s="423">
        <v>0.5</v>
      </c>
      <c r="T2193" s="419">
        <f>ROUND(+(R2193*C2193)*S2193,4)</f>
        <v>0</v>
      </c>
      <c r="U2193" s="419">
        <f>ROUND(+J2193+M2193+T2193,4)</f>
        <v>0</v>
      </c>
      <c r="V2193" s="235"/>
    </row>
    <row r="2194" spans="1:22" ht="15.75" x14ac:dyDescent="0.25">
      <c r="A2194" s="231"/>
      <c r="B2194" s="232"/>
      <c r="C2194" s="400"/>
      <c r="D2194" s="233"/>
      <c r="E2194" s="405"/>
      <c r="F2194" s="405"/>
      <c r="G2194" s="405"/>
      <c r="H2194" s="408">
        <f>ROUND(+E2194+F2194+G2194,4)</f>
        <v>0</v>
      </c>
      <c r="I2194" s="234"/>
      <c r="J2194" s="411"/>
      <c r="K2194" s="411"/>
      <c r="L2194" s="414">
        <v>0.1</v>
      </c>
      <c r="M2194" s="414">
        <f>ROUND(+L2194*C2194,4)</f>
        <v>0</v>
      </c>
      <c r="N2194" s="414"/>
      <c r="O2194" s="414"/>
      <c r="P2194" s="414"/>
      <c r="Q2194" s="419">
        <f>ROUND(+N2194+O2194+P2194,4)</f>
        <v>0</v>
      </c>
      <c r="R2194" s="419">
        <f>ROUND(IF(+Q2194-H2194&lt;=0,0,Q2194-H2194),4)</f>
        <v>0</v>
      </c>
      <c r="S2194" s="423">
        <v>0.5</v>
      </c>
      <c r="T2194" s="419">
        <f>ROUND(+(R2194*C2194)*S2194,4)</f>
        <v>0</v>
      </c>
      <c r="U2194" s="419">
        <f>ROUND(+J2194+M2194+T2194,4)</f>
        <v>0</v>
      </c>
      <c r="V2194" s="235"/>
    </row>
    <row r="2195" spans="1:22" ht="15.75" x14ac:dyDescent="0.25">
      <c r="A2195" s="231"/>
      <c r="B2195" s="232"/>
      <c r="C2195" s="400"/>
      <c r="D2195" s="233"/>
      <c r="E2195" s="405"/>
      <c r="F2195" s="405"/>
      <c r="G2195" s="405"/>
      <c r="H2195" s="408">
        <f>ROUND(+E2195+F2195+G2195,4)</f>
        <v>0</v>
      </c>
      <c r="I2195" s="234"/>
      <c r="J2195" s="411"/>
      <c r="K2195" s="411"/>
      <c r="L2195" s="414">
        <v>0.1</v>
      </c>
      <c r="M2195" s="414">
        <f>ROUND(+L2195*C2195,4)</f>
        <v>0</v>
      </c>
      <c r="N2195" s="414"/>
      <c r="O2195" s="414"/>
      <c r="P2195" s="414"/>
      <c r="Q2195" s="419">
        <f>ROUND(+N2195+O2195+P2195,4)</f>
        <v>0</v>
      </c>
      <c r="R2195" s="419">
        <f>ROUND(IF(+Q2195-H2195&lt;=0,0,Q2195-H2195),4)</f>
        <v>0</v>
      </c>
      <c r="S2195" s="423">
        <v>0.5</v>
      </c>
      <c r="T2195" s="419">
        <f>ROUND(+(R2195*C2195)*S2195,4)</f>
        <v>0</v>
      </c>
      <c r="U2195" s="419">
        <f>ROUND(+J2195+M2195+T2195,4)</f>
        <v>0</v>
      </c>
      <c r="V2195" s="235"/>
    </row>
    <row r="2196" spans="1:22" ht="15.75" x14ac:dyDescent="0.25">
      <c r="A2196" s="231"/>
      <c r="B2196" s="232"/>
      <c r="C2196" s="400"/>
      <c r="D2196" s="233"/>
      <c r="E2196" s="405"/>
      <c r="F2196" s="405"/>
      <c r="G2196" s="405"/>
      <c r="H2196" s="408">
        <f>ROUND(+E2196+F2196+G2196,4)</f>
        <v>0</v>
      </c>
      <c r="I2196" s="234"/>
      <c r="J2196" s="411"/>
      <c r="K2196" s="411"/>
      <c r="L2196" s="414">
        <v>0.1</v>
      </c>
      <c r="M2196" s="414">
        <f>ROUND(+L2196*C2196,4)</f>
        <v>0</v>
      </c>
      <c r="N2196" s="414"/>
      <c r="O2196" s="414"/>
      <c r="P2196" s="414"/>
      <c r="Q2196" s="419">
        <f>ROUND(+N2196+O2196+P2196,4)</f>
        <v>0</v>
      </c>
      <c r="R2196" s="419">
        <f>ROUND(IF(+Q2196-H2196&lt;=0,0,Q2196-H2196),4)</f>
        <v>0</v>
      </c>
      <c r="S2196" s="423">
        <v>0.5</v>
      </c>
      <c r="T2196" s="419">
        <f>ROUND(+(R2196*C2196)*S2196,4)</f>
        <v>0</v>
      </c>
      <c r="U2196" s="419">
        <f>ROUND(+J2196+M2196+T2196,4)</f>
        <v>0</v>
      </c>
      <c r="V2196" s="235"/>
    </row>
    <row r="2197" spans="1:22" ht="15.75" x14ac:dyDescent="0.25">
      <c r="A2197" s="231"/>
      <c r="B2197" s="232"/>
      <c r="C2197" s="400"/>
      <c r="D2197" s="233"/>
      <c r="E2197" s="405"/>
      <c r="F2197" s="405"/>
      <c r="G2197" s="405"/>
      <c r="H2197" s="408">
        <f>ROUND(+E2197+F2197+G2197,4)</f>
        <v>0</v>
      </c>
      <c r="I2197" s="234"/>
      <c r="J2197" s="411"/>
      <c r="K2197" s="411"/>
      <c r="L2197" s="414">
        <v>0.1</v>
      </c>
      <c r="M2197" s="414">
        <f>ROUND(+L2197*C2197,4)</f>
        <v>0</v>
      </c>
      <c r="N2197" s="414"/>
      <c r="O2197" s="414"/>
      <c r="P2197" s="414"/>
      <c r="Q2197" s="419">
        <f>ROUND(+N2197+O2197+P2197,4)</f>
        <v>0</v>
      </c>
      <c r="R2197" s="419">
        <f>ROUND(IF(+Q2197-H2197&lt;=0,0,Q2197-H2197),4)</f>
        <v>0</v>
      </c>
      <c r="S2197" s="423">
        <v>0.5</v>
      </c>
      <c r="T2197" s="419">
        <f>ROUND(+(R2197*C2197)*S2197,4)</f>
        <v>0</v>
      </c>
      <c r="U2197" s="419">
        <f>ROUND(+J2197+M2197+T2197,4)</f>
        <v>0</v>
      </c>
      <c r="V2197" s="235"/>
    </row>
    <row r="2198" spans="1:22" ht="15.75" x14ac:dyDescent="0.25">
      <c r="A2198" s="231"/>
      <c r="B2198" s="232"/>
      <c r="C2198" s="400"/>
      <c r="D2198" s="233"/>
      <c r="E2198" s="405"/>
      <c r="F2198" s="405"/>
      <c r="G2198" s="405"/>
      <c r="H2198" s="408">
        <f>ROUND(+E2198+F2198+G2198,4)</f>
        <v>0</v>
      </c>
      <c r="I2198" s="234"/>
      <c r="J2198" s="411"/>
      <c r="K2198" s="411"/>
      <c r="L2198" s="414">
        <v>0.1</v>
      </c>
      <c r="M2198" s="414">
        <f>ROUND(+L2198*C2198,4)</f>
        <v>0</v>
      </c>
      <c r="N2198" s="414"/>
      <c r="O2198" s="414"/>
      <c r="P2198" s="414"/>
      <c r="Q2198" s="419">
        <f>ROUND(+N2198+O2198+P2198,4)</f>
        <v>0</v>
      </c>
      <c r="R2198" s="419">
        <f>ROUND(IF(+Q2198-H2198&lt;=0,0,Q2198-H2198),4)</f>
        <v>0</v>
      </c>
      <c r="S2198" s="423">
        <v>0.5</v>
      </c>
      <c r="T2198" s="419">
        <f>ROUND(+(R2198*C2198)*S2198,4)</f>
        <v>0</v>
      </c>
      <c r="U2198" s="419">
        <f>ROUND(+J2198+M2198+T2198,4)</f>
        <v>0</v>
      </c>
      <c r="V2198" s="235"/>
    </row>
    <row r="2199" spans="1:22" ht="15.75" x14ac:dyDescent="0.25">
      <c r="A2199" s="231"/>
      <c r="B2199" s="232"/>
      <c r="C2199" s="400"/>
      <c r="D2199" s="233"/>
      <c r="E2199" s="405"/>
      <c r="F2199" s="405"/>
      <c r="G2199" s="405"/>
      <c r="H2199" s="408">
        <f>ROUND(+E2199+F2199+G2199,4)</f>
        <v>0</v>
      </c>
      <c r="I2199" s="234"/>
      <c r="J2199" s="411"/>
      <c r="K2199" s="411"/>
      <c r="L2199" s="414">
        <v>0.1</v>
      </c>
      <c r="M2199" s="414">
        <f>ROUND(+L2199*C2199,4)</f>
        <v>0</v>
      </c>
      <c r="N2199" s="414"/>
      <c r="O2199" s="414"/>
      <c r="P2199" s="414"/>
      <c r="Q2199" s="419">
        <f>ROUND(+N2199+O2199+P2199,4)</f>
        <v>0</v>
      </c>
      <c r="R2199" s="419">
        <f>ROUND(IF(+Q2199-H2199&lt;=0,0,Q2199-H2199),4)</f>
        <v>0</v>
      </c>
      <c r="S2199" s="423">
        <v>0.5</v>
      </c>
      <c r="T2199" s="419">
        <f>ROUND(+(R2199*C2199)*S2199,4)</f>
        <v>0</v>
      </c>
      <c r="U2199" s="419">
        <f>ROUND(+J2199+M2199+T2199,4)</f>
        <v>0</v>
      </c>
      <c r="V2199" s="235"/>
    </row>
    <row r="2200" spans="1:22" ht="15.75" x14ac:dyDescent="0.25">
      <c r="A2200" s="231"/>
      <c r="B2200" s="232"/>
      <c r="C2200" s="400"/>
      <c r="D2200" s="233"/>
      <c r="E2200" s="405"/>
      <c r="F2200" s="405"/>
      <c r="G2200" s="405"/>
      <c r="H2200" s="408">
        <f>ROUND(+E2200+F2200+G2200,4)</f>
        <v>0</v>
      </c>
      <c r="I2200" s="234"/>
      <c r="J2200" s="411"/>
      <c r="K2200" s="411"/>
      <c r="L2200" s="414">
        <v>0.1</v>
      </c>
      <c r="M2200" s="414">
        <f>ROUND(+L2200*C2200,4)</f>
        <v>0</v>
      </c>
      <c r="N2200" s="414"/>
      <c r="O2200" s="414"/>
      <c r="P2200" s="414"/>
      <c r="Q2200" s="419">
        <f>ROUND(+N2200+O2200+P2200,4)</f>
        <v>0</v>
      </c>
      <c r="R2200" s="419">
        <f>ROUND(IF(+Q2200-H2200&lt;=0,0,Q2200-H2200),4)</f>
        <v>0</v>
      </c>
      <c r="S2200" s="423">
        <v>0.5</v>
      </c>
      <c r="T2200" s="419">
        <f>ROUND(+(R2200*C2200)*S2200,4)</f>
        <v>0</v>
      </c>
      <c r="U2200" s="419">
        <f>ROUND(+J2200+M2200+T2200,4)</f>
        <v>0</v>
      </c>
      <c r="V2200" s="235"/>
    </row>
    <row r="2201" spans="1:22" ht="15.75" x14ac:dyDescent="0.25">
      <c r="A2201" s="231"/>
      <c r="B2201" s="232"/>
      <c r="C2201" s="400"/>
      <c r="D2201" s="233"/>
      <c r="E2201" s="405"/>
      <c r="F2201" s="405"/>
      <c r="G2201" s="405"/>
      <c r="H2201" s="408">
        <f>ROUND(+E2201+F2201+G2201,4)</f>
        <v>0</v>
      </c>
      <c r="I2201" s="234"/>
      <c r="J2201" s="411"/>
      <c r="K2201" s="411"/>
      <c r="L2201" s="414">
        <v>0.1</v>
      </c>
      <c r="M2201" s="414">
        <f>ROUND(+L2201*C2201,4)</f>
        <v>0</v>
      </c>
      <c r="N2201" s="414"/>
      <c r="O2201" s="414"/>
      <c r="P2201" s="414"/>
      <c r="Q2201" s="419">
        <f>ROUND(+N2201+O2201+P2201,4)</f>
        <v>0</v>
      </c>
      <c r="R2201" s="419">
        <f>ROUND(IF(+Q2201-H2201&lt;=0,0,Q2201-H2201),4)</f>
        <v>0</v>
      </c>
      <c r="S2201" s="423">
        <v>0.5</v>
      </c>
      <c r="T2201" s="419">
        <f>ROUND(+(R2201*C2201)*S2201,4)</f>
        <v>0</v>
      </c>
      <c r="U2201" s="419">
        <f>ROUND(+J2201+M2201+T2201,4)</f>
        <v>0</v>
      </c>
      <c r="V2201" s="235"/>
    </row>
    <row r="2202" spans="1:22" ht="15.75" x14ac:dyDescent="0.25">
      <c r="A2202" s="231"/>
      <c r="B2202" s="232"/>
      <c r="C2202" s="400"/>
      <c r="D2202" s="233"/>
      <c r="E2202" s="405"/>
      <c r="F2202" s="405"/>
      <c r="G2202" s="405"/>
      <c r="H2202" s="408">
        <f>ROUND(+E2202+F2202+G2202,4)</f>
        <v>0</v>
      </c>
      <c r="I2202" s="234"/>
      <c r="J2202" s="411"/>
      <c r="K2202" s="411"/>
      <c r="L2202" s="414">
        <v>0.1</v>
      </c>
      <c r="M2202" s="414">
        <f>ROUND(+L2202*C2202,4)</f>
        <v>0</v>
      </c>
      <c r="N2202" s="414"/>
      <c r="O2202" s="414"/>
      <c r="P2202" s="414"/>
      <c r="Q2202" s="419">
        <f>ROUND(+N2202+O2202+P2202,4)</f>
        <v>0</v>
      </c>
      <c r="R2202" s="419">
        <f>ROUND(IF(+Q2202-H2202&lt;=0,0,Q2202-H2202),4)</f>
        <v>0</v>
      </c>
      <c r="S2202" s="423">
        <v>0.5</v>
      </c>
      <c r="T2202" s="419">
        <f>ROUND(+(R2202*C2202)*S2202,4)</f>
        <v>0</v>
      </c>
      <c r="U2202" s="419">
        <f>ROUND(+J2202+M2202+T2202,4)</f>
        <v>0</v>
      </c>
      <c r="V2202" s="235"/>
    </row>
    <row r="2203" spans="1:22" ht="15.75" x14ac:dyDescent="0.25">
      <c r="A2203" s="231"/>
      <c r="B2203" s="232"/>
      <c r="C2203" s="400"/>
      <c r="D2203" s="233"/>
      <c r="E2203" s="405"/>
      <c r="F2203" s="405"/>
      <c r="G2203" s="405"/>
      <c r="H2203" s="408">
        <f>ROUND(+E2203+F2203+G2203,4)</f>
        <v>0</v>
      </c>
      <c r="I2203" s="234"/>
      <c r="J2203" s="411"/>
      <c r="K2203" s="411"/>
      <c r="L2203" s="414">
        <v>0.1</v>
      </c>
      <c r="M2203" s="414">
        <f>ROUND(+L2203*C2203,4)</f>
        <v>0</v>
      </c>
      <c r="N2203" s="414"/>
      <c r="O2203" s="414"/>
      <c r="P2203" s="414"/>
      <c r="Q2203" s="419">
        <f>ROUND(+N2203+O2203+P2203,4)</f>
        <v>0</v>
      </c>
      <c r="R2203" s="419">
        <f>ROUND(IF(+Q2203-H2203&lt;=0,0,Q2203-H2203),4)</f>
        <v>0</v>
      </c>
      <c r="S2203" s="423">
        <v>0.5</v>
      </c>
      <c r="T2203" s="419">
        <f>ROUND(+(R2203*C2203)*S2203,4)</f>
        <v>0</v>
      </c>
      <c r="U2203" s="419">
        <f>ROUND(+J2203+M2203+T2203,4)</f>
        <v>0</v>
      </c>
      <c r="V2203" s="235"/>
    </row>
    <row r="2204" spans="1:22" ht="15.75" x14ac:dyDescent="0.25">
      <c r="A2204" s="231"/>
      <c r="B2204" s="232"/>
      <c r="C2204" s="400"/>
      <c r="D2204" s="233"/>
      <c r="E2204" s="405"/>
      <c r="F2204" s="405"/>
      <c r="G2204" s="405"/>
      <c r="H2204" s="408">
        <f>ROUND(+E2204+F2204+G2204,4)</f>
        <v>0</v>
      </c>
      <c r="I2204" s="234"/>
      <c r="J2204" s="411"/>
      <c r="K2204" s="411"/>
      <c r="L2204" s="414">
        <v>0.1</v>
      </c>
      <c r="M2204" s="414">
        <f>ROUND(+L2204*C2204,4)</f>
        <v>0</v>
      </c>
      <c r="N2204" s="414"/>
      <c r="O2204" s="414"/>
      <c r="P2204" s="414"/>
      <c r="Q2204" s="419">
        <f>ROUND(+N2204+O2204+P2204,4)</f>
        <v>0</v>
      </c>
      <c r="R2204" s="419">
        <f>ROUND(IF(+Q2204-H2204&lt;=0,0,Q2204-H2204),4)</f>
        <v>0</v>
      </c>
      <c r="S2204" s="423">
        <v>0.5</v>
      </c>
      <c r="T2204" s="419">
        <f>ROUND(+(R2204*C2204)*S2204,4)</f>
        <v>0</v>
      </c>
      <c r="U2204" s="419">
        <f>ROUND(+J2204+M2204+T2204,4)</f>
        <v>0</v>
      </c>
      <c r="V2204" s="235"/>
    </row>
    <row r="2205" spans="1:22" ht="15.75" x14ac:dyDescent="0.25">
      <c r="A2205" s="231"/>
      <c r="B2205" s="232"/>
      <c r="C2205" s="400"/>
      <c r="D2205" s="233"/>
      <c r="E2205" s="405"/>
      <c r="F2205" s="405"/>
      <c r="G2205" s="405"/>
      <c r="H2205" s="408">
        <f>ROUND(+E2205+F2205+G2205,4)</f>
        <v>0</v>
      </c>
      <c r="I2205" s="234"/>
      <c r="J2205" s="411"/>
      <c r="K2205" s="411"/>
      <c r="L2205" s="414">
        <v>0.1</v>
      </c>
      <c r="M2205" s="414">
        <f>ROUND(+L2205*C2205,4)</f>
        <v>0</v>
      </c>
      <c r="N2205" s="414"/>
      <c r="O2205" s="414"/>
      <c r="P2205" s="414"/>
      <c r="Q2205" s="419">
        <f>ROUND(+N2205+O2205+P2205,4)</f>
        <v>0</v>
      </c>
      <c r="R2205" s="419">
        <f>ROUND(IF(+Q2205-H2205&lt;=0,0,Q2205-H2205),4)</f>
        <v>0</v>
      </c>
      <c r="S2205" s="423">
        <v>0.5</v>
      </c>
      <c r="T2205" s="419">
        <f>ROUND(+(R2205*C2205)*S2205,4)</f>
        <v>0</v>
      </c>
      <c r="U2205" s="419">
        <f>ROUND(+J2205+M2205+T2205,4)</f>
        <v>0</v>
      </c>
      <c r="V2205" s="235"/>
    </row>
    <row r="2206" spans="1:22" ht="15.75" x14ac:dyDescent="0.25">
      <c r="A2206" s="231"/>
      <c r="B2206" s="232"/>
      <c r="C2206" s="400"/>
      <c r="D2206" s="233"/>
      <c r="E2206" s="405"/>
      <c r="F2206" s="405"/>
      <c r="G2206" s="405"/>
      <c r="H2206" s="408">
        <f>ROUND(+E2206+F2206+G2206,4)</f>
        <v>0</v>
      </c>
      <c r="I2206" s="234"/>
      <c r="J2206" s="411"/>
      <c r="K2206" s="411"/>
      <c r="L2206" s="414">
        <v>0.1</v>
      </c>
      <c r="M2206" s="414">
        <f>ROUND(+L2206*C2206,4)</f>
        <v>0</v>
      </c>
      <c r="N2206" s="414"/>
      <c r="O2206" s="414"/>
      <c r="P2206" s="414"/>
      <c r="Q2206" s="419">
        <f>ROUND(+N2206+O2206+P2206,4)</f>
        <v>0</v>
      </c>
      <c r="R2206" s="419">
        <f>ROUND(IF(+Q2206-H2206&lt;=0,0,Q2206-H2206),4)</f>
        <v>0</v>
      </c>
      <c r="S2206" s="423">
        <v>0.5</v>
      </c>
      <c r="T2206" s="419">
        <f>ROUND(+(R2206*C2206)*S2206,4)</f>
        <v>0</v>
      </c>
      <c r="U2206" s="419">
        <f>ROUND(+J2206+M2206+T2206,4)</f>
        <v>0</v>
      </c>
      <c r="V2206" s="235"/>
    </row>
    <row r="2207" spans="1:22" ht="15.75" x14ac:dyDescent="0.25">
      <c r="A2207" s="231"/>
      <c r="B2207" s="232"/>
      <c r="C2207" s="400"/>
      <c r="D2207" s="233"/>
      <c r="E2207" s="405"/>
      <c r="F2207" s="405"/>
      <c r="G2207" s="405"/>
      <c r="H2207" s="408">
        <f>ROUND(+E2207+F2207+G2207,4)</f>
        <v>0</v>
      </c>
      <c r="I2207" s="234"/>
      <c r="J2207" s="411"/>
      <c r="K2207" s="411"/>
      <c r="L2207" s="414">
        <v>0.1</v>
      </c>
      <c r="M2207" s="414">
        <f>ROUND(+L2207*C2207,4)</f>
        <v>0</v>
      </c>
      <c r="N2207" s="414"/>
      <c r="O2207" s="414"/>
      <c r="P2207" s="414"/>
      <c r="Q2207" s="419">
        <f>ROUND(+N2207+O2207+P2207,4)</f>
        <v>0</v>
      </c>
      <c r="R2207" s="419">
        <f>ROUND(IF(+Q2207-H2207&lt;=0,0,Q2207-H2207),4)</f>
        <v>0</v>
      </c>
      <c r="S2207" s="423">
        <v>0.5</v>
      </c>
      <c r="T2207" s="419">
        <f>ROUND(+(R2207*C2207)*S2207,4)</f>
        <v>0</v>
      </c>
      <c r="U2207" s="419">
        <f>ROUND(+J2207+M2207+T2207,4)</f>
        <v>0</v>
      </c>
      <c r="V2207" s="235"/>
    </row>
    <row r="2208" spans="1:22" ht="15.75" x14ac:dyDescent="0.25">
      <c r="A2208" s="231"/>
      <c r="B2208" s="232"/>
      <c r="C2208" s="400"/>
      <c r="D2208" s="233"/>
      <c r="E2208" s="405"/>
      <c r="F2208" s="405"/>
      <c r="G2208" s="405"/>
      <c r="H2208" s="408">
        <f>ROUND(+E2208+F2208+G2208,4)</f>
        <v>0</v>
      </c>
      <c r="I2208" s="234"/>
      <c r="J2208" s="411"/>
      <c r="K2208" s="411"/>
      <c r="L2208" s="414">
        <v>0.1</v>
      </c>
      <c r="M2208" s="414">
        <f>ROUND(+L2208*C2208,4)</f>
        <v>0</v>
      </c>
      <c r="N2208" s="414"/>
      <c r="O2208" s="414"/>
      <c r="P2208" s="414"/>
      <c r="Q2208" s="419">
        <f>ROUND(+N2208+O2208+P2208,4)</f>
        <v>0</v>
      </c>
      <c r="R2208" s="419">
        <f>ROUND(IF(+Q2208-H2208&lt;=0,0,Q2208-H2208),4)</f>
        <v>0</v>
      </c>
      <c r="S2208" s="423">
        <v>0.5</v>
      </c>
      <c r="T2208" s="419">
        <f>ROUND(+(R2208*C2208)*S2208,4)</f>
        <v>0</v>
      </c>
      <c r="U2208" s="419">
        <f>ROUND(+J2208+M2208+T2208,4)</f>
        <v>0</v>
      </c>
      <c r="V2208" s="235"/>
    </row>
    <row r="2209" spans="1:22" ht="15.75" x14ac:dyDescent="0.25">
      <c r="A2209" s="231"/>
      <c r="B2209" s="232"/>
      <c r="C2209" s="400"/>
      <c r="D2209" s="233"/>
      <c r="E2209" s="405"/>
      <c r="F2209" s="405"/>
      <c r="G2209" s="405"/>
      <c r="H2209" s="408">
        <f>ROUND(+E2209+F2209+G2209,4)</f>
        <v>0</v>
      </c>
      <c r="I2209" s="234"/>
      <c r="J2209" s="411"/>
      <c r="K2209" s="411"/>
      <c r="L2209" s="414">
        <v>0.1</v>
      </c>
      <c r="M2209" s="414">
        <f>ROUND(+L2209*C2209,4)</f>
        <v>0</v>
      </c>
      <c r="N2209" s="414"/>
      <c r="O2209" s="414"/>
      <c r="P2209" s="414"/>
      <c r="Q2209" s="419">
        <f>ROUND(+N2209+O2209+P2209,4)</f>
        <v>0</v>
      </c>
      <c r="R2209" s="419">
        <f>ROUND(IF(+Q2209-H2209&lt;=0,0,Q2209-H2209),4)</f>
        <v>0</v>
      </c>
      <c r="S2209" s="423">
        <v>0.5</v>
      </c>
      <c r="T2209" s="419">
        <f>ROUND(+(R2209*C2209)*S2209,4)</f>
        <v>0</v>
      </c>
      <c r="U2209" s="419">
        <f>ROUND(+J2209+M2209+T2209,4)</f>
        <v>0</v>
      </c>
      <c r="V2209" s="235"/>
    </row>
    <row r="2210" spans="1:22" ht="15.75" x14ac:dyDescent="0.25">
      <c r="A2210" s="231"/>
      <c r="B2210" s="232"/>
      <c r="C2210" s="400"/>
      <c r="D2210" s="233"/>
      <c r="E2210" s="405"/>
      <c r="F2210" s="405"/>
      <c r="G2210" s="405"/>
      <c r="H2210" s="408">
        <f>ROUND(+E2210+F2210+G2210,4)</f>
        <v>0</v>
      </c>
      <c r="I2210" s="234"/>
      <c r="J2210" s="411"/>
      <c r="K2210" s="411"/>
      <c r="L2210" s="414">
        <v>0.1</v>
      </c>
      <c r="M2210" s="414">
        <f>ROUND(+L2210*C2210,4)</f>
        <v>0</v>
      </c>
      <c r="N2210" s="414"/>
      <c r="O2210" s="414"/>
      <c r="P2210" s="414"/>
      <c r="Q2210" s="419">
        <f>ROUND(+N2210+O2210+P2210,4)</f>
        <v>0</v>
      </c>
      <c r="R2210" s="419">
        <f>ROUND(IF(+Q2210-H2210&lt;=0,0,Q2210-H2210),4)</f>
        <v>0</v>
      </c>
      <c r="S2210" s="423">
        <v>0.5</v>
      </c>
      <c r="T2210" s="419">
        <f>ROUND(+(R2210*C2210)*S2210,4)</f>
        <v>0</v>
      </c>
      <c r="U2210" s="419">
        <f>ROUND(+J2210+M2210+T2210,4)</f>
        <v>0</v>
      </c>
      <c r="V2210" s="235"/>
    </row>
    <row r="2211" spans="1:22" ht="15.75" x14ac:dyDescent="0.25">
      <c r="A2211" s="231"/>
      <c r="B2211" s="232"/>
      <c r="C2211" s="400"/>
      <c r="D2211" s="233"/>
      <c r="E2211" s="405"/>
      <c r="F2211" s="405"/>
      <c r="G2211" s="405"/>
      <c r="H2211" s="408">
        <f>ROUND(+E2211+F2211+G2211,4)</f>
        <v>0</v>
      </c>
      <c r="I2211" s="234"/>
      <c r="J2211" s="411"/>
      <c r="K2211" s="411"/>
      <c r="L2211" s="414">
        <v>0.1</v>
      </c>
      <c r="M2211" s="414">
        <f>ROUND(+L2211*C2211,4)</f>
        <v>0</v>
      </c>
      <c r="N2211" s="414"/>
      <c r="O2211" s="414"/>
      <c r="P2211" s="414"/>
      <c r="Q2211" s="419">
        <f>ROUND(+N2211+O2211+P2211,4)</f>
        <v>0</v>
      </c>
      <c r="R2211" s="419">
        <f>ROUND(IF(+Q2211-H2211&lt;=0,0,Q2211-H2211),4)</f>
        <v>0</v>
      </c>
      <c r="S2211" s="423">
        <v>0.5</v>
      </c>
      <c r="T2211" s="419">
        <f>ROUND(+(R2211*C2211)*S2211,4)</f>
        <v>0</v>
      </c>
      <c r="U2211" s="419">
        <f>ROUND(+J2211+M2211+T2211,4)</f>
        <v>0</v>
      </c>
      <c r="V2211" s="235"/>
    </row>
    <row r="2212" spans="1:22" ht="15.75" x14ac:dyDescent="0.25">
      <c r="A2212" s="231"/>
      <c r="B2212" s="232"/>
      <c r="C2212" s="400"/>
      <c r="D2212" s="233"/>
      <c r="E2212" s="405"/>
      <c r="F2212" s="405"/>
      <c r="G2212" s="405"/>
      <c r="H2212" s="408">
        <f>ROUND(+E2212+F2212+G2212,4)</f>
        <v>0</v>
      </c>
      <c r="I2212" s="234"/>
      <c r="J2212" s="411"/>
      <c r="K2212" s="411"/>
      <c r="L2212" s="414">
        <v>0.1</v>
      </c>
      <c r="M2212" s="414">
        <f>ROUND(+L2212*C2212,4)</f>
        <v>0</v>
      </c>
      <c r="N2212" s="414"/>
      <c r="O2212" s="414"/>
      <c r="P2212" s="414"/>
      <c r="Q2212" s="419">
        <f>ROUND(+N2212+O2212+P2212,4)</f>
        <v>0</v>
      </c>
      <c r="R2212" s="419">
        <f>ROUND(IF(+Q2212-H2212&lt;=0,0,Q2212-H2212),4)</f>
        <v>0</v>
      </c>
      <c r="S2212" s="423">
        <v>0.5</v>
      </c>
      <c r="T2212" s="419">
        <f>ROUND(+(R2212*C2212)*S2212,4)</f>
        <v>0</v>
      </c>
      <c r="U2212" s="419">
        <f>ROUND(+J2212+M2212+T2212,4)</f>
        <v>0</v>
      </c>
      <c r="V2212" s="235"/>
    </row>
    <row r="2213" spans="1:22" ht="15.75" x14ac:dyDescent="0.25">
      <c r="A2213" s="231"/>
      <c r="B2213" s="232"/>
      <c r="C2213" s="400"/>
      <c r="D2213" s="233"/>
      <c r="E2213" s="405"/>
      <c r="F2213" s="405"/>
      <c r="G2213" s="405"/>
      <c r="H2213" s="408">
        <f>ROUND(+E2213+F2213+G2213,4)</f>
        <v>0</v>
      </c>
      <c r="I2213" s="234"/>
      <c r="J2213" s="411"/>
      <c r="K2213" s="411"/>
      <c r="L2213" s="414">
        <v>0.1</v>
      </c>
      <c r="M2213" s="414">
        <f>ROUND(+L2213*C2213,4)</f>
        <v>0</v>
      </c>
      <c r="N2213" s="414"/>
      <c r="O2213" s="414"/>
      <c r="P2213" s="414"/>
      <c r="Q2213" s="419">
        <f>ROUND(+N2213+O2213+P2213,4)</f>
        <v>0</v>
      </c>
      <c r="R2213" s="419">
        <f>ROUND(IF(+Q2213-H2213&lt;=0,0,Q2213-H2213),4)</f>
        <v>0</v>
      </c>
      <c r="S2213" s="423">
        <v>0.5</v>
      </c>
      <c r="T2213" s="419">
        <f>ROUND(+(R2213*C2213)*S2213,4)</f>
        <v>0</v>
      </c>
      <c r="U2213" s="419">
        <f>ROUND(+J2213+M2213+T2213,4)</f>
        <v>0</v>
      </c>
      <c r="V2213" s="235"/>
    </row>
    <row r="2214" spans="1:22" ht="15.75" x14ac:dyDescent="0.25">
      <c r="A2214" s="231"/>
      <c r="B2214" s="232"/>
      <c r="C2214" s="400"/>
      <c r="D2214" s="233"/>
      <c r="E2214" s="405"/>
      <c r="F2214" s="405"/>
      <c r="G2214" s="405"/>
      <c r="H2214" s="408">
        <f>ROUND(+E2214+F2214+G2214,4)</f>
        <v>0</v>
      </c>
      <c r="I2214" s="234"/>
      <c r="J2214" s="411"/>
      <c r="K2214" s="411"/>
      <c r="L2214" s="414">
        <v>0.1</v>
      </c>
      <c r="M2214" s="414">
        <f>ROUND(+L2214*C2214,4)</f>
        <v>0</v>
      </c>
      <c r="N2214" s="414"/>
      <c r="O2214" s="414"/>
      <c r="P2214" s="414"/>
      <c r="Q2214" s="419">
        <f>ROUND(+N2214+O2214+P2214,4)</f>
        <v>0</v>
      </c>
      <c r="R2214" s="419">
        <f>ROUND(IF(+Q2214-H2214&lt;=0,0,Q2214-H2214),4)</f>
        <v>0</v>
      </c>
      <c r="S2214" s="423">
        <v>0.5</v>
      </c>
      <c r="T2214" s="419">
        <f>ROUND(+(R2214*C2214)*S2214,4)</f>
        <v>0</v>
      </c>
      <c r="U2214" s="419">
        <f>ROUND(+J2214+M2214+T2214,4)</f>
        <v>0</v>
      </c>
      <c r="V2214" s="235"/>
    </row>
    <row r="2215" spans="1:22" ht="15.75" x14ac:dyDescent="0.25">
      <c r="A2215" s="231"/>
      <c r="B2215" s="232"/>
      <c r="C2215" s="400"/>
      <c r="D2215" s="233"/>
      <c r="E2215" s="405"/>
      <c r="F2215" s="405"/>
      <c r="G2215" s="405"/>
      <c r="H2215" s="408">
        <f>ROUND(+E2215+F2215+G2215,4)</f>
        <v>0</v>
      </c>
      <c r="I2215" s="234"/>
      <c r="J2215" s="411"/>
      <c r="K2215" s="411"/>
      <c r="L2215" s="414">
        <v>0.1</v>
      </c>
      <c r="M2215" s="414">
        <f>ROUND(+L2215*C2215,4)</f>
        <v>0</v>
      </c>
      <c r="N2215" s="414"/>
      <c r="O2215" s="414"/>
      <c r="P2215" s="414"/>
      <c r="Q2215" s="419">
        <f>ROUND(+N2215+O2215+P2215,4)</f>
        <v>0</v>
      </c>
      <c r="R2215" s="419">
        <f>ROUND(IF(+Q2215-H2215&lt;=0,0,Q2215-H2215),4)</f>
        <v>0</v>
      </c>
      <c r="S2215" s="423">
        <v>0.5</v>
      </c>
      <c r="T2215" s="419">
        <f>ROUND(+(R2215*C2215)*S2215,4)</f>
        <v>0</v>
      </c>
      <c r="U2215" s="419">
        <f>ROUND(+J2215+M2215+T2215,4)</f>
        <v>0</v>
      </c>
      <c r="V2215" s="235"/>
    </row>
    <row r="2216" spans="1:22" ht="15.75" x14ac:dyDescent="0.25">
      <c r="A2216" s="231"/>
      <c r="B2216" s="232"/>
      <c r="C2216" s="400"/>
      <c r="D2216" s="233"/>
      <c r="E2216" s="405"/>
      <c r="F2216" s="405"/>
      <c r="G2216" s="405"/>
      <c r="H2216" s="408">
        <f>ROUND(+E2216+F2216+G2216,4)</f>
        <v>0</v>
      </c>
      <c r="I2216" s="234"/>
      <c r="J2216" s="411"/>
      <c r="K2216" s="411"/>
      <c r="L2216" s="414">
        <v>0.1</v>
      </c>
      <c r="M2216" s="414">
        <f>ROUND(+L2216*C2216,4)</f>
        <v>0</v>
      </c>
      <c r="N2216" s="414"/>
      <c r="O2216" s="414"/>
      <c r="P2216" s="414"/>
      <c r="Q2216" s="419">
        <f>ROUND(+N2216+O2216+P2216,4)</f>
        <v>0</v>
      </c>
      <c r="R2216" s="419">
        <f>ROUND(IF(+Q2216-H2216&lt;=0,0,Q2216-H2216),4)</f>
        <v>0</v>
      </c>
      <c r="S2216" s="423">
        <v>0.5</v>
      </c>
      <c r="T2216" s="419">
        <f>ROUND(+(R2216*C2216)*S2216,4)</f>
        <v>0</v>
      </c>
      <c r="U2216" s="419">
        <f>ROUND(+J2216+M2216+T2216,4)</f>
        <v>0</v>
      </c>
      <c r="V2216" s="235"/>
    </row>
    <row r="2217" spans="1:22" ht="15.75" x14ac:dyDescent="0.25">
      <c r="A2217" s="231"/>
      <c r="B2217" s="232"/>
      <c r="C2217" s="400"/>
      <c r="D2217" s="233"/>
      <c r="E2217" s="405"/>
      <c r="F2217" s="405"/>
      <c r="G2217" s="405"/>
      <c r="H2217" s="408">
        <f>ROUND(+E2217+F2217+G2217,4)</f>
        <v>0</v>
      </c>
      <c r="I2217" s="234"/>
      <c r="J2217" s="411"/>
      <c r="K2217" s="411"/>
      <c r="L2217" s="414">
        <v>0.1</v>
      </c>
      <c r="M2217" s="414">
        <f>ROUND(+L2217*C2217,4)</f>
        <v>0</v>
      </c>
      <c r="N2217" s="414"/>
      <c r="O2217" s="414"/>
      <c r="P2217" s="414"/>
      <c r="Q2217" s="419">
        <f>ROUND(+N2217+O2217+P2217,4)</f>
        <v>0</v>
      </c>
      <c r="R2217" s="419">
        <f>ROUND(IF(+Q2217-H2217&lt;=0,0,Q2217-H2217),4)</f>
        <v>0</v>
      </c>
      <c r="S2217" s="423">
        <v>0.5</v>
      </c>
      <c r="T2217" s="419">
        <f>ROUND(+(R2217*C2217)*S2217,4)</f>
        <v>0</v>
      </c>
      <c r="U2217" s="419">
        <f>ROUND(+J2217+M2217+T2217,4)</f>
        <v>0</v>
      </c>
      <c r="V2217" s="235"/>
    </row>
    <row r="2218" spans="1:22" ht="15.75" x14ac:dyDescent="0.25">
      <c r="A2218" s="231"/>
      <c r="B2218" s="232"/>
      <c r="C2218" s="400"/>
      <c r="D2218" s="233"/>
      <c r="E2218" s="405"/>
      <c r="F2218" s="405"/>
      <c r="G2218" s="405"/>
      <c r="H2218" s="408">
        <f>ROUND(+E2218+F2218+G2218,4)</f>
        <v>0</v>
      </c>
      <c r="I2218" s="234"/>
      <c r="J2218" s="411"/>
      <c r="K2218" s="411"/>
      <c r="L2218" s="414">
        <v>0.1</v>
      </c>
      <c r="M2218" s="414">
        <f>ROUND(+L2218*C2218,4)</f>
        <v>0</v>
      </c>
      <c r="N2218" s="414"/>
      <c r="O2218" s="414"/>
      <c r="P2218" s="414"/>
      <c r="Q2218" s="419">
        <f>ROUND(+N2218+O2218+P2218,4)</f>
        <v>0</v>
      </c>
      <c r="R2218" s="419">
        <f>ROUND(IF(+Q2218-H2218&lt;=0,0,Q2218-H2218),4)</f>
        <v>0</v>
      </c>
      <c r="S2218" s="423">
        <v>0.5</v>
      </c>
      <c r="T2218" s="419">
        <f>ROUND(+(R2218*C2218)*S2218,4)</f>
        <v>0</v>
      </c>
      <c r="U2218" s="419">
        <f>ROUND(+J2218+M2218+T2218,4)</f>
        <v>0</v>
      </c>
      <c r="V2218" s="235"/>
    </row>
    <row r="2219" spans="1:22" ht="15.75" x14ac:dyDescent="0.25">
      <c r="A2219" s="231"/>
      <c r="B2219" s="232"/>
      <c r="C2219" s="400"/>
      <c r="D2219" s="233"/>
      <c r="E2219" s="405"/>
      <c r="F2219" s="405"/>
      <c r="G2219" s="405"/>
      <c r="H2219" s="408">
        <f>ROUND(+E2219+F2219+G2219,4)</f>
        <v>0</v>
      </c>
      <c r="I2219" s="234"/>
      <c r="J2219" s="411"/>
      <c r="K2219" s="411"/>
      <c r="L2219" s="414">
        <v>0.1</v>
      </c>
      <c r="M2219" s="414">
        <f>ROUND(+L2219*C2219,4)</f>
        <v>0</v>
      </c>
      <c r="N2219" s="414"/>
      <c r="O2219" s="414"/>
      <c r="P2219" s="414"/>
      <c r="Q2219" s="419">
        <f>ROUND(+N2219+O2219+P2219,4)</f>
        <v>0</v>
      </c>
      <c r="R2219" s="419">
        <f>ROUND(IF(+Q2219-H2219&lt;=0,0,Q2219-H2219),4)</f>
        <v>0</v>
      </c>
      <c r="S2219" s="423">
        <v>0.5</v>
      </c>
      <c r="T2219" s="419">
        <f>ROUND(+(R2219*C2219)*S2219,4)</f>
        <v>0</v>
      </c>
      <c r="U2219" s="419">
        <f>ROUND(+J2219+M2219+T2219,4)</f>
        <v>0</v>
      </c>
      <c r="V2219" s="235"/>
    </row>
    <row r="2220" spans="1:22" ht="15.75" x14ac:dyDescent="0.25">
      <c r="A2220" s="231"/>
      <c r="B2220" s="232"/>
      <c r="C2220" s="400"/>
      <c r="D2220" s="233"/>
      <c r="E2220" s="405"/>
      <c r="F2220" s="405"/>
      <c r="G2220" s="405"/>
      <c r="H2220" s="408">
        <f>ROUND(+E2220+F2220+G2220,4)</f>
        <v>0</v>
      </c>
      <c r="I2220" s="234"/>
      <c r="J2220" s="411"/>
      <c r="K2220" s="411"/>
      <c r="L2220" s="414">
        <v>0.1</v>
      </c>
      <c r="M2220" s="414">
        <f>ROUND(+L2220*C2220,4)</f>
        <v>0</v>
      </c>
      <c r="N2220" s="414"/>
      <c r="O2220" s="414"/>
      <c r="P2220" s="414"/>
      <c r="Q2220" s="419">
        <f>ROUND(+N2220+O2220+P2220,4)</f>
        <v>0</v>
      </c>
      <c r="R2220" s="419">
        <f>ROUND(IF(+Q2220-H2220&lt;=0,0,Q2220-H2220),4)</f>
        <v>0</v>
      </c>
      <c r="S2220" s="423">
        <v>0.5</v>
      </c>
      <c r="T2220" s="419">
        <f>ROUND(+(R2220*C2220)*S2220,4)</f>
        <v>0</v>
      </c>
      <c r="U2220" s="419">
        <f>ROUND(+J2220+M2220+T2220,4)</f>
        <v>0</v>
      </c>
      <c r="V2220" s="235"/>
    </row>
    <row r="2221" spans="1:22" ht="15.75" x14ac:dyDescent="0.25">
      <c r="A2221" s="231"/>
      <c r="B2221" s="232"/>
      <c r="C2221" s="400"/>
      <c r="D2221" s="233"/>
      <c r="E2221" s="405"/>
      <c r="F2221" s="405"/>
      <c r="G2221" s="405"/>
      <c r="H2221" s="408">
        <f>ROUND(+E2221+F2221+G2221,4)</f>
        <v>0</v>
      </c>
      <c r="I2221" s="234"/>
      <c r="J2221" s="411"/>
      <c r="K2221" s="411"/>
      <c r="L2221" s="414">
        <v>0.1</v>
      </c>
      <c r="M2221" s="414">
        <f>ROUND(+L2221*C2221,4)</f>
        <v>0</v>
      </c>
      <c r="N2221" s="414"/>
      <c r="O2221" s="414"/>
      <c r="P2221" s="414"/>
      <c r="Q2221" s="419">
        <f>ROUND(+N2221+O2221+P2221,4)</f>
        <v>0</v>
      </c>
      <c r="R2221" s="419">
        <f>ROUND(IF(+Q2221-H2221&lt;=0,0,Q2221-H2221),4)</f>
        <v>0</v>
      </c>
      <c r="S2221" s="423">
        <v>0.5</v>
      </c>
      <c r="T2221" s="419">
        <f>ROUND(+(R2221*C2221)*S2221,4)</f>
        <v>0</v>
      </c>
      <c r="U2221" s="419">
        <f>ROUND(+J2221+M2221+T2221,4)</f>
        <v>0</v>
      </c>
      <c r="V2221" s="235"/>
    </row>
    <row r="2222" spans="1:22" ht="15.75" x14ac:dyDescent="0.25">
      <c r="A2222" s="231"/>
      <c r="B2222" s="232"/>
      <c r="C2222" s="400"/>
      <c r="D2222" s="233"/>
      <c r="E2222" s="405"/>
      <c r="F2222" s="405"/>
      <c r="G2222" s="405"/>
      <c r="H2222" s="408">
        <f>ROUND(+E2222+F2222+G2222,4)</f>
        <v>0</v>
      </c>
      <c r="I2222" s="234"/>
      <c r="J2222" s="411"/>
      <c r="K2222" s="411"/>
      <c r="L2222" s="414">
        <v>0.1</v>
      </c>
      <c r="M2222" s="414">
        <f>ROUND(+L2222*C2222,4)</f>
        <v>0</v>
      </c>
      <c r="N2222" s="414"/>
      <c r="O2222" s="414"/>
      <c r="P2222" s="414"/>
      <c r="Q2222" s="419">
        <f>ROUND(+N2222+O2222+P2222,4)</f>
        <v>0</v>
      </c>
      <c r="R2222" s="419">
        <f>ROUND(IF(+Q2222-H2222&lt;=0,0,Q2222-H2222),4)</f>
        <v>0</v>
      </c>
      <c r="S2222" s="423">
        <v>0.5</v>
      </c>
      <c r="T2222" s="419">
        <f>ROUND(+(R2222*C2222)*S2222,4)</f>
        <v>0</v>
      </c>
      <c r="U2222" s="419">
        <f>ROUND(+J2222+M2222+T2222,4)</f>
        <v>0</v>
      </c>
      <c r="V2222" s="235"/>
    </row>
    <row r="2223" spans="1:22" ht="15.75" x14ac:dyDescent="0.25">
      <c r="A2223" s="231"/>
      <c r="B2223" s="232"/>
      <c r="C2223" s="400"/>
      <c r="D2223" s="233"/>
      <c r="E2223" s="405"/>
      <c r="F2223" s="405"/>
      <c r="G2223" s="405"/>
      <c r="H2223" s="408">
        <f>ROUND(+E2223+F2223+G2223,4)</f>
        <v>0</v>
      </c>
      <c r="I2223" s="234"/>
      <c r="J2223" s="411"/>
      <c r="K2223" s="411"/>
      <c r="L2223" s="414">
        <v>0.1</v>
      </c>
      <c r="M2223" s="414">
        <f>ROUND(+L2223*C2223,4)</f>
        <v>0</v>
      </c>
      <c r="N2223" s="414"/>
      <c r="O2223" s="414"/>
      <c r="P2223" s="414"/>
      <c r="Q2223" s="419">
        <f>ROUND(+N2223+O2223+P2223,4)</f>
        <v>0</v>
      </c>
      <c r="R2223" s="419">
        <f>ROUND(IF(+Q2223-H2223&lt;=0,0,Q2223-H2223),4)</f>
        <v>0</v>
      </c>
      <c r="S2223" s="423">
        <v>0.5</v>
      </c>
      <c r="T2223" s="419">
        <f>ROUND(+(R2223*C2223)*S2223,4)</f>
        <v>0</v>
      </c>
      <c r="U2223" s="419">
        <f>ROUND(+J2223+M2223+T2223,4)</f>
        <v>0</v>
      </c>
      <c r="V2223" s="235"/>
    </row>
    <row r="2224" spans="1:22" ht="15.75" x14ac:dyDescent="0.25">
      <c r="A2224" s="231"/>
      <c r="B2224" s="232"/>
      <c r="C2224" s="400"/>
      <c r="D2224" s="233"/>
      <c r="E2224" s="405"/>
      <c r="F2224" s="405"/>
      <c r="G2224" s="405"/>
      <c r="H2224" s="408">
        <f>ROUND(+E2224+F2224+G2224,4)</f>
        <v>0</v>
      </c>
      <c r="I2224" s="234"/>
      <c r="J2224" s="411"/>
      <c r="K2224" s="411"/>
      <c r="L2224" s="414">
        <v>0.1</v>
      </c>
      <c r="M2224" s="414">
        <f>ROUND(+L2224*C2224,4)</f>
        <v>0</v>
      </c>
      <c r="N2224" s="414"/>
      <c r="O2224" s="414"/>
      <c r="P2224" s="414"/>
      <c r="Q2224" s="419">
        <f>ROUND(+N2224+O2224+P2224,4)</f>
        <v>0</v>
      </c>
      <c r="R2224" s="419">
        <f>ROUND(IF(+Q2224-H2224&lt;=0,0,Q2224-H2224),4)</f>
        <v>0</v>
      </c>
      <c r="S2224" s="423">
        <v>0.5</v>
      </c>
      <c r="T2224" s="419">
        <f>ROUND(+(R2224*C2224)*S2224,4)</f>
        <v>0</v>
      </c>
      <c r="U2224" s="419">
        <f>ROUND(+J2224+M2224+T2224,4)</f>
        <v>0</v>
      </c>
      <c r="V2224" s="235"/>
    </row>
    <row r="2225" spans="1:22" ht="15.75" x14ac:dyDescent="0.25">
      <c r="A2225" s="231"/>
      <c r="B2225" s="232"/>
      <c r="C2225" s="400"/>
      <c r="D2225" s="233"/>
      <c r="E2225" s="405"/>
      <c r="F2225" s="405"/>
      <c r="G2225" s="405"/>
      <c r="H2225" s="408">
        <f>ROUND(+E2225+F2225+G2225,4)</f>
        <v>0</v>
      </c>
      <c r="I2225" s="234"/>
      <c r="J2225" s="411"/>
      <c r="K2225" s="411"/>
      <c r="L2225" s="414">
        <v>0.1</v>
      </c>
      <c r="M2225" s="414">
        <f>ROUND(+L2225*C2225,4)</f>
        <v>0</v>
      </c>
      <c r="N2225" s="414"/>
      <c r="O2225" s="414"/>
      <c r="P2225" s="414"/>
      <c r="Q2225" s="419">
        <f>ROUND(+N2225+O2225+P2225,4)</f>
        <v>0</v>
      </c>
      <c r="R2225" s="419">
        <f>ROUND(IF(+Q2225-H2225&lt;=0,0,Q2225-H2225),4)</f>
        <v>0</v>
      </c>
      <c r="S2225" s="423">
        <v>0.5</v>
      </c>
      <c r="T2225" s="419">
        <f>ROUND(+(R2225*C2225)*S2225,4)</f>
        <v>0</v>
      </c>
      <c r="U2225" s="419">
        <f>ROUND(+J2225+M2225+T2225,4)</f>
        <v>0</v>
      </c>
      <c r="V2225" s="235"/>
    </row>
    <row r="2226" spans="1:22" ht="15.75" x14ac:dyDescent="0.25">
      <c r="A2226" s="231"/>
      <c r="B2226" s="232"/>
      <c r="C2226" s="400"/>
      <c r="D2226" s="233"/>
      <c r="E2226" s="405"/>
      <c r="F2226" s="405"/>
      <c r="G2226" s="405"/>
      <c r="H2226" s="408">
        <f>ROUND(+E2226+F2226+G2226,4)</f>
        <v>0</v>
      </c>
      <c r="I2226" s="234"/>
      <c r="J2226" s="411"/>
      <c r="K2226" s="411"/>
      <c r="L2226" s="414">
        <v>0.1</v>
      </c>
      <c r="M2226" s="414">
        <f>ROUND(+L2226*C2226,4)</f>
        <v>0</v>
      </c>
      <c r="N2226" s="414"/>
      <c r="O2226" s="414"/>
      <c r="P2226" s="414"/>
      <c r="Q2226" s="419">
        <f>ROUND(+N2226+O2226+P2226,4)</f>
        <v>0</v>
      </c>
      <c r="R2226" s="419">
        <f>ROUND(IF(+Q2226-H2226&lt;=0,0,Q2226-H2226),4)</f>
        <v>0</v>
      </c>
      <c r="S2226" s="423">
        <v>0.5</v>
      </c>
      <c r="T2226" s="419">
        <f>ROUND(+(R2226*C2226)*S2226,4)</f>
        <v>0</v>
      </c>
      <c r="U2226" s="419">
        <f>ROUND(+J2226+M2226+T2226,4)</f>
        <v>0</v>
      </c>
      <c r="V2226" s="235"/>
    </row>
    <row r="2227" spans="1:22" ht="15.75" x14ac:dyDescent="0.25">
      <c r="A2227" s="231"/>
      <c r="B2227" s="232"/>
      <c r="C2227" s="400"/>
      <c r="D2227" s="233"/>
      <c r="E2227" s="405"/>
      <c r="F2227" s="405"/>
      <c r="G2227" s="405"/>
      <c r="H2227" s="408">
        <f>ROUND(+E2227+F2227+G2227,4)</f>
        <v>0</v>
      </c>
      <c r="I2227" s="234"/>
      <c r="J2227" s="411"/>
      <c r="K2227" s="411"/>
      <c r="L2227" s="414">
        <v>0.1</v>
      </c>
      <c r="M2227" s="414">
        <f>ROUND(+L2227*C2227,4)</f>
        <v>0</v>
      </c>
      <c r="N2227" s="414"/>
      <c r="O2227" s="414"/>
      <c r="P2227" s="414"/>
      <c r="Q2227" s="419">
        <f>ROUND(+N2227+O2227+P2227,4)</f>
        <v>0</v>
      </c>
      <c r="R2227" s="419">
        <f>ROUND(IF(+Q2227-H2227&lt;=0,0,Q2227-H2227),4)</f>
        <v>0</v>
      </c>
      <c r="S2227" s="423">
        <v>0.5</v>
      </c>
      <c r="T2227" s="419">
        <f>ROUND(+(R2227*C2227)*S2227,4)</f>
        <v>0</v>
      </c>
      <c r="U2227" s="419">
        <f>ROUND(+J2227+M2227+T2227,4)</f>
        <v>0</v>
      </c>
      <c r="V2227" s="235"/>
    </row>
    <row r="2228" spans="1:22" ht="15.75" x14ac:dyDescent="0.25">
      <c r="A2228" s="231"/>
      <c r="B2228" s="232"/>
      <c r="C2228" s="400"/>
      <c r="D2228" s="233"/>
      <c r="E2228" s="405"/>
      <c r="F2228" s="405"/>
      <c r="G2228" s="405"/>
      <c r="H2228" s="408">
        <f>ROUND(+E2228+F2228+G2228,4)</f>
        <v>0</v>
      </c>
      <c r="I2228" s="234"/>
      <c r="J2228" s="411"/>
      <c r="K2228" s="411"/>
      <c r="L2228" s="414">
        <v>0.1</v>
      </c>
      <c r="M2228" s="414">
        <f>ROUND(+L2228*C2228,4)</f>
        <v>0</v>
      </c>
      <c r="N2228" s="414"/>
      <c r="O2228" s="414"/>
      <c r="P2228" s="414"/>
      <c r="Q2228" s="419">
        <f>ROUND(+N2228+O2228+P2228,4)</f>
        <v>0</v>
      </c>
      <c r="R2228" s="419">
        <f>ROUND(IF(+Q2228-H2228&lt;=0,0,Q2228-H2228),4)</f>
        <v>0</v>
      </c>
      <c r="S2228" s="423">
        <v>0.5</v>
      </c>
      <c r="T2228" s="419">
        <f>ROUND(+(R2228*C2228)*S2228,4)</f>
        <v>0</v>
      </c>
      <c r="U2228" s="419">
        <f>ROUND(+J2228+M2228+T2228,4)</f>
        <v>0</v>
      </c>
      <c r="V2228" s="235"/>
    </row>
    <row r="2229" spans="1:22" ht="15.75" x14ac:dyDescent="0.25">
      <c r="A2229" s="231"/>
      <c r="B2229" s="232"/>
      <c r="C2229" s="400"/>
      <c r="D2229" s="233"/>
      <c r="E2229" s="405"/>
      <c r="F2229" s="405"/>
      <c r="G2229" s="405"/>
      <c r="H2229" s="408">
        <f>ROUND(+E2229+F2229+G2229,4)</f>
        <v>0</v>
      </c>
      <c r="I2229" s="234"/>
      <c r="J2229" s="411"/>
      <c r="K2229" s="411"/>
      <c r="L2229" s="414">
        <v>0.1</v>
      </c>
      <c r="M2229" s="414">
        <f>ROUND(+L2229*C2229,4)</f>
        <v>0</v>
      </c>
      <c r="N2229" s="414"/>
      <c r="O2229" s="414"/>
      <c r="P2229" s="414"/>
      <c r="Q2229" s="419">
        <f>ROUND(+N2229+O2229+P2229,4)</f>
        <v>0</v>
      </c>
      <c r="R2229" s="419">
        <f>ROUND(IF(+Q2229-H2229&lt;=0,0,Q2229-H2229),4)</f>
        <v>0</v>
      </c>
      <c r="S2229" s="423">
        <v>0.5</v>
      </c>
      <c r="T2229" s="419">
        <f>ROUND(+(R2229*C2229)*S2229,4)</f>
        <v>0</v>
      </c>
      <c r="U2229" s="419">
        <f>ROUND(+J2229+M2229+T2229,4)</f>
        <v>0</v>
      </c>
      <c r="V2229" s="235"/>
    </row>
    <row r="2230" spans="1:22" ht="15.75" x14ac:dyDescent="0.25">
      <c r="A2230" s="231"/>
      <c r="B2230" s="232"/>
      <c r="C2230" s="400"/>
      <c r="D2230" s="233"/>
      <c r="E2230" s="405"/>
      <c r="F2230" s="405"/>
      <c r="G2230" s="405"/>
      <c r="H2230" s="408">
        <f>ROUND(+E2230+F2230+G2230,4)</f>
        <v>0</v>
      </c>
      <c r="I2230" s="234"/>
      <c r="J2230" s="411"/>
      <c r="K2230" s="411"/>
      <c r="L2230" s="414">
        <v>0.1</v>
      </c>
      <c r="M2230" s="414">
        <f>ROUND(+L2230*C2230,4)</f>
        <v>0</v>
      </c>
      <c r="N2230" s="414"/>
      <c r="O2230" s="414"/>
      <c r="P2230" s="414"/>
      <c r="Q2230" s="419">
        <f>ROUND(+N2230+O2230+P2230,4)</f>
        <v>0</v>
      </c>
      <c r="R2230" s="419">
        <f>ROUND(IF(+Q2230-H2230&lt;=0,0,Q2230-H2230),4)</f>
        <v>0</v>
      </c>
      <c r="S2230" s="423">
        <v>0.5</v>
      </c>
      <c r="T2230" s="419">
        <f>ROUND(+(R2230*C2230)*S2230,4)</f>
        <v>0</v>
      </c>
      <c r="U2230" s="419">
        <f>ROUND(+J2230+M2230+T2230,4)</f>
        <v>0</v>
      </c>
      <c r="V2230" s="235"/>
    </row>
    <row r="2231" spans="1:22" ht="15.75" x14ac:dyDescent="0.25">
      <c r="A2231" s="231"/>
      <c r="B2231" s="232"/>
      <c r="C2231" s="400"/>
      <c r="D2231" s="233"/>
      <c r="E2231" s="405"/>
      <c r="F2231" s="405"/>
      <c r="G2231" s="405"/>
      <c r="H2231" s="408">
        <f>ROUND(+E2231+F2231+G2231,4)</f>
        <v>0</v>
      </c>
      <c r="I2231" s="234"/>
      <c r="J2231" s="411"/>
      <c r="K2231" s="411"/>
      <c r="L2231" s="414">
        <v>0.1</v>
      </c>
      <c r="M2231" s="414">
        <f>ROUND(+L2231*C2231,4)</f>
        <v>0</v>
      </c>
      <c r="N2231" s="414"/>
      <c r="O2231" s="414"/>
      <c r="P2231" s="414"/>
      <c r="Q2231" s="419">
        <f>ROUND(+N2231+O2231+P2231,4)</f>
        <v>0</v>
      </c>
      <c r="R2231" s="419">
        <f>ROUND(IF(+Q2231-H2231&lt;=0,0,Q2231-H2231),4)</f>
        <v>0</v>
      </c>
      <c r="S2231" s="423">
        <v>0.5</v>
      </c>
      <c r="T2231" s="419">
        <f>ROUND(+(R2231*C2231)*S2231,4)</f>
        <v>0</v>
      </c>
      <c r="U2231" s="419">
        <f>ROUND(+J2231+M2231+T2231,4)</f>
        <v>0</v>
      </c>
      <c r="V2231" s="235"/>
    </row>
    <row r="2232" spans="1:22" ht="15.75" x14ac:dyDescent="0.25">
      <c r="A2232" s="231"/>
      <c r="B2232" s="232"/>
      <c r="C2232" s="400"/>
      <c r="D2232" s="233"/>
      <c r="E2232" s="405"/>
      <c r="F2232" s="405"/>
      <c r="G2232" s="405"/>
      <c r="H2232" s="408">
        <f>ROUND(+E2232+F2232+G2232,4)</f>
        <v>0</v>
      </c>
      <c r="I2232" s="234"/>
      <c r="J2232" s="411"/>
      <c r="K2232" s="411"/>
      <c r="L2232" s="414">
        <v>0.1</v>
      </c>
      <c r="M2232" s="414">
        <f>ROUND(+L2232*C2232,4)</f>
        <v>0</v>
      </c>
      <c r="N2232" s="414"/>
      <c r="O2232" s="414"/>
      <c r="P2232" s="414"/>
      <c r="Q2232" s="419">
        <f>ROUND(+N2232+O2232+P2232,4)</f>
        <v>0</v>
      </c>
      <c r="R2232" s="419">
        <f>ROUND(IF(+Q2232-H2232&lt;=0,0,Q2232-H2232),4)</f>
        <v>0</v>
      </c>
      <c r="S2232" s="423">
        <v>0.5</v>
      </c>
      <c r="T2232" s="419">
        <f>ROUND(+(R2232*C2232)*S2232,4)</f>
        <v>0</v>
      </c>
      <c r="U2232" s="419">
        <f>ROUND(+J2232+M2232+T2232,4)</f>
        <v>0</v>
      </c>
      <c r="V2232" s="235"/>
    </row>
    <row r="2233" spans="1:22" ht="15.75" x14ac:dyDescent="0.25">
      <c r="A2233" s="231"/>
      <c r="B2233" s="232"/>
      <c r="C2233" s="400"/>
      <c r="D2233" s="233"/>
      <c r="E2233" s="405"/>
      <c r="F2233" s="405"/>
      <c r="G2233" s="405"/>
      <c r="H2233" s="408">
        <f>ROUND(+E2233+F2233+G2233,4)</f>
        <v>0</v>
      </c>
      <c r="I2233" s="234"/>
      <c r="J2233" s="411"/>
      <c r="K2233" s="411"/>
      <c r="L2233" s="414">
        <v>0.1</v>
      </c>
      <c r="M2233" s="414">
        <f>ROUND(+L2233*C2233,4)</f>
        <v>0</v>
      </c>
      <c r="N2233" s="414"/>
      <c r="O2233" s="414"/>
      <c r="P2233" s="414"/>
      <c r="Q2233" s="419">
        <f>ROUND(+N2233+O2233+P2233,4)</f>
        <v>0</v>
      </c>
      <c r="R2233" s="419">
        <f>ROUND(IF(+Q2233-H2233&lt;=0,0,Q2233-H2233),4)</f>
        <v>0</v>
      </c>
      <c r="S2233" s="423">
        <v>0.5</v>
      </c>
      <c r="T2233" s="419">
        <f>ROUND(+(R2233*C2233)*S2233,4)</f>
        <v>0</v>
      </c>
      <c r="U2233" s="419">
        <f>ROUND(+J2233+M2233+T2233,4)</f>
        <v>0</v>
      </c>
      <c r="V2233" s="235"/>
    </row>
    <row r="2234" spans="1:22" ht="15.75" x14ac:dyDescent="0.25">
      <c r="A2234" s="231"/>
      <c r="B2234" s="232"/>
      <c r="C2234" s="400"/>
      <c r="D2234" s="233"/>
      <c r="E2234" s="405"/>
      <c r="F2234" s="405"/>
      <c r="G2234" s="405"/>
      <c r="H2234" s="408">
        <f>ROUND(+E2234+F2234+G2234,4)</f>
        <v>0</v>
      </c>
      <c r="I2234" s="234"/>
      <c r="J2234" s="411"/>
      <c r="K2234" s="411"/>
      <c r="L2234" s="414">
        <v>0.1</v>
      </c>
      <c r="M2234" s="414">
        <f>ROUND(+L2234*C2234,4)</f>
        <v>0</v>
      </c>
      <c r="N2234" s="414"/>
      <c r="O2234" s="414"/>
      <c r="P2234" s="414"/>
      <c r="Q2234" s="419">
        <f>ROUND(+N2234+O2234+P2234,4)</f>
        <v>0</v>
      </c>
      <c r="R2234" s="419">
        <f>ROUND(IF(+Q2234-H2234&lt;=0,0,Q2234-H2234),4)</f>
        <v>0</v>
      </c>
      <c r="S2234" s="423">
        <v>0.5</v>
      </c>
      <c r="T2234" s="419">
        <f>ROUND(+(R2234*C2234)*S2234,4)</f>
        <v>0</v>
      </c>
      <c r="U2234" s="419">
        <f>ROUND(+J2234+M2234+T2234,4)</f>
        <v>0</v>
      </c>
      <c r="V2234" s="235"/>
    </row>
    <row r="2235" spans="1:22" ht="15.75" x14ac:dyDescent="0.25">
      <c r="A2235" s="231"/>
      <c r="B2235" s="232"/>
      <c r="C2235" s="400"/>
      <c r="D2235" s="233"/>
      <c r="E2235" s="405"/>
      <c r="F2235" s="405"/>
      <c r="G2235" s="405"/>
      <c r="H2235" s="408">
        <f>ROUND(+E2235+F2235+G2235,4)</f>
        <v>0</v>
      </c>
      <c r="I2235" s="234"/>
      <c r="J2235" s="411"/>
      <c r="K2235" s="411"/>
      <c r="L2235" s="414">
        <v>0.1</v>
      </c>
      <c r="M2235" s="414">
        <f>ROUND(+L2235*C2235,4)</f>
        <v>0</v>
      </c>
      <c r="N2235" s="414"/>
      <c r="O2235" s="414"/>
      <c r="P2235" s="414"/>
      <c r="Q2235" s="419">
        <f>ROUND(+N2235+O2235+P2235,4)</f>
        <v>0</v>
      </c>
      <c r="R2235" s="419">
        <f>ROUND(IF(+Q2235-H2235&lt;=0,0,Q2235-H2235),4)</f>
        <v>0</v>
      </c>
      <c r="S2235" s="423">
        <v>0.5</v>
      </c>
      <c r="T2235" s="419">
        <f>ROUND(+(R2235*C2235)*S2235,4)</f>
        <v>0</v>
      </c>
      <c r="U2235" s="419">
        <f>ROUND(+J2235+M2235+T2235,4)</f>
        <v>0</v>
      </c>
      <c r="V2235" s="235"/>
    </row>
    <row r="2236" spans="1:22" ht="15.75" x14ac:dyDescent="0.25">
      <c r="A2236" s="231"/>
      <c r="B2236" s="232"/>
      <c r="C2236" s="400"/>
      <c r="D2236" s="233"/>
      <c r="E2236" s="405"/>
      <c r="F2236" s="405"/>
      <c r="G2236" s="405"/>
      <c r="H2236" s="408">
        <f>ROUND(+E2236+F2236+G2236,4)</f>
        <v>0</v>
      </c>
      <c r="I2236" s="234"/>
      <c r="J2236" s="411"/>
      <c r="K2236" s="411"/>
      <c r="L2236" s="414">
        <v>0.1</v>
      </c>
      <c r="M2236" s="414">
        <f>ROUND(+L2236*C2236,4)</f>
        <v>0</v>
      </c>
      <c r="N2236" s="414"/>
      <c r="O2236" s="414"/>
      <c r="P2236" s="414"/>
      <c r="Q2236" s="419">
        <f>ROUND(+N2236+O2236+P2236,4)</f>
        <v>0</v>
      </c>
      <c r="R2236" s="419">
        <f>ROUND(IF(+Q2236-H2236&lt;=0,0,Q2236-H2236),4)</f>
        <v>0</v>
      </c>
      <c r="S2236" s="423">
        <v>0.5</v>
      </c>
      <c r="T2236" s="419">
        <f>ROUND(+(R2236*C2236)*S2236,4)</f>
        <v>0</v>
      </c>
      <c r="U2236" s="419">
        <f>ROUND(+J2236+M2236+T2236,4)</f>
        <v>0</v>
      </c>
      <c r="V2236" s="235"/>
    </row>
    <row r="2237" spans="1:22" ht="15.75" x14ac:dyDescent="0.25">
      <c r="A2237" s="231"/>
      <c r="B2237" s="232"/>
      <c r="C2237" s="400"/>
      <c r="D2237" s="233"/>
      <c r="E2237" s="405"/>
      <c r="F2237" s="405"/>
      <c r="G2237" s="405"/>
      <c r="H2237" s="408">
        <f>ROUND(+E2237+F2237+G2237,4)</f>
        <v>0</v>
      </c>
      <c r="I2237" s="234"/>
      <c r="J2237" s="411"/>
      <c r="K2237" s="411"/>
      <c r="L2237" s="414">
        <v>0.1</v>
      </c>
      <c r="M2237" s="414">
        <f>ROUND(+L2237*C2237,4)</f>
        <v>0</v>
      </c>
      <c r="N2237" s="414"/>
      <c r="O2237" s="414"/>
      <c r="P2237" s="414"/>
      <c r="Q2237" s="419">
        <f>ROUND(+N2237+O2237+P2237,4)</f>
        <v>0</v>
      </c>
      <c r="R2237" s="419">
        <f>ROUND(IF(+Q2237-H2237&lt;=0,0,Q2237-H2237),4)</f>
        <v>0</v>
      </c>
      <c r="S2237" s="423">
        <v>0.5</v>
      </c>
      <c r="T2237" s="419">
        <f>ROUND(+(R2237*C2237)*S2237,4)</f>
        <v>0</v>
      </c>
      <c r="U2237" s="419">
        <f>ROUND(+J2237+M2237+T2237,4)</f>
        <v>0</v>
      </c>
      <c r="V2237" s="235"/>
    </row>
    <row r="2238" spans="1:22" ht="15.75" x14ac:dyDescent="0.25">
      <c r="A2238" s="231"/>
      <c r="B2238" s="232"/>
      <c r="C2238" s="400"/>
      <c r="D2238" s="233"/>
      <c r="E2238" s="405"/>
      <c r="F2238" s="405"/>
      <c r="G2238" s="405"/>
      <c r="H2238" s="408">
        <f>ROUND(+E2238+F2238+G2238,4)</f>
        <v>0</v>
      </c>
      <c r="I2238" s="234"/>
      <c r="J2238" s="411"/>
      <c r="K2238" s="411"/>
      <c r="L2238" s="414">
        <v>0.1</v>
      </c>
      <c r="M2238" s="414">
        <f>ROUND(+L2238*C2238,4)</f>
        <v>0</v>
      </c>
      <c r="N2238" s="414"/>
      <c r="O2238" s="414"/>
      <c r="P2238" s="414"/>
      <c r="Q2238" s="419">
        <f>ROUND(+N2238+O2238+P2238,4)</f>
        <v>0</v>
      </c>
      <c r="R2238" s="419">
        <f>ROUND(IF(+Q2238-H2238&lt;=0,0,Q2238-H2238),4)</f>
        <v>0</v>
      </c>
      <c r="S2238" s="423">
        <v>0.5</v>
      </c>
      <c r="T2238" s="419">
        <f>ROUND(+(R2238*C2238)*S2238,4)</f>
        <v>0</v>
      </c>
      <c r="U2238" s="419">
        <f>ROUND(+J2238+M2238+T2238,4)</f>
        <v>0</v>
      </c>
      <c r="V2238" s="235"/>
    </row>
    <row r="2239" spans="1:22" ht="15.75" x14ac:dyDescent="0.25">
      <c r="A2239" s="231"/>
      <c r="B2239" s="232"/>
      <c r="C2239" s="400"/>
      <c r="D2239" s="233"/>
      <c r="E2239" s="405"/>
      <c r="F2239" s="405"/>
      <c r="G2239" s="405"/>
      <c r="H2239" s="408">
        <f>ROUND(+E2239+F2239+G2239,4)</f>
        <v>0</v>
      </c>
      <c r="I2239" s="234"/>
      <c r="J2239" s="411"/>
      <c r="K2239" s="411"/>
      <c r="L2239" s="414">
        <v>0.1</v>
      </c>
      <c r="M2239" s="414">
        <f>ROUND(+L2239*C2239,4)</f>
        <v>0</v>
      </c>
      <c r="N2239" s="414"/>
      <c r="O2239" s="414"/>
      <c r="P2239" s="414"/>
      <c r="Q2239" s="419">
        <f>ROUND(+N2239+O2239+P2239,4)</f>
        <v>0</v>
      </c>
      <c r="R2239" s="419">
        <f>ROUND(IF(+Q2239-H2239&lt;=0,0,Q2239-H2239),4)</f>
        <v>0</v>
      </c>
      <c r="S2239" s="423">
        <v>0.5</v>
      </c>
      <c r="T2239" s="419">
        <f>ROUND(+(R2239*C2239)*S2239,4)</f>
        <v>0</v>
      </c>
      <c r="U2239" s="419">
        <f>ROUND(+J2239+M2239+T2239,4)</f>
        <v>0</v>
      </c>
      <c r="V2239" s="235"/>
    </row>
    <row r="2240" spans="1:22" ht="15.75" x14ac:dyDescent="0.25">
      <c r="A2240" s="231"/>
      <c r="B2240" s="232"/>
      <c r="C2240" s="400"/>
      <c r="D2240" s="233"/>
      <c r="E2240" s="405"/>
      <c r="F2240" s="405"/>
      <c r="G2240" s="405"/>
      <c r="H2240" s="408">
        <f>ROUND(+E2240+F2240+G2240,4)</f>
        <v>0</v>
      </c>
      <c r="I2240" s="234"/>
      <c r="J2240" s="411"/>
      <c r="K2240" s="411"/>
      <c r="L2240" s="414">
        <v>0.1</v>
      </c>
      <c r="M2240" s="414">
        <f>ROUND(+L2240*C2240,4)</f>
        <v>0</v>
      </c>
      <c r="N2240" s="414"/>
      <c r="O2240" s="414"/>
      <c r="P2240" s="414"/>
      <c r="Q2240" s="419">
        <f>ROUND(+N2240+O2240+P2240,4)</f>
        <v>0</v>
      </c>
      <c r="R2240" s="419">
        <f>ROUND(IF(+Q2240-H2240&lt;=0,0,Q2240-H2240),4)</f>
        <v>0</v>
      </c>
      <c r="S2240" s="423">
        <v>0.5</v>
      </c>
      <c r="T2240" s="419">
        <f>ROUND(+(R2240*C2240)*S2240,4)</f>
        <v>0</v>
      </c>
      <c r="U2240" s="419">
        <f>ROUND(+J2240+M2240+T2240,4)</f>
        <v>0</v>
      </c>
      <c r="V2240" s="235"/>
    </row>
    <row r="2241" spans="1:22" ht="15.75" x14ac:dyDescent="0.25">
      <c r="A2241" s="231"/>
      <c r="B2241" s="232"/>
      <c r="C2241" s="400"/>
      <c r="D2241" s="233"/>
      <c r="E2241" s="405"/>
      <c r="F2241" s="405"/>
      <c r="G2241" s="405"/>
      <c r="H2241" s="408">
        <f>ROUND(+E2241+F2241+G2241,4)</f>
        <v>0</v>
      </c>
      <c r="I2241" s="234"/>
      <c r="J2241" s="411"/>
      <c r="K2241" s="411"/>
      <c r="L2241" s="414">
        <v>0.1</v>
      </c>
      <c r="M2241" s="414">
        <f>ROUND(+L2241*C2241,4)</f>
        <v>0</v>
      </c>
      <c r="N2241" s="414"/>
      <c r="O2241" s="414"/>
      <c r="P2241" s="414"/>
      <c r="Q2241" s="419">
        <f>ROUND(+N2241+O2241+P2241,4)</f>
        <v>0</v>
      </c>
      <c r="R2241" s="419">
        <f>ROUND(IF(+Q2241-H2241&lt;=0,0,Q2241-H2241),4)</f>
        <v>0</v>
      </c>
      <c r="S2241" s="423">
        <v>0.5</v>
      </c>
      <c r="T2241" s="419">
        <f>ROUND(+(R2241*C2241)*S2241,4)</f>
        <v>0</v>
      </c>
      <c r="U2241" s="419">
        <f>ROUND(+J2241+M2241+T2241,4)</f>
        <v>0</v>
      </c>
      <c r="V2241" s="235"/>
    </row>
    <row r="2242" spans="1:22" ht="15.75" x14ac:dyDescent="0.25">
      <c r="A2242" s="231"/>
      <c r="B2242" s="232"/>
      <c r="C2242" s="400"/>
      <c r="D2242" s="233"/>
      <c r="E2242" s="405"/>
      <c r="F2242" s="405"/>
      <c r="G2242" s="405"/>
      <c r="H2242" s="408">
        <f>ROUND(+E2242+F2242+G2242,4)</f>
        <v>0</v>
      </c>
      <c r="I2242" s="234"/>
      <c r="J2242" s="411"/>
      <c r="K2242" s="411"/>
      <c r="L2242" s="414">
        <v>0.1</v>
      </c>
      <c r="M2242" s="414">
        <f>ROUND(+L2242*C2242,4)</f>
        <v>0</v>
      </c>
      <c r="N2242" s="414"/>
      <c r="O2242" s="414"/>
      <c r="P2242" s="414"/>
      <c r="Q2242" s="419">
        <f>ROUND(+N2242+O2242+P2242,4)</f>
        <v>0</v>
      </c>
      <c r="R2242" s="419">
        <f>ROUND(IF(+Q2242-H2242&lt;=0,0,Q2242-H2242),4)</f>
        <v>0</v>
      </c>
      <c r="S2242" s="423">
        <v>0.5</v>
      </c>
      <c r="T2242" s="419">
        <f>ROUND(+(R2242*C2242)*S2242,4)</f>
        <v>0</v>
      </c>
      <c r="U2242" s="419">
        <f>ROUND(+J2242+M2242+T2242,4)</f>
        <v>0</v>
      </c>
      <c r="V2242" s="235"/>
    </row>
    <row r="2243" spans="1:22" ht="15.75" x14ac:dyDescent="0.25">
      <c r="A2243" s="231"/>
      <c r="B2243" s="232"/>
      <c r="C2243" s="400"/>
      <c r="D2243" s="233"/>
      <c r="E2243" s="405"/>
      <c r="F2243" s="405"/>
      <c r="G2243" s="405"/>
      <c r="H2243" s="408">
        <f>ROUND(+E2243+F2243+G2243,4)</f>
        <v>0</v>
      </c>
      <c r="I2243" s="234"/>
      <c r="J2243" s="411"/>
      <c r="K2243" s="411"/>
      <c r="L2243" s="414">
        <v>0.1</v>
      </c>
      <c r="M2243" s="414">
        <f>ROUND(+L2243*C2243,4)</f>
        <v>0</v>
      </c>
      <c r="N2243" s="414"/>
      <c r="O2243" s="414"/>
      <c r="P2243" s="414"/>
      <c r="Q2243" s="419">
        <f>ROUND(+N2243+O2243+P2243,4)</f>
        <v>0</v>
      </c>
      <c r="R2243" s="419">
        <f>ROUND(IF(+Q2243-H2243&lt;=0,0,Q2243-H2243),4)</f>
        <v>0</v>
      </c>
      <c r="S2243" s="423">
        <v>0.5</v>
      </c>
      <c r="T2243" s="419">
        <f>ROUND(+(R2243*C2243)*S2243,4)</f>
        <v>0</v>
      </c>
      <c r="U2243" s="419">
        <f>ROUND(+J2243+M2243+T2243,4)</f>
        <v>0</v>
      </c>
      <c r="V2243" s="235"/>
    </row>
    <row r="2244" spans="1:22" ht="15.75" x14ac:dyDescent="0.25">
      <c r="A2244" s="231"/>
      <c r="B2244" s="232"/>
      <c r="C2244" s="400"/>
      <c r="D2244" s="233"/>
      <c r="E2244" s="405"/>
      <c r="F2244" s="405"/>
      <c r="G2244" s="405"/>
      <c r="H2244" s="408">
        <f>ROUND(+E2244+F2244+G2244,4)</f>
        <v>0</v>
      </c>
      <c r="I2244" s="234"/>
      <c r="J2244" s="411"/>
      <c r="K2244" s="411"/>
      <c r="L2244" s="414">
        <v>0.1</v>
      </c>
      <c r="M2244" s="414">
        <f>ROUND(+L2244*C2244,4)</f>
        <v>0</v>
      </c>
      <c r="N2244" s="414"/>
      <c r="O2244" s="414"/>
      <c r="P2244" s="414"/>
      <c r="Q2244" s="419">
        <f>ROUND(+N2244+O2244+P2244,4)</f>
        <v>0</v>
      </c>
      <c r="R2244" s="419">
        <f>ROUND(IF(+Q2244-H2244&lt;=0,0,Q2244-H2244),4)</f>
        <v>0</v>
      </c>
      <c r="S2244" s="423">
        <v>0.5</v>
      </c>
      <c r="T2244" s="419">
        <f>ROUND(+(R2244*C2244)*S2244,4)</f>
        <v>0</v>
      </c>
      <c r="U2244" s="419">
        <f>ROUND(+J2244+M2244+T2244,4)</f>
        <v>0</v>
      </c>
      <c r="V2244" s="235"/>
    </row>
    <row r="2245" spans="1:22" ht="15.75" x14ac:dyDescent="0.25">
      <c r="A2245" s="231"/>
      <c r="B2245" s="232"/>
      <c r="C2245" s="400"/>
      <c r="D2245" s="233"/>
      <c r="E2245" s="405"/>
      <c r="F2245" s="405"/>
      <c r="G2245" s="405"/>
      <c r="H2245" s="408">
        <f>ROUND(+E2245+F2245+G2245,4)</f>
        <v>0</v>
      </c>
      <c r="I2245" s="234"/>
      <c r="J2245" s="411"/>
      <c r="K2245" s="411"/>
      <c r="L2245" s="414">
        <v>0.1</v>
      </c>
      <c r="M2245" s="414">
        <f>ROUND(+L2245*C2245,4)</f>
        <v>0</v>
      </c>
      <c r="N2245" s="414"/>
      <c r="O2245" s="414"/>
      <c r="P2245" s="414"/>
      <c r="Q2245" s="419">
        <f>ROUND(+N2245+O2245+P2245,4)</f>
        <v>0</v>
      </c>
      <c r="R2245" s="419">
        <f>ROUND(IF(+Q2245-H2245&lt;=0,0,Q2245-H2245),4)</f>
        <v>0</v>
      </c>
      <c r="S2245" s="423">
        <v>0.5</v>
      </c>
      <c r="T2245" s="419">
        <f>ROUND(+(R2245*C2245)*S2245,4)</f>
        <v>0</v>
      </c>
      <c r="U2245" s="419">
        <f>ROUND(+J2245+M2245+T2245,4)</f>
        <v>0</v>
      </c>
      <c r="V2245" s="235"/>
    </row>
    <row r="2246" spans="1:22" ht="15.75" x14ac:dyDescent="0.25">
      <c r="A2246" s="231"/>
      <c r="B2246" s="232"/>
      <c r="C2246" s="400"/>
      <c r="D2246" s="233"/>
      <c r="E2246" s="405"/>
      <c r="F2246" s="405"/>
      <c r="G2246" s="405"/>
      <c r="H2246" s="408">
        <f>ROUND(+E2246+F2246+G2246,4)</f>
        <v>0</v>
      </c>
      <c r="I2246" s="234"/>
      <c r="J2246" s="411"/>
      <c r="K2246" s="411"/>
      <c r="L2246" s="414">
        <v>0.1</v>
      </c>
      <c r="M2246" s="414">
        <f>ROUND(+L2246*C2246,4)</f>
        <v>0</v>
      </c>
      <c r="N2246" s="414"/>
      <c r="O2246" s="414"/>
      <c r="P2246" s="414"/>
      <c r="Q2246" s="419">
        <f>ROUND(+N2246+O2246+P2246,4)</f>
        <v>0</v>
      </c>
      <c r="R2246" s="419">
        <f>ROUND(IF(+Q2246-H2246&lt;=0,0,Q2246-H2246),4)</f>
        <v>0</v>
      </c>
      <c r="S2246" s="423">
        <v>0.5</v>
      </c>
      <c r="T2246" s="419">
        <f>ROUND(+(R2246*C2246)*S2246,4)</f>
        <v>0</v>
      </c>
      <c r="U2246" s="419">
        <f>ROUND(+J2246+M2246+T2246,4)</f>
        <v>0</v>
      </c>
      <c r="V2246" s="235"/>
    </row>
    <row r="2247" spans="1:22" ht="15.75" x14ac:dyDescent="0.25">
      <c r="A2247" s="231"/>
      <c r="B2247" s="232"/>
      <c r="C2247" s="400"/>
      <c r="D2247" s="233"/>
      <c r="E2247" s="405"/>
      <c r="F2247" s="405"/>
      <c r="G2247" s="405"/>
      <c r="H2247" s="408">
        <f>ROUND(+E2247+F2247+G2247,4)</f>
        <v>0</v>
      </c>
      <c r="I2247" s="234"/>
      <c r="J2247" s="411"/>
      <c r="K2247" s="411"/>
      <c r="L2247" s="414">
        <v>0.1</v>
      </c>
      <c r="M2247" s="414">
        <f>ROUND(+L2247*C2247,4)</f>
        <v>0</v>
      </c>
      <c r="N2247" s="414"/>
      <c r="O2247" s="414"/>
      <c r="P2247" s="414"/>
      <c r="Q2247" s="419">
        <f>ROUND(+N2247+O2247+P2247,4)</f>
        <v>0</v>
      </c>
      <c r="R2247" s="419">
        <f>ROUND(IF(+Q2247-H2247&lt;=0,0,Q2247-H2247),4)</f>
        <v>0</v>
      </c>
      <c r="S2247" s="423">
        <v>0.5</v>
      </c>
      <c r="T2247" s="419">
        <f>ROUND(+(R2247*C2247)*S2247,4)</f>
        <v>0</v>
      </c>
      <c r="U2247" s="419">
        <f>ROUND(+J2247+M2247+T2247,4)</f>
        <v>0</v>
      </c>
      <c r="V2247" s="235"/>
    </row>
    <row r="2248" spans="1:22" ht="15.75" x14ac:dyDescent="0.25">
      <c r="A2248" s="231"/>
      <c r="B2248" s="232"/>
      <c r="C2248" s="400"/>
      <c r="D2248" s="233"/>
      <c r="E2248" s="405"/>
      <c r="F2248" s="405"/>
      <c r="G2248" s="405"/>
      <c r="H2248" s="408">
        <f>ROUND(+E2248+F2248+G2248,4)</f>
        <v>0</v>
      </c>
      <c r="I2248" s="234"/>
      <c r="J2248" s="411"/>
      <c r="K2248" s="411"/>
      <c r="L2248" s="414">
        <v>0.1</v>
      </c>
      <c r="M2248" s="414">
        <f>ROUND(+L2248*C2248,4)</f>
        <v>0</v>
      </c>
      <c r="N2248" s="414"/>
      <c r="O2248" s="414"/>
      <c r="P2248" s="414"/>
      <c r="Q2248" s="419">
        <f>ROUND(+N2248+O2248+P2248,4)</f>
        <v>0</v>
      </c>
      <c r="R2248" s="419">
        <f>ROUND(IF(+Q2248-H2248&lt;=0,0,Q2248-H2248),4)</f>
        <v>0</v>
      </c>
      <c r="S2248" s="423">
        <v>0.5</v>
      </c>
      <c r="T2248" s="419">
        <f>ROUND(+(R2248*C2248)*S2248,4)</f>
        <v>0</v>
      </c>
      <c r="U2248" s="419">
        <f>ROUND(+J2248+M2248+T2248,4)</f>
        <v>0</v>
      </c>
      <c r="V2248" s="235"/>
    </row>
    <row r="2249" spans="1:22" ht="15.75" x14ac:dyDescent="0.25">
      <c r="A2249" s="231"/>
      <c r="B2249" s="232"/>
      <c r="C2249" s="400"/>
      <c r="D2249" s="233"/>
      <c r="E2249" s="405"/>
      <c r="F2249" s="405"/>
      <c r="G2249" s="405"/>
      <c r="H2249" s="408">
        <f>ROUND(+E2249+F2249+G2249,4)</f>
        <v>0</v>
      </c>
      <c r="I2249" s="234"/>
      <c r="J2249" s="411"/>
      <c r="K2249" s="411"/>
      <c r="L2249" s="414">
        <v>0.1</v>
      </c>
      <c r="M2249" s="414">
        <f>ROUND(+L2249*C2249,4)</f>
        <v>0</v>
      </c>
      <c r="N2249" s="414"/>
      <c r="O2249" s="414"/>
      <c r="P2249" s="414"/>
      <c r="Q2249" s="419">
        <f>ROUND(+N2249+O2249+P2249,4)</f>
        <v>0</v>
      </c>
      <c r="R2249" s="419">
        <f>ROUND(IF(+Q2249-H2249&lt;=0,0,Q2249-H2249),4)</f>
        <v>0</v>
      </c>
      <c r="S2249" s="423">
        <v>0.5</v>
      </c>
      <c r="T2249" s="419">
        <f>ROUND(+(R2249*C2249)*S2249,4)</f>
        <v>0</v>
      </c>
      <c r="U2249" s="419">
        <f>ROUND(+J2249+M2249+T2249,4)</f>
        <v>0</v>
      </c>
      <c r="V2249" s="235"/>
    </row>
    <row r="2250" spans="1:22" ht="15.75" x14ac:dyDescent="0.25">
      <c r="A2250" s="231"/>
      <c r="B2250" s="232"/>
      <c r="C2250" s="400"/>
      <c r="D2250" s="233"/>
      <c r="E2250" s="405"/>
      <c r="F2250" s="405"/>
      <c r="G2250" s="405"/>
      <c r="H2250" s="408">
        <f>ROUND(+E2250+F2250+G2250,4)</f>
        <v>0</v>
      </c>
      <c r="I2250" s="234"/>
      <c r="J2250" s="411"/>
      <c r="K2250" s="411"/>
      <c r="L2250" s="414">
        <v>0.1</v>
      </c>
      <c r="M2250" s="414">
        <f>ROUND(+L2250*C2250,4)</f>
        <v>0</v>
      </c>
      <c r="N2250" s="414"/>
      <c r="O2250" s="414"/>
      <c r="P2250" s="414"/>
      <c r="Q2250" s="419">
        <f>ROUND(+N2250+O2250+P2250,4)</f>
        <v>0</v>
      </c>
      <c r="R2250" s="419">
        <f>ROUND(IF(+Q2250-H2250&lt;=0,0,Q2250-H2250),4)</f>
        <v>0</v>
      </c>
      <c r="S2250" s="423">
        <v>0.5</v>
      </c>
      <c r="T2250" s="419">
        <f>ROUND(+(R2250*C2250)*S2250,4)</f>
        <v>0</v>
      </c>
      <c r="U2250" s="419">
        <f>ROUND(+J2250+M2250+T2250,4)</f>
        <v>0</v>
      </c>
      <c r="V2250" s="235"/>
    </row>
    <row r="2251" spans="1:22" ht="15.75" x14ac:dyDescent="0.25">
      <c r="A2251" s="231"/>
      <c r="B2251" s="232"/>
      <c r="C2251" s="400"/>
      <c r="D2251" s="233"/>
      <c r="E2251" s="405"/>
      <c r="F2251" s="405"/>
      <c r="G2251" s="405"/>
      <c r="H2251" s="408">
        <f>ROUND(+E2251+F2251+G2251,4)</f>
        <v>0</v>
      </c>
      <c r="I2251" s="234"/>
      <c r="J2251" s="411"/>
      <c r="K2251" s="411"/>
      <c r="L2251" s="414">
        <v>0.1</v>
      </c>
      <c r="M2251" s="414">
        <f>ROUND(+L2251*C2251,4)</f>
        <v>0</v>
      </c>
      <c r="N2251" s="414"/>
      <c r="O2251" s="414"/>
      <c r="P2251" s="414"/>
      <c r="Q2251" s="419">
        <f>ROUND(+N2251+O2251+P2251,4)</f>
        <v>0</v>
      </c>
      <c r="R2251" s="419">
        <f>ROUND(IF(+Q2251-H2251&lt;=0,0,Q2251-H2251),4)</f>
        <v>0</v>
      </c>
      <c r="S2251" s="423">
        <v>0.5</v>
      </c>
      <c r="T2251" s="419">
        <f>ROUND(+(R2251*C2251)*S2251,4)</f>
        <v>0</v>
      </c>
      <c r="U2251" s="419">
        <f>ROUND(+J2251+M2251+T2251,4)</f>
        <v>0</v>
      </c>
      <c r="V2251" s="235"/>
    </row>
    <row r="2252" spans="1:22" ht="15.75" x14ac:dyDescent="0.25">
      <c r="A2252" s="231"/>
      <c r="B2252" s="232"/>
      <c r="C2252" s="400"/>
      <c r="D2252" s="233"/>
      <c r="E2252" s="405"/>
      <c r="F2252" s="405"/>
      <c r="G2252" s="405"/>
      <c r="H2252" s="408">
        <f>ROUND(+E2252+F2252+G2252,4)</f>
        <v>0</v>
      </c>
      <c r="I2252" s="234"/>
      <c r="J2252" s="411"/>
      <c r="K2252" s="411"/>
      <c r="L2252" s="414">
        <v>0.1</v>
      </c>
      <c r="M2252" s="414">
        <f>ROUND(+L2252*C2252,4)</f>
        <v>0</v>
      </c>
      <c r="N2252" s="414"/>
      <c r="O2252" s="414"/>
      <c r="P2252" s="414"/>
      <c r="Q2252" s="419">
        <f>ROUND(+N2252+O2252+P2252,4)</f>
        <v>0</v>
      </c>
      <c r="R2252" s="419">
        <f>ROUND(IF(+Q2252-H2252&lt;=0,0,Q2252-H2252),4)</f>
        <v>0</v>
      </c>
      <c r="S2252" s="423">
        <v>0.5</v>
      </c>
      <c r="T2252" s="419">
        <f>ROUND(+(R2252*C2252)*S2252,4)</f>
        <v>0</v>
      </c>
      <c r="U2252" s="419">
        <f>ROUND(+J2252+M2252+T2252,4)</f>
        <v>0</v>
      </c>
      <c r="V2252" s="235"/>
    </row>
    <row r="2253" spans="1:22" ht="15.75" x14ac:dyDescent="0.25">
      <c r="A2253" s="231"/>
      <c r="B2253" s="232"/>
      <c r="C2253" s="400"/>
      <c r="D2253" s="233"/>
      <c r="E2253" s="405"/>
      <c r="F2253" s="405"/>
      <c r="G2253" s="405"/>
      <c r="H2253" s="408">
        <f>ROUND(+E2253+F2253+G2253,4)</f>
        <v>0</v>
      </c>
      <c r="I2253" s="234"/>
      <c r="J2253" s="411"/>
      <c r="K2253" s="411"/>
      <c r="L2253" s="414">
        <v>0.1</v>
      </c>
      <c r="M2253" s="414">
        <f>ROUND(+L2253*C2253,4)</f>
        <v>0</v>
      </c>
      <c r="N2253" s="414"/>
      <c r="O2253" s="414"/>
      <c r="P2253" s="414"/>
      <c r="Q2253" s="419">
        <f>ROUND(+N2253+O2253+P2253,4)</f>
        <v>0</v>
      </c>
      <c r="R2253" s="419">
        <f>ROUND(IF(+Q2253-H2253&lt;=0,0,Q2253-H2253),4)</f>
        <v>0</v>
      </c>
      <c r="S2253" s="423">
        <v>0.5</v>
      </c>
      <c r="T2253" s="419">
        <f>ROUND(+(R2253*C2253)*S2253,4)</f>
        <v>0</v>
      </c>
      <c r="U2253" s="419">
        <f>ROUND(+J2253+M2253+T2253,4)</f>
        <v>0</v>
      </c>
      <c r="V2253" s="235"/>
    </row>
    <row r="2254" spans="1:22" ht="15.75" x14ac:dyDescent="0.25">
      <c r="A2254" s="231"/>
      <c r="B2254" s="232"/>
      <c r="C2254" s="400"/>
      <c r="D2254" s="233"/>
      <c r="E2254" s="405"/>
      <c r="F2254" s="405"/>
      <c r="G2254" s="405"/>
      <c r="H2254" s="408">
        <f>ROUND(+E2254+F2254+G2254,4)</f>
        <v>0</v>
      </c>
      <c r="I2254" s="234"/>
      <c r="J2254" s="411"/>
      <c r="K2254" s="411"/>
      <c r="L2254" s="414">
        <v>0.1</v>
      </c>
      <c r="M2254" s="414">
        <f>ROUND(+L2254*C2254,4)</f>
        <v>0</v>
      </c>
      <c r="N2254" s="414"/>
      <c r="O2254" s="414"/>
      <c r="P2254" s="414"/>
      <c r="Q2254" s="419">
        <f>ROUND(+N2254+O2254+P2254,4)</f>
        <v>0</v>
      </c>
      <c r="R2254" s="419">
        <f>ROUND(IF(+Q2254-H2254&lt;=0,0,Q2254-H2254),4)</f>
        <v>0</v>
      </c>
      <c r="S2254" s="423">
        <v>0.5</v>
      </c>
      <c r="T2254" s="419">
        <f>ROUND(+(R2254*C2254)*S2254,4)</f>
        <v>0</v>
      </c>
      <c r="U2254" s="419">
        <f>ROUND(+J2254+M2254+T2254,4)</f>
        <v>0</v>
      </c>
      <c r="V2254" s="235"/>
    </row>
    <row r="2255" spans="1:22" ht="15.75" x14ac:dyDescent="0.25">
      <c r="A2255" s="231"/>
      <c r="B2255" s="232"/>
      <c r="C2255" s="400"/>
      <c r="D2255" s="233"/>
      <c r="E2255" s="405"/>
      <c r="F2255" s="405"/>
      <c r="G2255" s="405"/>
      <c r="H2255" s="408">
        <f>ROUND(+E2255+F2255+G2255,4)</f>
        <v>0</v>
      </c>
      <c r="I2255" s="234"/>
      <c r="J2255" s="411"/>
      <c r="K2255" s="411"/>
      <c r="L2255" s="414">
        <v>0.1</v>
      </c>
      <c r="M2255" s="414">
        <f>ROUND(+L2255*C2255,4)</f>
        <v>0</v>
      </c>
      <c r="N2255" s="414"/>
      <c r="O2255" s="414"/>
      <c r="P2255" s="414"/>
      <c r="Q2255" s="419">
        <f>ROUND(+N2255+O2255+P2255,4)</f>
        <v>0</v>
      </c>
      <c r="R2255" s="419">
        <f>ROUND(IF(+Q2255-H2255&lt;=0,0,Q2255-H2255),4)</f>
        <v>0</v>
      </c>
      <c r="S2255" s="423">
        <v>0.5</v>
      </c>
      <c r="T2255" s="419">
        <f>ROUND(+(R2255*C2255)*S2255,4)</f>
        <v>0</v>
      </c>
      <c r="U2255" s="419">
        <f>ROUND(+J2255+M2255+T2255,4)</f>
        <v>0</v>
      </c>
      <c r="V2255" s="235"/>
    </row>
    <row r="2256" spans="1:22" ht="15.75" x14ac:dyDescent="0.25">
      <c r="A2256" s="231"/>
      <c r="B2256" s="232"/>
      <c r="C2256" s="400"/>
      <c r="D2256" s="233"/>
      <c r="E2256" s="405"/>
      <c r="F2256" s="405"/>
      <c r="G2256" s="405"/>
      <c r="H2256" s="408">
        <f>ROUND(+E2256+F2256+G2256,4)</f>
        <v>0</v>
      </c>
      <c r="I2256" s="234"/>
      <c r="J2256" s="411"/>
      <c r="K2256" s="411"/>
      <c r="L2256" s="414">
        <v>0.1</v>
      </c>
      <c r="M2256" s="414">
        <f>ROUND(+L2256*C2256,4)</f>
        <v>0</v>
      </c>
      <c r="N2256" s="414"/>
      <c r="O2256" s="414"/>
      <c r="P2256" s="414"/>
      <c r="Q2256" s="419">
        <f>ROUND(+N2256+O2256+P2256,4)</f>
        <v>0</v>
      </c>
      <c r="R2256" s="419">
        <f>ROUND(IF(+Q2256-H2256&lt;=0,0,Q2256-H2256),4)</f>
        <v>0</v>
      </c>
      <c r="S2256" s="423">
        <v>0.5</v>
      </c>
      <c r="T2256" s="419">
        <f>ROUND(+(R2256*C2256)*S2256,4)</f>
        <v>0</v>
      </c>
      <c r="U2256" s="419">
        <f>ROUND(+J2256+M2256+T2256,4)</f>
        <v>0</v>
      </c>
      <c r="V2256" s="235"/>
    </row>
    <row r="2257" spans="1:22" ht="15.75" x14ac:dyDescent="0.25">
      <c r="A2257" s="231"/>
      <c r="B2257" s="232"/>
      <c r="C2257" s="400"/>
      <c r="D2257" s="233"/>
      <c r="E2257" s="405"/>
      <c r="F2257" s="405"/>
      <c r="G2257" s="405"/>
      <c r="H2257" s="408">
        <f>ROUND(+E2257+F2257+G2257,4)</f>
        <v>0</v>
      </c>
      <c r="I2257" s="234"/>
      <c r="J2257" s="411"/>
      <c r="K2257" s="411"/>
      <c r="L2257" s="414">
        <v>0.1</v>
      </c>
      <c r="M2257" s="414">
        <f>ROUND(+L2257*C2257,4)</f>
        <v>0</v>
      </c>
      <c r="N2257" s="414"/>
      <c r="O2257" s="414"/>
      <c r="P2257" s="414"/>
      <c r="Q2257" s="419">
        <f>ROUND(+N2257+O2257+P2257,4)</f>
        <v>0</v>
      </c>
      <c r="R2257" s="419">
        <f>ROUND(IF(+Q2257-H2257&lt;=0,0,Q2257-H2257),4)</f>
        <v>0</v>
      </c>
      <c r="S2257" s="423">
        <v>0.5</v>
      </c>
      <c r="T2257" s="419">
        <f>ROUND(+(R2257*C2257)*S2257,4)</f>
        <v>0</v>
      </c>
      <c r="U2257" s="419">
        <f>ROUND(+J2257+M2257+T2257,4)</f>
        <v>0</v>
      </c>
      <c r="V2257" s="235"/>
    </row>
    <row r="2258" spans="1:22" ht="15.75" x14ac:dyDescent="0.25">
      <c r="A2258" s="231"/>
      <c r="B2258" s="232"/>
      <c r="C2258" s="400"/>
      <c r="D2258" s="233"/>
      <c r="E2258" s="405"/>
      <c r="F2258" s="405"/>
      <c r="G2258" s="405"/>
      <c r="H2258" s="408">
        <f>ROUND(+E2258+F2258+G2258,4)</f>
        <v>0</v>
      </c>
      <c r="I2258" s="234"/>
      <c r="J2258" s="411"/>
      <c r="K2258" s="411"/>
      <c r="L2258" s="414">
        <v>0.1</v>
      </c>
      <c r="M2258" s="414">
        <f>ROUND(+L2258*C2258,4)</f>
        <v>0</v>
      </c>
      <c r="N2258" s="414"/>
      <c r="O2258" s="414"/>
      <c r="P2258" s="414"/>
      <c r="Q2258" s="419">
        <f>ROUND(+N2258+O2258+P2258,4)</f>
        <v>0</v>
      </c>
      <c r="R2258" s="419">
        <f>ROUND(IF(+Q2258-H2258&lt;=0,0,Q2258-H2258),4)</f>
        <v>0</v>
      </c>
      <c r="S2258" s="423">
        <v>0.5</v>
      </c>
      <c r="T2258" s="419">
        <f>ROUND(+(R2258*C2258)*S2258,4)</f>
        <v>0</v>
      </c>
      <c r="U2258" s="419">
        <f>ROUND(+J2258+M2258+T2258,4)</f>
        <v>0</v>
      </c>
      <c r="V2258" s="235"/>
    </row>
    <row r="2259" spans="1:22" ht="15.75" x14ac:dyDescent="0.25">
      <c r="A2259" s="231"/>
      <c r="B2259" s="232"/>
      <c r="C2259" s="400"/>
      <c r="D2259" s="233"/>
      <c r="E2259" s="405"/>
      <c r="F2259" s="405"/>
      <c r="G2259" s="405"/>
      <c r="H2259" s="408">
        <f>ROUND(+E2259+F2259+G2259,4)</f>
        <v>0</v>
      </c>
      <c r="I2259" s="234"/>
      <c r="J2259" s="411"/>
      <c r="K2259" s="411"/>
      <c r="L2259" s="414">
        <v>0.1</v>
      </c>
      <c r="M2259" s="414">
        <f>ROUND(+L2259*C2259,4)</f>
        <v>0</v>
      </c>
      <c r="N2259" s="414"/>
      <c r="O2259" s="414"/>
      <c r="P2259" s="414"/>
      <c r="Q2259" s="419">
        <f>ROUND(+N2259+O2259+P2259,4)</f>
        <v>0</v>
      </c>
      <c r="R2259" s="419">
        <f>ROUND(IF(+Q2259-H2259&lt;=0,0,Q2259-H2259),4)</f>
        <v>0</v>
      </c>
      <c r="S2259" s="423">
        <v>0.5</v>
      </c>
      <c r="T2259" s="419">
        <f>ROUND(+(R2259*C2259)*S2259,4)</f>
        <v>0</v>
      </c>
      <c r="U2259" s="419">
        <f>ROUND(+J2259+M2259+T2259,4)</f>
        <v>0</v>
      </c>
      <c r="V2259" s="235"/>
    </row>
    <row r="2260" spans="1:22" ht="15.75" x14ac:dyDescent="0.25">
      <c r="A2260" s="231"/>
      <c r="B2260" s="232"/>
      <c r="C2260" s="400"/>
      <c r="D2260" s="233"/>
      <c r="E2260" s="405"/>
      <c r="F2260" s="405"/>
      <c r="G2260" s="405"/>
      <c r="H2260" s="408">
        <f>ROUND(+E2260+F2260+G2260,4)</f>
        <v>0</v>
      </c>
      <c r="I2260" s="234"/>
      <c r="J2260" s="411"/>
      <c r="K2260" s="411"/>
      <c r="L2260" s="414">
        <v>0.1</v>
      </c>
      <c r="M2260" s="414">
        <f>ROUND(+L2260*C2260,4)</f>
        <v>0</v>
      </c>
      <c r="N2260" s="414"/>
      <c r="O2260" s="414"/>
      <c r="P2260" s="414"/>
      <c r="Q2260" s="419">
        <f>ROUND(+N2260+O2260+P2260,4)</f>
        <v>0</v>
      </c>
      <c r="R2260" s="419">
        <f>ROUND(IF(+Q2260-H2260&lt;=0,0,Q2260-H2260),4)</f>
        <v>0</v>
      </c>
      <c r="S2260" s="423">
        <v>0.5</v>
      </c>
      <c r="T2260" s="419">
        <f>ROUND(+(R2260*C2260)*S2260,4)</f>
        <v>0</v>
      </c>
      <c r="U2260" s="419">
        <f>ROUND(+J2260+M2260+T2260,4)</f>
        <v>0</v>
      </c>
      <c r="V2260" s="235"/>
    </row>
    <row r="2261" spans="1:22" ht="15.75" x14ac:dyDescent="0.25">
      <c r="A2261" s="231"/>
      <c r="B2261" s="232"/>
      <c r="C2261" s="400"/>
      <c r="D2261" s="233"/>
      <c r="E2261" s="405"/>
      <c r="F2261" s="405"/>
      <c r="G2261" s="405"/>
      <c r="H2261" s="408">
        <f>ROUND(+E2261+F2261+G2261,4)</f>
        <v>0</v>
      </c>
      <c r="I2261" s="234"/>
      <c r="J2261" s="411"/>
      <c r="K2261" s="411"/>
      <c r="L2261" s="414">
        <v>0.1</v>
      </c>
      <c r="M2261" s="414">
        <f>ROUND(+L2261*C2261,4)</f>
        <v>0</v>
      </c>
      <c r="N2261" s="414"/>
      <c r="O2261" s="414"/>
      <c r="P2261" s="414"/>
      <c r="Q2261" s="419">
        <f>ROUND(+N2261+O2261+P2261,4)</f>
        <v>0</v>
      </c>
      <c r="R2261" s="419">
        <f>ROUND(IF(+Q2261-H2261&lt;=0,0,Q2261-H2261),4)</f>
        <v>0</v>
      </c>
      <c r="S2261" s="423">
        <v>0.5</v>
      </c>
      <c r="T2261" s="419">
        <f>ROUND(+(R2261*C2261)*S2261,4)</f>
        <v>0</v>
      </c>
      <c r="U2261" s="419">
        <f>ROUND(+J2261+M2261+T2261,4)</f>
        <v>0</v>
      </c>
      <c r="V2261" s="235"/>
    </row>
    <row r="2262" spans="1:22" ht="15.75" x14ac:dyDescent="0.25">
      <c r="A2262" s="231"/>
      <c r="B2262" s="232"/>
      <c r="C2262" s="400"/>
      <c r="D2262" s="233"/>
      <c r="E2262" s="405"/>
      <c r="F2262" s="405"/>
      <c r="G2262" s="405"/>
      <c r="H2262" s="408">
        <f>ROUND(+E2262+F2262+G2262,4)</f>
        <v>0</v>
      </c>
      <c r="I2262" s="234"/>
      <c r="J2262" s="411"/>
      <c r="K2262" s="411"/>
      <c r="L2262" s="414">
        <v>0.1</v>
      </c>
      <c r="M2262" s="414">
        <f>ROUND(+L2262*C2262,4)</f>
        <v>0</v>
      </c>
      <c r="N2262" s="414"/>
      <c r="O2262" s="414"/>
      <c r="P2262" s="414"/>
      <c r="Q2262" s="419">
        <f>ROUND(+N2262+O2262+P2262,4)</f>
        <v>0</v>
      </c>
      <c r="R2262" s="419">
        <f>ROUND(IF(+Q2262-H2262&lt;=0,0,Q2262-H2262),4)</f>
        <v>0</v>
      </c>
      <c r="S2262" s="423">
        <v>0.5</v>
      </c>
      <c r="T2262" s="419">
        <f>ROUND(+(R2262*C2262)*S2262,4)</f>
        <v>0</v>
      </c>
      <c r="U2262" s="419">
        <f>ROUND(+J2262+M2262+T2262,4)</f>
        <v>0</v>
      </c>
      <c r="V2262" s="235"/>
    </row>
    <row r="2263" spans="1:22" ht="15.75" x14ac:dyDescent="0.25">
      <c r="A2263" s="231"/>
      <c r="B2263" s="232"/>
      <c r="C2263" s="400"/>
      <c r="D2263" s="233"/>
      <c r="E2263" s="405"/>
      <c r="F2263" s="405"/>
      <c r="G2263" s="405"/>
      <c r="H2263" s="408">
        <f>ROUND(+E2263+F2263+G2263,4)</f>
        <v>0</v>
      </c>
      <c r="I2263" s="234"/>
      <c r="J2263" s="411"/>
      <c r="K2263" s="411"/>
      <c r="L2263" s="414">
        <v>0.1</v>
      </c>
      <c r="M2263" s="414">
        <f>ROUND(+L2263*C2263,4)</f>
        <v>0</v>
      </c>
      <c r="N2263" s="414"/>
      <c r="O2263" s="414"/>
      <c r="P2263" s="414"/>
      <c r="Q2263" s="419">
        <f>ROUND(+N2263+O2263+P2263,4)</f>
        <v>0</v>
      </c>
      <c r="R2263" s="419">
        <f>ROUND(IF(+Q2263-H2263&lt;=0,0,Q2263-H2263),4)</f>
        <v>0</v>
      </c>
      <c r="S2263" s="423">
        <v>0.5</v>
      </c>
      <c r="T2263" s="419">
        <f>ROUND(+(R2263*C2263)*S2263,4)</f>
        <v>0</v>
      </c>
      <c r="U2263" s="419">
        <f>ROUND(+J2263+M2263+T2263,4)</f>
        <v>0</v>
      </c>
      <c r="V2263" s="235"/>
    </row>
    <row r="2264" spans="1:22" ht="15.75" x14ac:dyDescent="0.25">
      <c r="A2264" s="231"/>
      <c r="B2264" s="232"/>
      <c r="C2264" s="400"/>
      <c r="D2264" s="233"/>
      <c r="E2264" s="405"/>
      <c r="F2264" s="405"/>
      <c r="G2264" s="405"/>
      <c r="H2264" s="408">
        <f>ROUND(+E2264+F2264+G2264,4)</f>
        <v>0</v>
      </c>
      <c r="I2264" s="234"/>
      <c r="J2264" s="411"/>
      <c r="K2264" s="411"/>
      <c r="L2264" s="414">
        <v>0.1</v>
      </c>
      <c r="M2264" s="414">
        <f>ROUND(+L2264*C2264,4)</f>
        <v>0</v>
      </c>
      <c r="N2264" s="414"/>
      <c r="O2264" s="414"/>
      <c r="P2264" s="414"/>
      <c r="Q2264" s="419">
        <f>ROUND(+N2264+O2264+P2264,4)</f>
        <v>0</v>
      </c>
      <c r="R2264" s="419">
        <f>ROUND(IF(+Q2264-H2264&lt;=0,0,Q2264-H2264),4)</f>
        <v>0</v>
      </c>
      <c r="S2264" s="423">
        <v>0.5</v>
      </c>
      <c r="T2264" s="419">
        <f>ROUND(+(R2264*C2264)*S2264,4)</f>
        <v>0</v>
      </c>
      <c r="U2264" s="419">
        <f>ROUND(+J2264+M2264+T2264,4)</f>
        <v>0</v>
      </c>
      <c r="V2264" s="235"/>
    </row>
    <row r="2265" spans="1:22" ht="15.75" x14ac:dyDescent="0.25">
      <c r="A2265" s="231"/>
      <c r="B2265" s="232"/>
      <c r="C2265" s="400"/>
      <c r="D2265" s="233"/>
      <c r="E2265" s="405"/>
      <c r="F2265" s="405"/>
      <c r="G2265" s="405"/>
      <c r="H2265" s="408">
        <f>ROUND(+E2265+F2265+G2265,4)</f>
        <v>0</v>
      </c>
      <c r="I2265" s="234"/>
      <c r="J2265" s="411"/>
      <c r="K2265" s="411"/>
      <c r="L2265" s="414">
        <v>0.1</v>
      </c>
      <c r="M2265" s="414">
        <f>ROUND(+L2265*C2265,4)</f>
        <v>0</v>
      </c>
      <c r="N2265" s="414"/>
      <c r="O2265" s="414"/>
      <c r="P2265" s="414"/>
      <c r="Q2265" s="419">
        <f>ROUND(+N2265+O2265+P2265,4)</f>
        <v>0</v>
      </c>
      <c r="R2265" s="419">
        <f>ROUND(IF(+Q2265-H2265&lt;=0,0,Q2265-H2265),4)</f>
        <v>0</v>
      </c>
      <c r="S2265" s="423">
        <v>0.5</v>
      </c>
      <c r="T2265" s="419">
        <f>ROUND(+(R2265*C2265)*S2265,4)</f>
        <v>0</v>
      </c>
      <c r="U2265" s="419">
        <f>ROUND(+J2265+M2265+T2265,4)</f>
        <v>0</v>
      </c>
      <c r="V2265" s="235"/>
    </row>
    <row r="2266" spans="1:22" ht="15.75" x14ac:dyDescent="0.25">
      <c r="A2266" s="231"/>
      <c r="B2266" s="232"/>
      <c r="C2266" s="400"/>
      <c r="D2266" s="233"/>
      <c r="E2266" s="405"/>
      <c r="F2266" s="405"/>
      <c r="G2266" s="405"/>
      <c r="H2266" s="408">
        <f>ROUND(+E2266+F2266+G2266,4)</f>
        <v>0</v>
      </c>
      <c r="I2266" s="234"/>
      <c r="J2266" s="411"/>
      <c r="K2266" s="411"/>
      <c r="L2266" s="414">
        <v>0.1</v>
      </c>
      <c r="M2266" s="414">
        <f>ROUND(+L2266*C2266,4)</f>
        <v>0</v>
      </c>
      <c r="N2266" s="414"/>
      <c r="O2266" s="414"/>
      <c r="P2266" s="414"/>
      <c r="Q2266" s="419">
        <f>ROUND(+N2266+O2266+P2266,4)</f>
        <v>0</v>
      </c>
      <c r="R2266" s="419">
        <f>ROUND(IF(+Q2266-H2266&lt;=0,0,Q2266-H2266),4)</f>
        <v>0</v>
      </c>
      <c r="S2266" s="423">
        <v>0.5</v>
      </c>
      <c r="T2266" s="419">
        <f>ROUND(+(R2266*C2266)*S2266,4)</f>
        <v>0</v>
      </c>
      <c r="U2266" s="419">
        <f>ROUND(+J2266+M2266+T2266,4)</f>
        <v>0</v>
      </c>
      <c r="V2266" s="235"/>
    </row>
    <row r="2267" spans="1:22" ht="15.75" x14ac:dyDescent="0.25">
      <c r="A2267" s="231"/>
      <c r="B2267" s="232"/>
      <c r="C2267" s="400"/>
      <c r="D2267" s="233"/>
      <c r="E2267" s="405"/>
      <c r="F2267" s="405"/>
      <c r="G2267" s="405"/>
      <c r="H2267" s="408">
        <f>ROUND(+E2267+F2267+G2267,4)</f>
        <v>0</v>
      </c>
      <c r="I2267" s="234"/>
      <c r="J2267" s="411"/>
      <c r="K2267" s="411"/>
      <c r="L2267" s="414">
        <v>0.1</v>
      </c>
      <c r="M2267" s="414">
        <f>ROUND(+L2267*C2267,4)</f>
        <v>0</v>
      </c>
      <c r="N2267" s="414"/>
      <c r="O2267" s="414"/>
      <c r="P2267" s="414"/>
      <c r="Q2267" s="419">
        <f>ROUND(+N2267+O2267+P2267,4)</f>
        <v>0</v>
      </c>
      <c r="R2267" s="419">
        <f>ROUND(IF(+Q2267-H2267&lt;=0,0,Q2267-H2267),4)</f>
        <v>0</v>
      </c>
      <c r="S2267" s="423">
        <v>0.5</v>
      </c>
      <c r="T2267" s="419">
        <f>ROUND(+(R2267*C2267)*S2267,4)</f>
        <v>0</v>
      </c>
      <c r="U2267" s="419">
        <f>ROUND(+J2267+M2267+T2267,4)</f>
        <v>0</v>
      </c>
      <c r="V2267" s="235"/>
    </row>
    <row r="2268" spans="1:22" ht="15.75" x14ac:dyDescent="0.25">
      <c r="A2268" s="231"/>
      <c r="B2268" s="232"/>
      <c r="C2268" s="400"/>
      <c r="D2268" s="233"/>
      <c r="E2268" s="405"/>
      <c r="F2268" s="405"/>
      <c r="G2268" s="405"/>
      <c r="H2268" s="408">
        <f>ROUND(+E2268+F2268+G2268,4)</f>
        <v>0</v>
      </c>
      <c r="I2268" s="234"/>
      <c r="J2268" s="411"/>
      <c r="K2268" s="411"/>
      <c r="L2268" s="414">
        <v>0.1</v>
      </c>
      <c r="M2268" s="414">
        <f>ROUND(+L2268*C2268,4)</f>
        <v>0</v>
      </c>
      <c r="N2268" s="414"/>
      <c r="O2268" s="414"/>
      <c r="P2268" s="414"/>
      <c r="Q2268" s="419">
        <f>ROUND(+N2268+O2268+P2268,4)</f>
        <v>0</v>
      </c>
      <c r="R2268" s="419">
        <f>ROUND(IF(+Q2268-H2268&lt;=0,0,Q2268-H2268),4)</f>
        <v>0</v>
      </c>
      <c r="S2268" s="423">
        <v>0.5</v>
      </c>
      <c r="T2268" s="419">
        <f>ROUND(+(R2268*C2268)*S2268,4)</f>
        <v>0</v>
      </c>
      <c r="U2268" s="419">
        <f>ROUND(+J2268+M2268+T2268,4)</f>
        <v>0</v>
      </c>
      <c r="V2268" s="235"/>
    </row>
    <row r="2269" spans="1:22" ht="15.75" x14ac:dyDescent="0.25">
      <c r="A2269" s="231"/>
      <c r="B2269" s="232"/>
      <c r="C2269" s="400"/>
      <c r="D2269" s="233"/>
      <c r="E2269" s="405"/>
      <c r="F2269" s="405"/>
      <c r="G2269" s="405"/>
      <c r="H2269" s="408">
        <f>ROUND(+E2269+F2269+G2269,4)</f>
        <v>0</v>
      </c>
      <c r="I2269" s="234"/>
      <c r="J2269" s="411"/>
      <c r="K2269" s="411"/>
      <c r="L2269" s="414">
        <v>0.1</v>
      </c>
      <c r="M2269" s="414">
        <f>ROUND(+L2269*C2269,4)</f>
        <v>0</v>
      </c>
      <c r="N2269" s="414"/>
      <c r="O2269" s="414"/>
      <c r="P2269" s="414"/>
      <c r="Q2269" s="419">
        <f>ROUND(+N2269+O2269+P2269,4)</f>
        <v>0</v>
      </c>
      <c r="R2269" s="419">
        <f>ROUND(IF(+Q2269-H2269&lt;=0,0,Q2269-H2269),4)</f>
        <v>0</v>
      </c>
      <c r="S2269" s="423">
        <v>0.5</v>
      </c>
      <c r="T2269" s="419">
        <f>ROUND(+(R2269*C2269)*S2269,4)</f>
        <v>0</v>
      </c>
      <c r="U2269" s="419">
        <f>ROUND(+J2269+M2269+T2269,4)</f>
        <v>0</v>
      </c>
      <c r="V2269" s="235"/>
    </row>
    <row r="2270" spans="1:22" ht="15.75" x14ac:dyDescent="0.25">
      <c r="A2270" s="231"/>
      <c r="B2270" s="232"/>
      <c r="C2270" s="400"/>
      <c r="D2270" s="233"/>
      <c r="E2270" s="405"/>
      <c r="F2270" s="405"/>
      <c r="G2270" s="405"/>
      <c r="H2270" s="408">
        <f>ROUND(+E2270+F2270+G2270,4)</f>
        <v>0</v>
      </c>
      <c r="I2270" s="234"/>
      <c r="J2270" s="411"/>
      <c r="K2270" s="411"/>
      <c r="L2270" s="414">
        <v>0.1</v>
      </c>
      <c r="M2270" s="414">
        <f>ROUND(+L2270*C2270,4)</f>
        <v>0</v>
      </c>
      <c r="N2270" s="414"/>
      <c r="O2270" s="414"/>
      <c r="P2270" s="414"/>
      <c r="Q2270" s="419">
        <f>ROUND(+N2270+O2270+P2270,4)</f>
        <v>0</v>
      </c>
      <c r="R2270" s="419">
        <f>ROUND(IF(+Q2270-H2270&lt;=0,0,Q2270-H2270),4)</f>
        <v>0</v>
      </c>
      <c r="S2270" s="423">
        <v>0.5</v>
      </c>
      <c r="T2270" s="419">
        <f>ROUND(+(R2270*C2270)*S2270,4)</f>
        <v>0</v>
      </c>
      <c r="U2270" s="419">
        <f>ROUND(+J2270+M2270+T2270,4)</f>
        <v>0</v>
      </c>
      <c r="V2270" s="235"/>
    </row>
    <row r="2271" spans="1:22" ht="15.75" x14ac:dyDescent="0.25">
      <c r="A2271" s="231"/>
      <c r="B2271" s="232"/>
      <c r="C2271" s="400"/>
      <c r="D2271" s="233"/>
      <c r="E2271" s="405"/>
      <c r="F2271" s="405"/>
      <c r="G2271" s="405"/>
      <c r="H2271" s="408">
        <f>ROUND(+E2271+F2271+G2271,4)</f>
        <v>0</v>
      </c>
      <c r="I2271" s="234"/>
      <c r="J2271" s="411"/>
      <c r="K2271" s="411"/>
      <c r="L2271" s="414">
        <v>0.1</v>
      </c>
      <c r="M2271" s="414">
        <f>ROUND(+L2271*C2271,4)</f>
        <v>0</v>
      </c>
      <c r="N2271" s="414"/>
      <c r="O2271" s="414"/>
      <c r="P2271" s="414"/>
      <c r="Q2271" s="419">
        <f>ROUND(+N2271+O2271+P2271,4)</f>
        <v>0</v>
      </c>
      <c r="R2271" s="419">
        <f>ROUND(IF(+Q2271-H2271&lt;=0,0,Q2271-H2271),4)</f>
        <v>0</v>
      </c>
      <c r="S2271" s="423">
        <v>0.5</v>
      </c>
      <c r="T2271" s="419">
        <f>ROUND(+(R2271*C2271)*S2271,4)</f>
        <v>0</v>
      </c>
      <c r="U2271" s="419">
        <f>ROUND(+J2271+M2271+T2271,4)</f>
        <v>0</v>
      </c>
      <c r="V2271" s="235"/>
    </row>
    <row r="2272" spans="1:22" ht="15.75" x14ac:dyDescent="0.25">
      <c r="A2272" s="231"/>
      <c r="B2272" s="232"/>
      <c r="C2272" s="400"/>
      <c r="D2272" s="233"/>
      <c r="E2272" s="405"/>
      <c r="F2272" s="405"/>
      <c r="G2272" s="405"/>
      <c r="H2272" s="408">
        <f>ROUND(+E2272+F2272+G2272,4)</f>
        <v>0</v>
      </c>
      <c r="I2272" s="234"/>
      <c r="J2272" s="411"/>
      <c r="K2272" s="411"/>
      <c r="L2272" s="414">
        <v>0.1</v>
      </c>
      <c r="M2272" s="414">
        <f>ROUND(+L2272*C2272,4)</f>
        <v>0</v>
      </c>
      <c r="N2272" s="414"/>
      <c r="O2272" s="414"/>
      <c r="P2272" s="414"/>
      <c r="Q2272" s="419">
        <f>ROUND(+N2272+O2272+P2272,4)</f>
        <v>0</v>
      </c>
      <c r="R2272" s="419">
        <f>ROUND(IF(+Q2272-H2272&lt;=0,0,Q2272-H2272),4)</f>
        <v>0</v>
      </c>
      <c r="S2272" s="423">
        <v>0.5</v>
      </c>
      <c r="T2272" s="419">
        <f>ROUND(+(R2272*C2272)*S2272,4)</f>
        <v>0</v>
      </c>
      <c r="U2272" s="419">
        <f>ROUND(+J2272+M2272+T2272,4)</f>
        <v>0</v>
      </c>
      <c r="V2272" s="235"/>
    </row>
    <row r="2273" spans="1:22" ht="15.75" x14ac:dyDescent="0.25">
      <c r="A2273" s="231"/>
      <c r="B2273" s="232"/>
      <c r="C2273" s="400"/>
      <c r="D2273" s="233"/>
      <c r="E2273" s="405"/>
      <c r="F2273" s="405"/>
      <c r="G2273" s="405"/>
      <c r="H2273" s="408">
        <f>ROUND(+E2273+F2273+G2273,4)</f>
        <v>0</v>
      </c>
      <c r="I2273" s="234"/>
      <c r="J2273" s="411"/>
      <c r="K2273" s="411"/>
      <c r="L2273" s="414">
        <v>0.1</v>
      </c>
      <c r="M2273" s="414">
        <f>ROUND(+L2273*C2273,4)</f>
        <v>0</v>
      </c>
      <c r="N2273" s="414"/>
      <c r="O2273" s="414"/>
      <c r="P2273" s="414"/>
      <c r="Q2273" s="419">
        <f>ROUND(+N2273+O2273+P2273,4)</f>
        <v>0</v>
      </c>
      <c r="R2273" s="419">
        <f>ROUND(IF(+Q2273-H2273&lt;=0,0,Q2273-H2273),4)</f>
        <v>0</v>
      </c>
      <c r="S2273" s="423">
        <v>0.5</v>
      </c>
      <c r="T2273" s="419">
        <f>ROUND(+(R2273*C2273)*S2273,4)</f>
        <v>0</v>
      </c>
      <c r="U2273" s="419">
        <f>ROUND(+J2273+M2273+T2273,4)</f>
        <v>0</v>
      </c>
      <c r="V2273" s="235"/>
    </row>
    <row r="2274" spans="1:22" ht="15.75" x14ac:dyDescent="0.25">
      <c r="A2274" s="231"/>
      <c r="B2274" s="232"/>
      <c r="C2274" s="400"/>
      <c r="D2274" s="233"/>
      <c r="E2274" s="405"/>
      <c r="F2274" s="405"/>
      <c r="G2274" s="405"/>
      <c r="H2274" s="408">
        <f>ROUND(+E2274+F2274+G2274,4)</f>
        <v>0</v>
      </c>
      <c r="I2274" s="234"/>
      <c r="J2274" s="411"/>
      <c r="K2274" s="411"/>
      <c r="L2274" s="414">
        <v>0.1</v>
      </c>
      <c r="M2274" s="414">
        <f>ROUND(+L2274*C2274,4)</f>
        <v>0</v>
      </c>
      <c r="N2274" s="414"/>
      <c r="O2274" s="414"/>
      <c r="P2274" s="414"/>
      <c r="Q2274" s="419">
        <f>ROUND(+N2274+O2274+P2274,4)</f>
        <v>0</v>
      </c>
      <c r="R2274" s="419">
        <f>ROUND(IF(+Q2274-H2274&lt;=0,0,Q2274-H2274),4)</f>
        <v>0</v>
      </c>
      <c r="S2274" s="423">
        <v>0.5</v>
      </c>
      <c r="T2274" s="419">
        <f>ROUND(+(R2274*C2274)*S2274,4)</f>
        <v>0</v>
      </c>
      <c r="U2274" s="419">
        <f>ROUND(+J2274+M2274+T2274,4)</f>
        <v>0</v>
      </c>
      <c r="V2274" s="235"/>
    </row>
    <row r="2275" spans="1:22" ht="15.75" x14ac:dyDescent="0.25">
      <c r="A2275" s="231"/>
      <c r="B2275" s="232"/>
      <c r="C2275" s="400"/>
      <c r="D2275" s="233"/>
      <c r="E2275" s="405"/>
      <c r="F2275" s="405"/>
      <c r="G2275" s="405"/>
      <c r="H2275" s="408">
        <f>ROUND(+E2275+F2275+G2275,4)</f>
        <v>0</v>
      </c>
      <c r="I2275" s="234"/>
      <c r="J2275" s="411"/>
      <c r="K2275" s="411"/>
      <c r="L2275" s="414">
        <v>0.1</v>
      </c>
      <c r="M2275" s="414">
        <f>ROUND(+L2275*C2275,4)</f>
        <v>0</v>
      </c>
      <c r="N2275" s="414"/>
      <c r="O2275" s="414"/>
      <c r="P2275" s="414"/>
      <c r="Q2275" s="419">
        <f>ROUND(+N2275+O2275+P2275,4)</f>
        <v>0</v>
      </c>
      <c r="R2275" s="419">
        <f>ROUND(IF(+Q2275-H2275&lt;=0,0,Q2275-H2275),4)</f>
        <v>0</v>
      </c>
      <c r="S2275" s="423">
        <v>0.5</v>
      </c>
      <c r="T2275" s="419">
        <f>ROUND(+(R2275*C2275)*S2275,4)</f>
        <v>0</v>
      </c>
      <c r="U2275" s="419">
        <f>ROUND(+J2275+M2275+T2275,4)</f>
        <v>0</v>
      </c>
      <c r="V2275" s="235"/>
    </row>
    <row r="2276" spans="1:22" ht="15.75" x14ac:dyDescent="0.25">
      <c r="A2276" s="231"/>
      <c r="B2276" s="232"/>
      <c r="C2276" s="400"/>
      <c r="D2276" s="233"/>
      <c r="E2276" s="405"/>
      <c r="F2276" s="405"/>
      <c r="G2276" s="405"/>
      <c r="H2276" s="408">
        <f>ROUND(+E2276+F2276+G2276,4)</f>
        <v>0</v>
      </c>
      <c r="I2276" s="234"/>
      <c r="J2276" s="411"/>
      <c r="K2276" s="411"/>
      <c r="L2276" s="414">
        <v>0.1</v>
      </c>
      <c r="M2276" s="414">
        <f>ROUND(+L2276*C2276,4)</f>
        <v>0</v>
      </c>
      <c r="N2276" s="414"/>
      <c r="O2276" s="414"/>
      <c r="P2276" s="414"/>
      <c r="Q2276" s="419">
        <f>ROUND(+N2276+O2276+P2276,4)</f>
        <v>0</v>
      </c>
      <c r="R2276" s="419">
        <f>ROUND(IF(+Q2276-H2276&lt;=0,0,Q2276-H2276),4)</f>
        <v>0</v>
      </c>
      <c r="S2276" s="423">
        <v>0.5</v>
      </c>
      <c r="T2276" s="419">
        <f>ROUND(+(R2276*C2276)*S2276,4)</f>
        <v>0</v>
      </c>
      <c r="U2276" s="419">
        <f>ROUND(+J2276+M2276+T2276,4)</f>
        <v>0</v>
      </c>
      <c r="V2276" s="235"/>
    </row>
    <row r="2277" spans="1:22" ht="15.75" x14ac:dyDescent="0.25">
      <c r="A2277" s="231"/>
      <c r="B2277" s="232"/>
      <c r="C2277" s="400"/>
      <c r="D2277" s="233"/>
      <c r="E2277" s="405"/>
      <c r="F2277" s="405"/>
      <c r="G2277" s="405"/>
      <c r="H2277" s="408">
        <f>ROUND(+E2277+F2277+G2277,4)</f>
        <v>0</v>
      </c>
      <c r="I2277" s="234"/>
      <c r="J2277" s="411"/>
      <c r="K2277" s="411"/>
      <c r="L2277" s="414">
        <v>0.1</v>
      </c>
      <c r="M2277" s="414">
        <f>ROUND(+L2277*C2277,4)</f>
        <v>0</v>
      </c>
      <c r="N2277" s="414"/>
      <c r="O2277" s="414"/>
      <c r="P2277" s="414"/>
      <c r="Q2277" s="419">
        <f>ROUND(+N2277+O2277+P2277,4)</f>
        <v>0</v>
      </c>
      <c r="R2277" s="419">
        <f>ROUND(IF(+Q2277-H2277&lt;=0,0,Q2277-H2277),4)</f>
        <v>0</v>
      </c>
      <c r="S2277" s="423">
        <v>0.5</v>
      </c>
      <c r="T2277" s="419">
        <f>ROUND(+(R2277*C2277)*S2277,4)</f>
        <v>0</v>
      </c>
      <c r="U2277" s="419">
        <f>ROUND(+J2277+M2277+T2277,4)</f>
        <v>0</v>
      </c>
      <c r="V2277" s="235"/>
    </row>
    <row r="2278" spans="1:22" ht="15.75" x14ac:dyDescent="0.25">
      <c r="A2278" s="231"/>
      <c r="B2278" s="232"/>
      <c r="C2278" s="400"/>
      <c r="D2278" s="233"/>
      <c r="E2278" s="405"/>
      <c r="F2278" s="405"/>
      <c r="G2278" s="405"/>
      <c r="H2278" s="408">
        <f>ROUND(+E2278+F2278+G2278,4)</f>
        <v>0</v>
      </c>
      <c r="I2278" s="234"/>
      <c r="J2278" s="411"/>
      <c r="K2278" s="411"/>
      <c r="L2278" s="414">
        <v>0.1</v>
      </c>
      <c r="M2278" s="414">
        <f>ROUND(+L2278*C2278,4)</f>
        <v>0</v>
      </c>
      <c r="N2278" s="414"/>
      <c r="O2278" s="414"/>
      <c r="P2278" s="414"/>
      <c r="Q2278" s="419">
        <f>ROUND(+N2278+O2278+P2278,4)</f>
        <v>0</v>
      </c>
      <c r="R2278" s="419">
        <f>ROUND(IF(+Q2278-H2278&lt;=0,0,Q2278-H2278),4)</f>
        <v>0</v>
      </c>
      <c r="S2278" s="423">
        <v>0.5</v>
      </c>
      <c r="T2278" s="419">
        <f>ROUND(+(R2278*C2278)*S2278,4)</f>
        <v>0</v>
      </c>
      <c r="U2278" s="419">
        <f>ROUND(+J2278+M2278+T2278,4)</f>
        <v>0</v>
      </c>
      <c r="V2278" s="235"/>
    </row>
    <row r="2279" spans="1:22" ht="15.75" x14ac:dyDescent="0.25">
      <c r="A2279" s="231"/>
      <c r="B2279" s="232"/>
      <c r="C2279" s="400"/>
      <c r="D2279" s="233"/>
      <c r="E2279" s="405"/>
      <c r="F2279" s="405"/>
      <c r="G2279" s="405"/>
      <c r="H2279" s="408">
        <f>ROUND(+E2279+F2279+G2279,4)</f>
        <v>0</v>
      </c>
      <c r="I2279" s="234"/>
      <c r="J2279" s="411"/>
      <c r="K2279" s="411"/>
      <c r="L2279" s="414">
        <v>0.1</v>
      </c>
      <c r="M2279" s="414">
        <f>ROUND(+L2279*C2279,4)</f>
        <v>0</v>
      </c>
      <c r="N2279" s="414"/>
      <c r="O2279" s="414"/>
      <c r="P2279" s="414"/>
      <c r="Q2279" s="419">
        <f>ROUND(+N2279+O2279+P2279,4)</f>
        <v>0</v>
      </c>
      <c r="R2279" s="419">
        <f>ROUND(IF(+Q2279-H2279&lt;=0,0,Q2279-H2279),4)</f>
        <v>0</v>
      </c>
      <c r="S2279" s="423">
        <v>0.5</v>
      </c>
      <c r="T2279" s="419">
        <f>ROUND(+(R2279*C2279)*S2279,4)</f>
        <v>0</v>
      </c>
      <c r="U2279" s="419">
        <f>ROUND(+J2279+M2279+T2279,4)</f>
        <v>0</v>
      </c>
      <c r="V2279" s="235"/>
    </row>
    <row r="2280" spans="1:22" ht="15.75" x14ac:dyDescent="0.25">
      <c r="A2280" s="231"/>
      <c r="B2280" s="232"/>
      <c r="C2280" s="400"/>
      <c r="D2280" s="233"/>
      <c r="E2280" s="405"/>
      <c r="F2280" s="405"/>
      <c r="G2280" s="405"/>
      <c r="H2280" s="408">
        <f>ROUND(+E2280+F2280+G2280,4)</f>
        <v>0</v>
      </c>
      <c r="I2280" s="234"/>
      <c r="J2280" s="411"/>
      <c r="K2280" s="411"/>
      <c r="L2280" s="414">
        <v>0.1</v>
      </c>
      <c r="M2280" s="414">
        <f>ROUND(+L2280*C2280,4)</f>
        <v>0</v>
      </c>
      <c r="N2280" s="414"/>
      <c r="O2280" s="414"/>
      <c r="P2280" s="414"/>
      <c r="Q2280" s="419">
        <f>ROUND(+N2280+O2280+P2280,4)</f>
        <v>0</v>
      </c>
      <c r="R2280" s="419">
        <f>ROUND(IF(+Q2280-H2280&lt;=0,0,Q2280-H2280),4)</f>
        <v>0</v>
      </c>
      <c r="S2280" s="423">
        <v>0.5</v>
      </c>
      <c r="T2280" s="419">
        <f>ROUND(+(R2280*C2280)*S2280,4)</f>
        <v>0</v>
      </c>
      <c r="U2280" s="419">
        <f>ROUND(+J2280+M2280+T2280,4)</f>
        <v>0</v>
      </c>
      <c r="V2280" s="235"/>
    </row>
    <row r="2281" spans="1:22" ht="15.75" x14ac:dyDescent="0.25">
      <c r="A2281" s="231"/>
      <c r="B2281" s="232"/>
      <c r="C2281" s="400"/>
      <c r="D2281" s="233"/>
      <c r="E2281" s="405"/>
      <c r="F2281" s="405"/>
      <c r="G2281" s="405"/>
      <c r="H2281" s="408">
        <f>ROUND(+E2281+F2281+G2281,4)</f>
        <v>0</v>
      </c>
      <c r="I2281" s="234"/>
      <c r="J2281" s="411"/>
      <c r="K2281" s="411"/>
      <c r="L2281" s="414">
        <v>0.1</v>
      </c>
      <c r="M2281" s="414">
        <f>ROUND(+L2281*C2281,4)</f>
        <v>0</v>
      </c>
      <c r="N2281" s="414"/>
      <c r="O2281" s="414"/>
      <c r="P2281" s="414"/>
      <c r="Q2281" s="419">
        <f>ROUND(+N2281+O2281+P2281,4)</f>
        <v>0</v>
      </c>
      <c r="R2281" s="419">
        <f>ROUND(IF(+Q2281-H2281&lt;=0,0,Q2281-H2281),4)</f>
        <v>0</v>
      </c>
      <c r="S2281" s="423">
        <v>0.5</v>
      </c>
      <c r="T2281" s="419">
        <f>ROUND(+(R2281*C2281)*S2281,4)</f>
        <v>0</v>
      </c>
      <c r="U2281" s="419">
        <f>ROUND(+J2281+M2281+T2281,4)</f>
        <v>0</v>
      </c>
      <c r="V2281" s="235"/>
    </row>
    <row r="2282" spans="1:22" ht="15.75" x14ac:dyDescent="0.25">
      <c r="A2282" s="231"/>
      <c r="B2282" s="232"/>
      <c r="C2282" s="400"/>
      <c r="D2282" s="233"/>
      <c r="E2282" s="405"/>
      <c r="F2282" s="405"/>
      <c r="G2282" s="405"/>
      <c r="H2282" s="408">
        <f>ROUND(+E2282+F2282+G2282,4)</f>
        <v>0</v>
      </c>
      <c r="I2282" s="234"/>
      <c r="J2282" s="411"/>
      <c r="K2282" s="411"/>
      <c r="L2282" s="414">
        <v>0.1</v>
      </c>
      <c r="M2282" s="414">
        <f>ROUND(+L2282*C2282,4)</f>
        <v>0</v>
      </c>
      <c r="N2282" s="414"/>
      <c r="O2282" s="414"/>
      <c r="P2282" s="414"/>
      <c r="Q2282" s="419">
        <f>ROUND(+N2282+O2282+P2282,4)</f>
        <v>0</v>
      </c>
      <c r="R2282" s="419">
        <f>ROUND(IF(+Q2282-H2282&lt;=0,0,Q2282-H2282),4)</f>
        <v>0</v>
      </c>
      <c r="S2282" s="423">
        <v>0.5</v>
      </c>
      <c r="T2282" s="419">
        <f>ROUND(+(R2282*C2282)*S2282,4)</f>
        <v>0</v>
      </c>
      <c r="U2282" s="419">
        <f>ROUND(+J2282+M2282+T2282,4)</f>
        <v>0</v>
      </c>
      <c r="V2282" s="235"/>
    </row>
    <row r="2283" spans="1:22" ht="15.75" x14ac:dyDescent="0.25">
      <c r="A2283" s="231"/>
      <c r="B2283" s="232"/>
      <c r="C2283" s="400"/>
      <c r="D2283" s="233"/>
      <c r="E2283" s="405"/>
      <c r="F2283" s="405"/>
      <c r="G2283" s="405"/>
      <c r="H2283" s="408">
        <f>ROUND(+E2283+F2283+G2283,4)</f>
        <v>0</v>
      </c>
      <c r="I2283" s="234"/>
      <c r="J2283" s="411"/>
      <c r="K2283" s="411"/>
      <c r="L2283" s="414">
        <v>0.1</v>
      </c>
      <c r="M2283" s="414">
        <f>ROUND(+L2283*C2283,4)</f>
        <v>0</v>
      </c>
      <c r="N2283" s="414"/>
      <c r="O2283" s="414"/>
      <c r="P2283" s="414"/>
      <c r="Q2283" s="419">
        <f>ROUND(+N2283+O2283+P2283,4)</f>
        <v>0</v>
      </c>
      <c r="R2283" s="419">
        <f>ROUND(IF(+Q2283-H2283&lt;=0,0,Q2283-H2283),4)</f>
        <v>0</v>
      </c>
      <c r="S2283" s="423">
        <v>0.5</v>
      </c>
      <c r="T2283" s="419">
        <f>ROUND(+(R2283*C2283)*S2283,4)</f>
        <v>0</v>
      </c>
      <c r="U2283" s="419">
        <f>ROUND(+J2283+M2283+T2283,4)</f>
        <v>0</v>
      </c>
      <c r="V2283" s="235"/>
    </row>
    <row r="2284" spans="1:22" ht="15.75" x14ac:dyDescent="0.25">
      <c r="A2284" s="231"/>
      <c r="B2284" s="232"/>
      <c r="C2284" s="400"/>
      <c r="D2284" s="233"/>
      <c r="E2284" s="405"/>
      <c r="F2284" s="405"/>
      <c r="G2284" s="405"/>
      <c r="H2284" s="408">
        <f>ROUND(+E2284+F2284+G2284,4)</f>
        <v>0</v>
      </c>
      <c r="I2284" s="234"/>
      <c r="J2284" s="411"/>
      <c r="K2284" s="411"/>
      <c r="L2284" s="414">
        <v>0.1</v>
      </c>
      <c r="M2284" s="414">
        <f>ROUND(+L2284*C2284,4)</f>
        <v>0</v>
      </c>
      <c r="N2284" s="414"/>
      <c r="O2284" s="414"/>
      <c r="P2284" s="414"/>
      <c r="Q2284" s="419">
        <f>ROUND(+N2284+O2284+P2284,4)</f>
        <v>0</v>
      </c>
      <c r="R2284" s="419">
        <f>ROUND(IF(+Q2284-H2284&lt;=0,0,Q2284-H2284),4)</f>
        <v>0</v>
      </c>
      <c r="S2284" s="423">
        <v>0.5</v>
      </c>
      <c r="T2284" s="419">
        <f>ROUND(+(R2284*C2284)*S2284,4)</f>
        <v>0</v>
      </c>
      <c r="U2284" s="419">
        <f>ROUND(+J2284+M2284+T2284,4)</f>
        <v>0</v>
      </c>
      <c r="V2284" s="235"/>
    </row>
    <row r="2285" spans="1:22" ht="15.75" x14ac:dyDescent="0.25">
      <c r="A2285" s="231"/>
      <c r="B2285" s="232"/>
      <c r="C2285" s="400"/>
      <c r="D2285" s="233"/>
      <c r="E2285" s="405"/>
      <c r="F2285" s="405"/>
      <c r="G2285" s="405"/>
      <c r="H2285" s="408">
        <f>ROUND(+E2285+F2285+G2285,4)</f>
        <v>0</v>
      </c>
      <c r="I2285" s="234"/>
      <c r="J2285" s="411"/>
      <c r="K2285" s="411"/>
      <c r="L2285" s="414">
        <v>0.1</v>
      </c>
      <c r="M2285" s="414">
        <f>ROUND(+L2285*C2285,4)</f>
        <v>0</v>
      </c>
      <c r="N2285" s="414"/>
      <c r="O2285" s="414"/>
      <c r="P2285" s="414"/>
      <c r="Q2285" s="419">
        <f>ROUND(+N2285+O2285+P2285,4)</f>
        <v>0</v>
      </c>
      <c r="R2285" s="419">
        <f>ROUND(IF(+Q2285-H2285&lt;=0,0,Q2285-H2285),4)</f>
        <v>0</v>
      </c>
      <c r="S2285" s="423">
        <v>0.5</v>
      </c>
      <c r="T2285" s="419">
        <f>ROUND(+(R2285*C2285)*S2285,4)</f>
        <v>0</v>
      </c>
      <c r="U2285" s="419">
        <f>ROUND(+J2285+M2285+T2285,4)</f>
        <v>0</v>
      </c>
      <c r="V2285" s="235"/>
    </row>
    <row r="2286" spans="1:22" ht="15.75" x14ac:dyDescent="0.25">
      <c r="A2286" s="231"/>
      <c r="B2286" s="232"/>
      <c r="C2286" s="400"/>
      <c r="D2286" s="233"/>
      <c r="E2286" s="405"/>
      <c r="F2286" s="405"/>
      <c r="G2286" s="405"/>
      <c r="H2286" s="408">
        <f>ROUND(+E2286+F2286+G2286,4)</f>
        <v>0</v>
      </c>
      <c r="I2286" s="234"/>
      <c r="J2286" s="411"/>
      <c r="K2286" s="411"/>
      <c r="L2286" s="414">
        <v>0.1</v>
      </c>
      <c r="M2286" s="414">
        <f>ROUND(+L2286*C2286,4)</f>
        <v>0</v>
      </c>
      <c r="N2286" s="414"/>
      <c r="O2286" s="414"/>
      <c r="P2286" s="414"/>
      <c r="Q2286" s="419">
        <f>ROUND(+N2286+O2286+P2286,4)</f>
        <v>0</v>
      </c>
      <c r="R2286" s="419">
        <f>ROUND(IF(+Q2286-H2286&lt;=0,0,Q2286-H2286),4)</f>
        <v>0</v>
      </c>
      <c r="S2286" s="423">
        <v>0.5</v>
      </c>
      <c r="T2286" s="419">
        <f>ROUND(+(R2286*C2286)*S2286,4)</f>
        <v>0</v>
      </c>
      <c r="U2286" s="419">
        <f>ROUND(+J2286+M2286+T2286,4)</f>
        <v>0</v>
      </c>
      <c r="V2286" s="235"/>
    </row>
    <row r="2287" spans="1:22" ht="15.75" x14ac:dyDescent="0.25">
      <c r="A2287" s="231"/>
      <c r="B2287" s="232"/>
      <c r="C2287" s="400"/>
      <c r="D2287" s="233"/>
      <c r="E2287" s="405"/>
      <c r="F2287" s="405"/>
      <c r="G2287" s="405"/>
      <c r="H2287" s="408">
        <f>ROUND(+E2287+F2287+G2287,4)</f>
        <v>0</v>
      </c>
      <c r="I2287" s="234"/>
      <c r="J2287" s="411"/>
      <c r="K2287" s="411"/>
      <c r="L2287" s="414">
        <v>0.1</v>
      </c>
      <c r="M2287" s="414">
        <f>ROUND(+L2287*C2287,4)</f>
        <v>0</v>
      </c>
      <c r="N2287" s="414"/>
      <c r="O2287" s="414"/>
      <c r="P2287" s="414"/>
      <c r="Q2287" s="419">
        <f>ROUND(+N2287+O2287+P2287,4)</f>
        <v>0</v>
      </c>
      <c r="R2287" s="419">
        <f>ROUND(IF(+Q2287-H2287&lt;=0,0,Q2287-H2287),4)</f>
        <v>0</v>
      </c>
      <c r="S2287" s="423">
        <v>0.5</v>
      </c>
      <c r="T2287" s="419">
        <f>ROUND(+(R2287*C2287)*S2287,4)</f>
        <v>0</v>
      </c>
      <c r="U2287" s="419">
        <f>ROUND(+J2287+M2287+T2287,4)</f>
        <v>0</v>
      </c>
      <c r="V2287" s="235"/>
    </row>
    <row r="2288" spans="1:22" ht="15.75" x14ac:dyDescent="0.25">
      <c r="A2288" s="231"/>
      <c r="B2288" s="232"/>
      <c r="C2288" s="400"/>
      <c r="D2288" s="233"/>
      <c r="E2288" s="405"/>
      <c r="F2288" s="405"/>
      <c r="G2288" s="405"/>
      <c r="H2288" s="408">
        <f>ROUND(+E2288+F2288+G2288,4)</f>
        <v>0</v>
      </c>
      <c r="I2288" s="234"/>
      <c r="J2288" s="411"/>
      <c r="K2288" s="411"/>
      <c r="L2288" s="414">
        <v>0.1</v>
      </c>
      <c r="M2288" s="414">
        <f>ROUND(+L2288*C2288,4)</f>
        <v>0</v>
      </c>
      <c r="N2288" s="414"/>
      <c r="O2288" s="414"/>
      <c r="P2288" s="414"/>
      <c r="Q2288" s="419">
        <f>ROUND(+N2288+O2288+P2288,4)</f>
        <v>0</v>
      </c>
      <c r="R2288" s="419">
        <f>ROUND(IF(+Q2288-H2288&lt;=0,0,Q2288-H2288),4)</f>
        <v>0</v>
      </c>
      <c r="S2288" s="423">
        <v>0.5</v>
      </c>
      <c r="T2288" s="419">
        <f>ROUND(+(R2288*C2288)*S2288,4)</f>
        <v>0</v>
      </c>
      <c r="U2288" s="419">
        <f>ROUND(+J2288+M2288+T2288,4)</f>
        <v>0</v>
      </c>
      <c r="V2288" s="235"/>
    </row>
    <row r="2289" spans="1:22" ht="15.75" x14ac:dyDescent="0.25">
      <c r="A2289" s="231"/>
      <c r="B2289" s="232"/>
      <c r="C2289" s="400"/>
      <c r="D2289" s="233"/>
      <c r="E2289" s="405"/>
      <c r="F2289" s="405"/>
      <c r="G2289" s="405"/>
      <c r="H2289" s="408">
        <f>ROUND(+E2289+F2289+G2289,4)</f>
        <v>0</v>
      </c>
      <c r="I2289" s="234"/>
      <c r="J2289" s="411"/>
      <c r="K2289" s="411"/>
      <c r="L2289" s="414">
        <v>0.1</v>
      </c>
      <c r="M2289" s="414">
        <f>ROUND(+L2289*C2289,4)</f>
        <v>0</v>
      </c>
      <c r="N2289" s="414"/>
      <c r="O2289" s="414"/>
      <c r="P2289" s="414"/>
      <c r="Q2289" s="419">
        <f>ROUND(+N2289+O2289+P2289,4)</f>
        <v>0</v>
      </c>
      <c r="R2289" s="419">
        <f>ROUND(IF(+Q2289-H2289&lt;=0,0,Q2289-H2289),4)</f>
        <v>0</v>
      </c>
      <c r="S2289" s="423">
        <v>0.5</v>
      </c>
      <c r="T2289" s="419">
        <f>ROUND(+(R2289*C2289)*S2289,4)</f>
        <v>0</v>
      </c>
      <c r="U2289" s="419">
        <f>ROUND(+J2289+M2289+T2289,4)</f>
        <v>0</v>
      </c>
      <c r="V2289" s="235"/>
    </row>
    <row r="2290" spans="1:22" ht="15.75" x14ac:dyDescent="0.25">
      <c r="A2290" s="231"/>
      <c r="B2290" s="232"/>
      <c r="C2290" s="400"/>
      <c r="D2290" s="233"/>
      <c r="E2290" s="405"/>
      <c r="F2290" s="405"/>
      <c r="G2290" s="405"/>
      <c r="H2290" s="408">
        <f>ROUND(+E2290+F2290+G2290,4)</f>
        <v>0</v>
      </c>
      <c r="I2290" s="234"/>
      <c r="J2290" s="411"/>
      <c r="K2290" s="411"/>
      <c r="L2290" s="414">
        <v>0.1</v>
      </c>
      <c r="M2290" s="414">
        <f>ROUND(+L2290*C2290,4)</f>
        <v>0</v>
      </c>
      <c r="N2290" s="414"/>
      <c r="O2290" s="414"/>
      <c r="P2290" s="414"/>
      <c r="Q2290" s="419">
        <f>ROUND(+N2290+O2290+P2290,4)</f>
        <v>0</v>
      </c>
      <c r="R2290" s="419">
        <f>ROUND(IF(+Q2290-H2290&lt;=0,0,Q2290-H2290),4)</f>
        <v>0</v>
      </c>
      <c r="S2290" s="423">
        <v>0.5</v>
      </c>
      <c r="T2290" s="419">
        <f>ROUND(+(R2290*C2290)*S2290,4)</f>
        <v>0</v>
      </c>
      <c r="U2290" s="419">
        <f>ROUND(+J2290+M2290+T2290,4)</f>
        <v>0</v>
      </c>
      <c r="V2290" s="235"/>
    </row>
    <row r="2291" spans="1:22" ht="15.75" x14ac:dyDescent="0.25">
      <c r="A2291" s="231"/>
      <c r="B2291" s="232"/>
      <c r="C2291" s="400"/>
      <c r="D2291" s="233"/>
      <c r="E2291" s="405"/>
      <c r="F2291" s="405"/>
      <c r="G2291" s="405"/>
      <c r="H2291" s="408">
        <f>ROUND(+E2291+F2291+G2291,4)</f>
        <v>0</v>
      </c>
      <c r="I2291" s="234"/>
      <c r="J2291" s="411"/>
      <c r="K2291" s="411"/>
      <c r="L2291" s="414">
        <v>0.1</v>
      </c>
      <c r="M2291" s="414">
        <f>ROUND(+L2291*C2291,4)</f>
        <v>0</v>
      </c>
      <c r="N2291" s="414"/>
      <c r="O2291" s="414"/>
      <c r="P2291" s="414"/>
      <c r="Q2291" s="419">
        <f>ROUND(+N2291+O2291+P2291,4)</f>
        <v>0</v>
      </c>
      <c r="R2291" s="419">
        <f>ROUND(IF(+Q2291-H2291&lt;=0,0,Q2291-H2291),4)</f>
        <v>0</v>
      </c>
      <c r="S2291" s="423">
        <v>0.5</v>
      </c>
      <c r="T2291" s="419">
        <f>ROUND(+(R2291*C2291)*S2291,4)</f>
        <v>0</v>
      </c>
      <c r="U2291" s="419">
        <f>ROUND(+J2291+M2291+T2291,4)</f>
        <v>0</v>
      </c>
      <c r="V2291" s="235"/>
    </row>
    <row r="2292" spans="1:22" ht="15.75" x14ac:dyDescent="0.25">
      <c r="A2292" s="231"/>
      <c r="B2292" s="232"/>
      <c r="C2292" s="400"/>
      <c r="D2292" s="233"/>
      <c r="E2292" s="405"/>
      <c r="F2292" s="405"/>
      <c r="G2292" s="405"/>
      <c r="H2292" s="408">
        <f>ROUND(+E2292+F2292+G2292,4)</f>
        <v>0</v>
      </c>
      <c r="I2292" s="234"/>
      <c r="J2292" s="411"/>
      <c r="K2292" s="411"/>
      <c r="L2292" s="414">
        <v>0.1</v>
      </c>
      <c r="M2292" s="414">
        <f>ROUND(+L2292*C2292,4)</f>
        <v>0</v>
      </c>
      <c r="N2292" s="414"/>
      <c r="O2292" s="414"/>
      <c r="P2292" s="414"/>
      <c r="Q2292" s="419">
        <f>ROUND(+N2292+O2292+P2292,4)</f>
        <v>0</v>
      </c>
      <c r="R2292" s="419">
        <f>ROUND(IF(+Q2292-H2292&lt;=0,0,Q2292-H2292),4)</f>
        <v>0</v>
      </c>
      <c r="S2292" s="423">
        <v>0.5</v>
      </c>
      <c r="T2292" s="419">
        <f>ROUND(+(R2292*C2292)*S2292,4)</f>
        <v>0</v>
      </c>
      <c r="U2292" s="419">
        <f>ROUND(+J2292+M2292+T2292,4)</f>
        <v>0</v>
      </c>
      <c r="V2292" s="235"/>
    </row>
    <row r="2293" spans="1:22" ht="15.75" x14ac:dyDescent="0.25">
      <c r="A2293" s="231"/>
      <c r="B2293" s="232"/>
      <c r="C2293" s="400"/>
      <c r="D2293" s="233"/>
      <c r="E2293" s="405"/>
      <c r="F2293" s="405"/>
      <c r="G2293" s="405"/>
      <c r="H2293" s="408">
        <f>ROUND(+E2293+F2293+G2293,4)</f>
        <v>0</v>
      </c>
      <c r="I2293" s="234"/>
      <c r="J2293" s="411"/>
      <c r="K2293" s="411"/>
      <c r="L2293" s="414">
        <v>0.1</v>
      </c>
      <c r="M2293" s="414">
        <f>ROUND(+L2293*C2293,4)</f>
        <v>0</v>
      </c>
      <c r="N2293" s="414"/>
      <c r="O2293" s="414"/>
      <c r="P2293" s="414"/>
      <c r="Q2293" s="419">
        <f>ROUND(+N2293+O2293+P2293,4)</f>
        <v>0</v>
      </c>
      <c r="R2293" s="419">
        <f>ROUND(IF(+Q2293-H2293&lt;=0,0,Q2293-H2293),4)</f>
        <v>0</v>
      </c>
      <c r="S2293" s="423">
        <v>0.5</v>
      </c>
      <c r="T2293" s="419">
        <f>ROUND(+(R2293*C2293)*S2293,4)</f>
        <v>0</v>
      </c>
      <c r="U2293" s="419">
        <f>ROUND(+J2293+M2293+T2293,4)</f>
        <v>0</v>
      </c>
      <c r="V2293" s="235"/>
    </row>
    <row r="2294" spans="1:22" ht="15.75" x14ac:dyDescent="0.25">
      <c r="A2294" s="231"/>
      <c r="B2294" s="232"/>
      <c r="C2294" s="400"/>
      <c r="D2294" s="233"/>
      <c r="E2294" s="405"/>
      <c r="F2294" s="405"/>
      <c r="G2294" s="405"/>
      <c r="H2294" s="408">
        <f>ROUND(+E2294+F2294+G2294,4)</f>
        <v>0</v>
      </c>
      <c r="I2294" s="234"/>
      <c r="J2294" s="411"/>
      <c r="K2294" s="411"/>
      <c r="L2294" s="414">
        <v>0.1</v>
      </c>
      <c r="M2294" s="414">
        <f>ROUND(+L2294*C2294,4)</f>
        <v>0</v>
      </c>
      <c r="N2294" s="414"/>
      <c r="O2294" s="414"/>
      <c r="P2294" s="414"/>
      <c r="Q2294" s="419">
        <f>ROUND(+N2294+O2294+P2294,4)</f>
        <v>0</v>
      </c>
      <c r="R2294" s="419">
        <f>ROUND(IF(+Q2294-H2294&lt;=0,0,Q2294-H2294),4)</f>
        <v>0</v>
      </c>
      <c r="S2294" s="423">
        <v>0.5</v>
      </c>
      <c r="T2294" s="419">
        <f>ROUND(+(R2294*C2294)*S2294,4)</f>
        <v>0</v>
      </c>
      <c r="U2294" s="419">
        <f>ROUND(+J2294+M2294+T2294,4)</f>
        <v>0</v>
      </c>
      <c r="V2294" s="235"/>
    </row>
    <row r="2295" spans="1:22" ht="15.75" x14ac:dyDescent="0.25">
      <c r="A2295" s="231"/>
      <c r="B2295" s="232"/>
      <c r="C2295" s="400"/>
      <c r="D2295" s="233"/>
      <c r="E2295" s="405"/>
      <c r="F2295" s="405"/>
      <c r="G2295" s="405"/>
      <c r="H2295" s="408">
        <f>ROUND(+E2295+F2295+G2295,4)</f>
        <v>0</v>
      </c>
      <c r="I2295" s="234"/>
      <c r="J2295" s="411"/>
      <c r="K2295" s="411"/>
      <c r="L2295" s="414">
        <v>0.1</v>
      </c>
      <c r="M2295" s="414">
        <f>ROUND(+L2295*C2295,4)</f>
        <v>0</v>
      </c>
      <c r="N2295" s="414"/>
      <c r="O2295" s="414"/>
      <c r="P2295" s="414"/>
      <c r="Q2295" s="419">
        <f>ROUND(+N2295+O2295+P2295,4)</f>
        <v>0</v>
      </c>
      <c r="R2295" s="419">
        <f>ROUND(IF(+Q2295-H2295&lt;=0,0,Q2295-H2295),4)</f>
        <v>0</v>
      </c>
      <c r="S2295" s="423">
        <v>0.5</v>
      </c>
      <c r="T2295" s="419">
        <f>ROUND(+(R2295*C2295)*S2295,4)</f>
        <v>0</v>
      </c>
      <c r="U2295" s="419">
        <f>ROUND(+J2295+M2295+T2295,4)</f>
        <v>0</v>
      </c>
      <c r="V2295" s="235"/>
    </row>
    <row r="2296" spans="1:22" ht="15.75" x14ac:dyDescent="0.25">
      <c r="A2296" s="231"/>
      <c r="B2296" s="232"/>
      <c r="C2296" s="400"/>
      <c r="D2296" s="233"/>
      <c r="E2296" s="405"/>
      <c r="F2296" s="405"/>
      <c r="G2296" s="405"/>
      <c r="H2296" s="408">
        <f>ROUND(+E2296+F2296+G2296,4)</f>
        <v>0</v>
      </c>
      <c r="I2296" s="234"/>
      <c r="J2296" s="411"/>
      <c r="K2296" s="411"/>
      <c r="L2296" s="414">
        <v>0.1</v>
      </c>
      <c r="M2296" s="414">
        <f>ROUND(+L2296*C2296,4)</f>
        <v>0</v>
      </c>
      <c r="N2296" s="414"/>
      <c r="O2296" s="414"/>
      <c r="P2296" s="414"/>
      <c r="Q2296" s="419">
        <f>ROUND(+N2296+O2296+P2296,4)</f>
        <v>0</v>
      </c>
      <c r="R2296" s="419">
        <f>ROUND(IF(+Q2296-H2296&lt;=0,0,Q2296-H2296),4)</f>
        <v>0</v>
      </c>
      <c r="S2296" s="423">
        <v>0.5</v>
      </c>
      <c r="T2296" s="419">
        <f>ROUND(+(R2296*C2296)*S2296,4)</f>
        <v>0</v>
      </c>
      <c r="U2296" s="419">
        <f>ROUND(+J2296+M2296+T2296,4)</f>
        <v>0</v>
      </c>
      <c r="V2296" s="235"/>
    </row>
    <row r="2297" spans="1:22" ht="15.75" x14ac:dyDescent="0.25">
      <c r="A2297" s="231"/>
      <c r="B2297" s="232"/>
      <c r="C2297" s="400"/>
      <c r="D2297" s="233"/>
      <c r="E2297" s="405"/>
      <c r="F2297" s="405"/>
      <c r="G2297" s="405"/>
      <c r="H2297" s="408">
        <f>ROUND(+E2297+F2297+G2297,4)</f>
        <v>0</v>
      </c>
      <c r="I2297" s="234"/>
      <c r="J2297" s="411"/>
      <c r="K2297" s="411"/>
      <c r="L2297" s="414">
        <v>0.1</v>
      </c>
      <c r="M2297" s="414">
        <f>ROUND(+L2297*C2297,4)</f>
        <v>0</v>
      </c>
      <c r="N2297" s="414"/>
      <c r="O2297" s="414"/>
      <c r="P2297" s="414"/>
      <c r="Q2297" s="419">
        <f>ROUND(+N2297+O2297+P2297,4)</f>
        <v>0</v>
      </c>
      <c r="R2297" s="419">
        <f>ROUND(IF(+Q2297-H2297&lt;=0,0,Q2297-H2297),4)</f>
        <v>0</v>
      </c>
      <c r="S2297" s="423">
        <v>0.5</v>
      </c>
      <c r="T2297" s="419">
        <f>ROUND(+(R2297*C2297)*S2297,4)</f>
        <v>0</v>
      </c>
      <c r="U2297" s="419">
        <f>ROUND(+J2297+M2297+T2297,4)</f>
        <v>0</v>
      </c>
      <c r="V2297" s="235"/>
    </row>
    <row r="2298" spans="1:22" ht="15.75" x14ac:dyDescent="0.25">
      <c r="A2298" s="231"/>
      <c r="B2298" s="232"/>
      <c r="C2298" s="400"/>
      <c r="D2298" s="233"/>
      <c r="E2298" s="405"/>
      <c r="F2298" s="405"/>
      <c r="G2298" s="405"/>
      <c r="H2298" s="408">
        <f>ROUND(+E2298+F2298+G2298,4)</f>
        <v>0</v>
      </c>
      <c r="I2298" s="234"/>
      <c r="J2298" s="411"/>
      <c r="K2298" s="411"/>
      <c r="L2298" s="414">
        <v>0.1</v>
      </c>
      <c r="M2298" s="414">
        <f>ROUND(+L2298*C2298,4)</f>
        <v>0</v>
      </c>
      <c r="N2298" s="414"/>
      <c r="O2298" s="414"/>
      <c r="P2298" s="414"/>
      <c r="Q2298" s="419">
        <f>ROUND(+N2298+O2298+P2298,4)</f>
        <v>0</v>
      </c>
      <c r="R2298" s="419">
        <f>ROUND(IF(+Q2298-H2298&lt;=0,0,Q2298-H2298),4)</f>
        <v>0</v>
      </c>
      <c r="S2298" s="423">
        <v>0.5</v>
      </c>
      <c r="T2298" s="419">
        <f>ROUND(+(R2298*C2298)*S2298,4)</f>
        <v>0</v>
      </c>
      <c r="U2298" s="419">
        <f>ROUND(+J2298+M2298+T2298,4)</f>
        <v>0</v>
      </c>
      <c r="V2298" s="235"/>
    </row>
    <row r="2299" spans="1:22" ht="15.75" x14ac:dyDescent="0.25">
      <c r="A2299" s="231"/>
      <c r="B2299" s="232"/>
      <c r="C2299" s="400"/>
      <c r="D2299" s="233"/>
      <c r="E2299" s="405"/>
      <c r="F2299" s="405"/>
      <c r="G2299" s="405"/>
      <c r="H2299" s="408">
        <f>ROUND(+E2299+F2299+G2299,4)</f>
        <v>0</v>
      </c>
      <c r="I2299" s="234"/>
      <c r="J2299" s="411"/>
      <c r="K2299" s="411"/>
      <c r="L2299" s="414">
        <v>0.1</v>
      </c>
      <c r="M2299" s="414">
        <f>ROUND(+L2299*C2299,4)</f>
        <v>0</v>
      </c>
      <c r="N2299" s="414"/>
      <c r="O2299" s="414"/>
      <c r="P2299" s="414"/>
      <c r="Q2299" s="419">
        <f>ROUND(+N2299+O2299+P2299,4)</f>
        <v>0</v>
      </c>
      <c r="R2299" s="419">
        <f>ROUND(IF(+Q2299-H2299&lt;=0,0,Q2299-H2299),4)</f>
        <v>0</v>
      </c>
      <c r="S2299" s="423">
        <v>0.5</v>
      </c>
      <c r="T2299" s="419">
        <f>ROUND(+(R2299*C2299)*S2299,4)</f>
        <v>0</v>
      </c>
      <c r="U2299" s="419">
        <f>ROUND(+J2299+M2299+T2299,4)</f>
        <v>0</v>
      </c>
      <c r="V2299" s="235"/>
    </row>
    <row r="2300" spans="1:22" ht="15.75" x14ac:dyDescent="0.25">
      <c r="A2300" s="231"/>
      <c r="B2300" s="232"/>
      <c r="C2300" s="400"/>
      <c r="D2300" s="233"/>
      <c r="E2300" s="405"/>
      <c r="F2300" s="405"/>
      <c r="G2300" s="405"/>
      <c r="H2300" s="408">
        <f>ROUND(+E2300+F2300+G2300,4)</f>
        <v>0</v>
      </c>
      <c r="I2300" s="234"/>
      <c r="J2300" s="411"/>
      <c r="K2300" s="411"/>
      <c r="L2300" s="414">
        <v>0.1</v>
      </c>
      <c r="M2300" s="414">
        <f>ROUND(+L2300*C2300,4)</f>
        <v>0</v>
      </c>
      <c r="N2300" s="414"/>
      <c r="O2300" s="414"/>
      <c r="P2300" s="414"/>
      <c r="Q2300" s="419">
        <f>ROUND(+N2300+O2300+P2300,4)</f>
        <v>0</v>
      </c>
      <c r="R2300" s="419">
        <f>ROUND(IF(+Q2300-H2300&lt;=0,0,Q2300-H2300),4)</f>
        <v>0</v>
      </c>
      <c r="S2300" s="423">
        <v>0.5</v>
      </c>
      <c r="T2300" s="419">
        <f>ROUND(+(R2300*C2300)*S2300,4)</f>
        <v>0</v>
      </c>
      <c r="U2300" s="419">
        <f>ROUND(+J2300+M2300+T2300,4)</f>
        <v>0</v>
      </c>
      <c r="V2300" s="235"/>
    </row>
    <row r="2301" spans="1:22" ht="15.75" x14ac:dyDescent="0.25">
      <c r="A2301" s="231"/>
      <c r="B2301" s="232"/>
      <c r="C2301" s="400"/>
      <c r="D2301" s="233"/>
      <c r="E2301" s="405"/>
      <c r="F2301" s="405"/>
      <c r="G2301" s="405"/>
      <c r="H2301" s="408">
        <f>ROUND(+E2301+F2301+G2301,4)</f>
        <v>0</v>
      </c>
      <c r="I2301" s="234"/>
      <c r="J2301" s="411"/>
      <c r="K2301" s="411"/>
      <c r="L2301" s="414">
        <v>0.1</v>
      </c>
      <c r="M2301" s="414">
        <f>ROUND(+L2301*C2301,4)</f>
        <v>0</v>
      </c>
      <c r="N2301" s="414"/>
      <c r="O2301" s="414"/>
      <c r="P2301" s="414"/>
      <c r="Q2301" s="419">
        <f>ROUND(+N2301+O2301+P2301,4)</f>
        <v>0</v>
      </c>
      <c r="R2301" s="419">
        <f>ROUND(IF(+Q2301-H2301&lt;=0,0,Q2301-H2301),4)</f>
        <v>0</v>
      </c>
      <c r="S2301" s="423">
        <v>0.5</v>
      </c>
      <c r="T2301" s="419">
        <f>ROUND(+(R2301*C2301)*S2301,4)</f>
        <v>0</v>
      </c>
      <c r="U2301" s="419">
        <f>ROUND(+J2301+M2301+T2301,4)</f>
        <v>0</v>
      </c>
      <c r="V2301" s="235"/>
    </row>
    <row r="2302" spans="1:22" ht="15.75" x14ac:dyDescent="0.25">
      <c r="A2302" s="231"/>
      <c r="B2302" s="232"/>
      <c r="C2302" s="400"/>
      <c r="D2302" s="233"/>
      <c r="E2302" s="405"/>
      <c r="F2302" s="405"/>
      <c r="G2302" s="405"/>
      <c r="H2302" s="408">
        <f>ROUND(+E2302+F2302+G2302,4)</f>
        <v>0</v>
      </c>
      <c r="I2302" s="234"/>
      <c r="J2302" s="411"/>
      <c r="K2302" s="411"/>
      <c r="L2302" s="414">
        <v>0.1</v>
      </c>
      <c r="M2302" s="414">
        <f>ROUND(+L2302*C2302,4)</f>
        <v>0</v>
      </c>
      <c r="N2302" s="414"/>
      <c r="O2302" s="414"/>
      <c r="P2302" s="414"/>
      <c r="Q2302" s="419">
        <f>ROUND(+N2302+O2302+P2302,4)</f>
        <v>0</v>
      </c>
      <c r="R2302" s="419">
        <f>ROUND(IF(+Q2302-H2302&lt;=0,0,Q2302-H2302),4)</f>
        <v>0</v>
      </c>
      <c r="S2302" s="423">
        <v>0.5</v>
      </c>
      <c r="T2302" s="419">
        <f>ROUND(+(R2302*C2302)*S2302,4)</f>
        <v>0</v>
      </c>
      <c r="U2302" s="419">
        <f>ROUND(+J2302+M2302+T2302,4)</f>
        <v>0</v>
      </c>
      <c r="V2302" s="235"/>
    </row>
    <row r="2303" spans="1:22" ht="15.75" x14ac:dyDescent="0.25">
      <c r="A2303" s="231"/>
      <c r="B2303" s="232"/>
      <c r="C2303" s="400"/>
      <c r="D2303" s="233"/>
      <c r="E2303" s="405"/>
      <c r="F2303" s="405"/>
      <c r="G2303" s="405"/>
      <c r="H2303" s="408">
        <f>ROUND(+E2303+F2303+G2303,4)</f>
        <v>0</v>
      </c>
      <c r="I2303" s="234"/>
      <c r="J2303" s="411"/>
      <c r="K2303" s="411"/>
      <c r="L2303" s="414">
        <v>0.1</v>
      </c>
      <c r="M2303" s="414">
        <f>ROUND(+L2303*C2303,4)</f>
        <v>0</v>
      </c>
      <c r="N2303" s="414"/>
      <c r="O2303" s="414"/>
      <c r="P2303" s="414"/>
      <c r="Q2303" s="419">
        <f>ROUND(+N2303+O2303+P2303,4)</f>
        <v>0</v>
      </c>
      <c r="R2303" s="419">
        <f>ROUND(IF(+Q2303-H2303&lt;=0,0,Q2303-H2303),4)</f>
        <v>0</v>
      </c>
      <c r="S2303" s="423">
        <v>0.5</v>
      </c>
      <c r="T2303" s="419">
        <f>ROUND(+(R2303*C2303)*S2303,4)</f>
        <v>0</v>
      </c>
      <c r="U2303" s="419">
        <f>ROUND(+J2303+M2303+T2303,4)</f>
        <v>0</v>
      </c>
      <c r="V2303" s="235"/>
    </row>
    <row r="2304" spans="1:22" ht="15.75" x14ac:dyDescent="0.25">
      <c r="A2304" s="231"/>
      <c r="B2304" s="232"/>
      <c r="C2304" s="400"/>
      <c r="D2304" s="233"/>
      <c r="E2304" s="405"/>
      <c r="F2304" s="405"/>
      <c r="G2304" s="405"/>
      <c r="H2304" s="408">
        <f>ROUND(+E2304+F2304+G2304,4)</f>
        <v>0</v>
      </c>
      <c r="I2304" s="234"/>
      <c r="J2304" s="411"/>
      <c r="K2304" s="411"/>
      <c r="L2304" s="414">
        <v>0.1</v>
      </c>
      <c r="M2304" s="414">
        <f>ROUND(+L2304*C2304,4)</f>
        <v>0</v>
      </c>
      <c r="N2304" s="414"/>
      <c r="O2304" s="414"/>
      <c r="P2304" s="414"/>
      <c r="Q2304" s="419">
        <f>ROUND(+N2304+O2304+P2304,4)</f>
        <v>0</v>
      </c>
      <c r="R2304" s="419">
        <f>ROUND(IF(+Q2304-H2304&lt;=0,0,Q2304-H2304),4)</f>
        <v>0</v>
      </c>
      <c r="S2304" s="423">
        <v>0.5</v>
      </c>
      <c r="T2304" s="419">
        <f>ROUND(+(R2304*C2304)*S2304,4)</f>
        <v>0</v>
      </c>
      <c r="U2304" s="419">
        <f>ROUND(+J2304+M2304+T2304,4)</f>
        <v>0</v>
      </c>
      <c r="V2304" s="235"/>
    </row>
    <row r="2305" spans="1:22" ht="15.75" x14ac:dyDescent="0.25">
      <c r="A2305" s="231"/>
      <c r="B2305" s="232"/>
      <c r="C2305" s="400"/>
      <c r="D2305" s="233"/>
      <c r="E2305" s="405"/>
      <c r="F2305" s="405"/>
      <c r="G2305" s="405"/>
      <c r="H2305" s="408">
        <f>ROUND(+E2305+F2305+G2305,4)</f>
        <v>0</v>
      </c>
      <c r="I2305" s="234"/>
      <c r="J2305" s="411"/>
      <c r="K2305" s="411"/>
      <c r="L2305" s="414">
        <v>0.1</v>
      </c>
      <c r="M2305" s="414">
        <f>ROUND(+L2305*C2305,4)</f>
        <v>0</v>
      </c>
      <c r="N2305" s="414"/>
      <c r="O2305" s="414"/>
      <c r="P2305" s="414"/>
      <c r="Q2305" s="419">
        <f>ROUND(+N2305+O2305+P2305,4)</f>
        <v>0</v>
      </c>
      <c r="R2305" s="419">
        <f>ROUND(IF(+Q2305-H2305&lt;=0,0,Q2305-H2305),4)</f>
        <v>0</v>
      </c>
      <c r="S2305" s="423">
        <v>0.5</v>
      </c>
      <c r="T2305" s="419">
        <f>ROUND(+(R2305*C2305)*S2305,4)</f>
        <v>0</v>
      </c>
      <c r="U2305" s="419">
        <f>ROUND(+J2305+M2305+T2305,4)</f>
        <v>0</v>
      </c>
      <c r="V2305" s="235"/>
    </row>
    <row r="2306" spans="1:22" ht="15.75" x14ac:dyDescent="0.25">
      <c r="A2306" s="231"/>
      <c r="B2306" s="232"/>
      <c r="C2306" s="400"/>
      <c r="D2306" s="233"/>
      <c r="E2306" s="405"/>
      <c r="F2306" s="405"/>
      <c r="G2306" s="405"/>
      <c r="H2306" s="408">
        <f>ROUND(+E2306+F2306+G2306,4)</f>
        <v>0</v>
      </c>
      <c r="I2306" s="234"/>
      <c r="J2306" s="411"/>
      <c r="K2306" s="411"/>
      <c r="L2306" s="414">
        <v>0.1</v>
      </c>
      <c r="M2306" s="414">
        <f>ROUND(+L2306*C2306,4)</f>
        <v>0</v>
      </c>
      <c r="N2306" s="414"/>
      <c r="O2306" s="414"/>
      <c r="P2306" s="414"/>
      <c r="Q2306" s="419">
        <f>ROUND(+N2306+O2306+P2306,4)</f>
        <v>0</v>
      </c>
      <c r="R2306" s="419">
        <f>ROUND(IF(+Q2306-H2306&lt;=0,0,Q2306-H2306),4)</f>
        <v>0</v>
      </c>
      <c r="S2306" s="423">
        <v>0.5</v>
      </c>
      <c r="T2306" s="419">
        <f>ROUND(+(R2306*C2306)*S2306,4)</f>
        <v>0</v>
      </c>
      <c r="U2306" s="419">
        <f>ROUND(+J2306+M2306+T2306,4)</f>
        <v>0</v>
      </c>
      <c r="V2306" s="235"/>
    </row>
    <row r="2307" spans="1:22" ht="15.75" x14ac:dyDescent="0.25">
      <c r="A2307" s="231"/>
      <c r="B2307" s="232"/>
      <c r="C2307" s="400"/>
      <c r="D2307" s="233"/>
      <c r="E2307" s="405"/>
      <c r="F2307" s="405"/>
      <c r="G2307" s="405"/>
      <c r="H2307" s="408">
        <f>ROUND(+E2307+F2307+G2307,4)</f>
        <v>0</v>
      </c>
      <c r="I2307" s="234"/>
      <c r="J2307" s="411"/>
      <c r="K2307" s="411"/>
      <c r="L2307" s="414">
        <v>0.1</v>
      </c>
      <c r="M2307" s="414">
        <f>ROUND(+L2307*C2307,4)</f>
        <v>0</v>
      </c>
      <c r="N2307" s="414"/>
      <c r="O2307" s="414"/>
      <c r="P2307" s="414"/>
      <c r="Q2307" s="419">
        <f>ROUND(+N2307+O2307+P2307,4)</f>
        <v>0</v>
      </c>
      <c r="R2307" s="419">
        <f>ROUND(IF(+Q2307-H2307&lt;=0,0,Q2307-H2307),4)</f>
        <v>0</v>
      </c>
      <c r="S2307" s="423">
        <v>0.5</v>
      </c>
      <c r="T2307" s="419">
        <f>ROUND(+(R2307*C2307)*S2307,4)</f>
        <v>0</v>
      </c>
      <c r="U2307" s="419">
        <f>ROUND(+J2307+M2307+T2307,4)</f>
        <v>0</v>
      </c>
      <c r="V2307" s="235"/>
    </row>
    <row r="2308" spans="1:22" ht="15.75" x14ac:dyDescent="0.25">
      <c r="A2308" s="231"/>
      <c r="B2308" s="232"/>
      <c r="C2308" s="400"/>
      <c r="D2308" s="233"/>
      <c r="E2308" s="405"/>
      <c r="F2308" s="405"/>
      <c r="G2308" s="405"/>
      <c r="H2308" s="408">
        <f>ROUND(+E2308+F2308+G2308,4)</f>
        <v>0</v>
      </c>
      <c r="I2308" s="234"/>
      <c r="J2308" s="411"/>
      <c r="K2308" s="411"/>
      <c r="L2308" s="414">
        <v>0.1</v>
      </c>
      <c r="M2308" s="414">
        <f>ROUND(+L2308*C2308,4)</f>
        <v>0</v>
      </c>
      <c r="N2308" s="414"/>
      <c r="O2308" s="414"/>
      <c r="P2308" s="414"/>
      <c r="Q2308" s="419">
        <f>ROUND(+N2308+O2308+P2308,4)</f>
        <v>0</v>
      </c>
      <c r="R2308" s="419">
        <f>ROUND(IF(+Q2308-H2308&lt;=0,0,Q2308-H2308),4)</f>
        <v>0</v>
      </c>
      <c r="S2308" s="423">
        <v>0.5</v>
      </c>
      <c r="T2308" s="419">
        <f>ROUND(+(R2308*C2308)*S2308,4)</f>
        <v>0</v>
      </c>
      <c r="U2308" s="419">
        <f>ROUND(+J2308+M2308+T2308,4)</f>
        <v>0</v>
      </c>
      <c r="V2308" s="235"/>
    </row>
    <row r="2309" spans="1:22" ht="15.75" x14ac:dyDescent="0.25">
      <c r="A2309" s="231"/>
      <c r="B2309" s="232"/>
      <c r="C2309" s="400"/>
      <c r="D2309" s="233"/>
      <c r="E2309" s="405"/>
      <c r="F2309" s="405"/>
      <c r="G2309" s="405"/>
      <c r="H2309" s="408">
        <f>ROUND(+E2309+F2309+G2309,4)</f>
        <v>0</v>
      </c>
      <c r="I2309" s="234"/>
      <c r="J2309" s="411"/>
      <c r="K2309" s="411"/>
      <c r="L2309" s="414">
        <v>0.1</v>
      </c>
      <c r="M2309" s="414">
        <f>ROUND(+L2309*C2309,4)</f>
        <v>0</v>
      </c>
      <c r="N2309" s="414"/>
      <c r="O2309" s="414"/>
      <c r="P2309" s="414"/>
      <c r="Q2309" s="419">
        <f>ROUND(+N2309+O2309+P2309,4)</f>
        <v>0</v>
      </c>
      <c r="R2309" s="419">
        <f>ROUND(IF(+Q2309-H2309&lt;=0,0,Q2309-H2309),4)</f>
        <v>0</v>
      </c>
      <c r="S2309" s="423">
        <v>0.5</v>
      </c>
      <c r="T2309" s="419">
        <f>ROUND(+(R2309*C2309)*S2309,4)</f>
        <v>0</v>
      </c>
      <c r="U2309" s="419">
        <f>ROUND(+J2309+M2309+T2309,4)</f>
        <v>0</v>
      </c>
      <c r="V2309" s="235"/>
    </row>
    <row r="2310" spans="1:22" ht="15.75" x14ac:dyDescent="0.25">
      <c r="A2310" s="231"/>
      <c r="B2310" s="232"/>
      <c r="C2310" s="400"/>
      <c r="D2310" s="233"/>
      <c r="E2310" s="405"/>
      <c r="F2310" s="405"/>
      <c r="G2310" s="405"/>
      <c r="H2310" s="408">
        <f>ROUND(+E2310+F2310+G2310,4)</f>
        <v>0</v>
      </c>
      <c r="I2310" s="234"/>
      <c r="J2310" s="411"/>
      <c r="K2310" s="411"/>
      <c r="L2310" s="414">
        <v>0.1</v>
      </c>
      <c r="M2310" s="414">
        <f>ROUND(+L2310*C2310,4)</f>
        <v>0</v>
      </c>
      <c r="N2310" s="414"/>
      <c r="O2310" s="414"/>
      <c r="P2310" s="414"/>
      <c r="Q2310" s="419">
        <f>ROUND(+N2310+O2310+P2310,4)</f>
        <v>0</v>
      </c>
      <c r="R2310" s="419">
        <f>ROUND(IF(+Q2310-H2310&lt;=0,0,Q2310-H2310),4)</f>
        <v>0</v>
      </c>
      <c r="S2310" s="423">
        <v>0.5</v>
      </c>
      <c r="T2310" s="419">
        <f>ROUND(+(R2310*C2310)*S2310,4)</f>
        <v>0</v>
      </c>
      <c r="U2310" s="419">
        <f>ROUND(+J2310+M2310+T2310,4)</f>
        <v>0</v>
      </c>
      <c r="V2310" s="235"/>
    </row>
    <row r="2311" spans="1:22" ht="15.75" x14ac:dyDescent="0.25">
      <c r="A2311" s="231"/>
      <c r="B2311" s="232"/>
      <c r="C2311" s="400"/>
      <c r="D2311" s="233"/>
      <c r="E2311" s="405"/>
      <c r="F2311" s="405"/>
      <c r="G2311" s="405"/>
      <c r="H2311" s="408">
        <f>ROUND(+E2311+F2311+G2311,4)</f>
        <v>0</v>
      </c>
      <c r="I2311" s="234"/>
      <c r="J2311" s="411"/>
      <c r="K2311" s="411"/>
      <c r="L2311" s="414">
        <v>0.1</v>
      </c>
      <c r="M2311" s="414">
        <f>ROUND(+L2311*C2311,4)</f>
        <v>0</v>
      </c>
      <c r="N2311" s="414"/>
      <c r="O2311" s="414"/>
      <c r="P2311" s="414"/>
      <c r="Q2311" s="419">
        <f>ROUND(+N2311+O2311+P2311,4)</f>
        <v>0</v>
      </c>
      <c r="R2311" s="419">
        <f>ROUND(IF(+Q2311-H2311&lt;=0,0,Q2311-H2311),4)</f>
        <v>0</v>
      </c>
      <c r="S2311" s="423">
        <v>0.5</v>
      </c>
      <c r="T2311" s="419">
        <f>ROUND(+(R2311*C2311)*S2311,4)</f>
        <v>0</v>
      </c>
      <c r="U2311" s="419">
        <f>ROUND(+J2311+M2311+T2311,4)</f>
        <v>0</v>
      </c>
      <c r="V2311" s="235"/>
    </row>
    <row r="2312" spans="1:22" ht="15.75" x14ac:dyDescent="0.25">
      <c r="A2312" s="231"/>
      <c r="B2312" s="232"/>
      <c r="C2312" s="400"/>
      <c r="D2312" s="233"/>
      <c r="E2312" s="405"/>
      <c r="F2312" s="405"/>
      <c r="G2312" s="405"/>
      <c r="H2312" s="408">
        <f>ROUND(+E2312+F2312+G2312,4)</f>
        <v>0</v>
      </c>
      <c r="I2312" s="234"/>
      <c r="J2312" s="411"/>
      <c r="K2312" s="411"/>
      <c r="L2312" s="414">
        <v>0.1</v>
      </c>
      <c r="M2312" s="414">
        <f>ROUND(+L2312*C2312,4)</f>
        <v>0</v>
      </c>
      <c r="N2312" s="414"/>
      <c r="O2312" s="414"/>
      <c r="P2312" s="414"/>
      <c r="Q2312" s="419">
        <f>ROUND(+N2312+O2312+P2312,4)</f>
        <v>0</v>
      </c>
      <c r="R2312" s="419">
        <f>ROUND(IF(+Q2312-H2312&lt;=0,0,Q2312-H2312),4)</f>
        <v>0</v>
      </c>
      <c r="S2312" s="423">
        <v>0.5</v>
      </c>
      <c r="T2312" s="419">
        <f>ROUND(+(R2312*C2312)*S2312,4)</f>
        <v>0</v>
      </c>
      <c r="U2312" s="419">
        <f>ROUND(+J2312+M2312+T2312,4)</f>
        <v>0</v>
      </c>
      <c r="V2312" s="235"/>
    </row>
    <row r="2313" spans="1:22" ht="15.75" x14ac:dyDescent="0.25">
      <c r="A2313" s="231"/>
      <c r="B2313" s="232"/>
      <c r="C2313" s="400"/>
      <c r="D2313" s="233"/>
      <c r="E2313" s="405"/>
      <c r="F2313" s="405"/>
      <c r="G2313" s="405"/>
      <c r="H2313" s="408">
        <f>ROUND(+E2313+F2313+G2313,4)</f>
        <v>0</v>
      </c>
      <c r="I2313" s="234"/>
      <c r="J2313" s="411"/>
      <c r="K2313" s="411"/>
      <c r="L2313" s="414">
        <v>0.1</v>
      </c>
      <c r="M2313" s="414">
        <f>ROUND(+L2313*C2313,4)</f>
        <v>0</v>
      </c>
      <c r="N2313" s="414"/>
      <c r="O2313" s="414"/>
      <c r="P2313" s="414"/>
      <c r="Q2313" s="419">
        <f>ROUND(+N2313+O2313+P2313,4)</f>
        <v>0</v>
      </c>
      <c r="R2313" s="419">
        <f>ROUND(IF(+Q2313-H2313&lt;=0,0,Q2313-H2313),4)</f>
        <v>0</v>
      </c>
      <c r="S2313" s="423">
        <v>0.5</v>
      </c>
      <c r="T2313" s="419">
        <f>ROUND(+(R2313*C2313)*S2313,4)</f>
        <v>0</v>
      </c>
      <c r="U2313" s="419">
        <f>ROUND(+J2313+M2313+T2313,4)</f>
        <v>0</v>
      </c>
      <c r="V2313" s="235"/>
    </row>
    <row r="2314" spans="1:22" ht="15.75" x14ac:dyDescent="0.25">
      <c r="A2314" s="231"/>
      <c r="B2314" s="232"/>
      <c r="C2314" s="400"/>
      <c r="D2314" s="233"/>
      <c r="E2314" s="405"/>
      <c r="F2314" s="405"/>
      <c r="G2314" s="405"/>
      <c r="H2314" s="408">
        <f>ROUND(+E2314+F2314+G2314,4)</f>
        <v>0</v>
      </c>
      <c r="I2314" s="234"/>
      <c r="J2314" s="411"/>
      <c r="K2314" s="411"/>
      <c r="L2314" s="414">
        <v>0.1</v>
      </c>
      <c r="M2314" s="414">
        <f>ROUND(+L2314*C2314,4)</f>
        <v>0</v>
      </c>
      <c r="N2314" s="414"/>
      <c r="O2314" s="414"/>
      <c r="P2314" s="414"/>
      <c r="Q2314" s="419">
        <f>ROUND(+N2314+O2314+P2314,4)</f>
        <v>0</v>
      </c>
      <c r="R2314" s="419">
        <f>ROUND(IF(+Q2314-H2314&lt;=0,0,Q2314-H2314),4)</f>
        <v>0</v>
      </c>
      <c r="S2314" s="423">
        <v>0.5</v>
      </c>
      <c r="T2314" s="419">
        <f>ROUND(+(R2314*C2314)*S2314,4)</f>
        <v>0</v>
      </c>
      <c r="U2314" s="419">
        <f>ROUND(+J2314+M2314+T2314,4)</f>
        <v>0</v>
      </c>
      <c r="V2314" s="235"/>
    </row>
    <row r="2315" spans="1:22" ht="15.75" x14ac:dyDescent="0.25">
      <c r="A2315" s="231"/>
      <c r="B2315" s="232"/>
      <c r="C2315" s="400"/>
      <c r="D2315" s="233"/>
      <c r="E2315" s="405"/>
      <c r="F2315" s="405"/>
      <c r="G2315" s="405"/>
      <c r="H2315" s="408">
        <f>ROUND(+E2315+F2315+G2315,4)</f>
        <v>0</v>
      </c>
      <c r="I2315" s="234"/>
      <c r="J2315" s="411"/>
      <c r="K2315" s="411"/>
      <c r="L2315" s="414">
        <v>0.1</v>
      </c>
      <c r="M2315" s="414">
        <f>ROUND(+L2315*C2315,4)</f>
        <v>0</v>
      </c>
      <c r="N2315" s="414"/>
      <c r="O2315" s="414"/>
      <c r="P2315" s="414"/>
      <c r="Q2315" s="419">
        <f>ROUND(+N2315+O2315+P2315,4)</f>
        <v>0</v>
      </c>
      <c r="R2315" s="419">
        <f>ROUND(IF(+Q2315-H2315&lt;=0,0,Q2315-H2315),4)</f>
        <v>0</v>
      </c>
      <c r="S2315" s="423">
        <v>0.5</v>
      </c>
      <c r="T2315" s="419">
        <f>ROUND(+(R2315*C2315)*S2315,4)</f>
        <v>0</v>
      </c>
      <c r="U2315" s="419">
        <f>ROUND(+J2315+M2315+T2315,4)</f>
        <v>0</v>
      </c>
      <c r="V2315" s="235"/>
    </row>
    <row r="2316" spans="1:22" ht="15.75" x14ac:dyDescent="0.25">
      <c r="A2316" s="231"/>
      <c r="B2316" s="232"/>
      <c r="C2316" s="400"/>
      <c r="D2316" s="233"/>
      <c r="E2316" s="405"/>
      <c r="F2316" s="405"/>
      <c r="G2316" s="405"/>
      <c r="H2316" s="408">
        <f>ROUND(+E2316+F2316+G2316,4)</f>
        <v>0</v>
      </c>
      <c r="I2316" s="234"/>
      <c r="J2316" s="411"/>
      <c r="K2316" s="411"/>
      <c r="L2316" s="414">
        <v>0.1</v>
      </c>
      <c r="M2316" s="414">
        <f>ROUND(+L2316*C2316,4)</f>
        <v>0</v>
      </c>
      <c r="N2316" s="414"/>
      <c r="O2316" s="414"/>
      <c r="P2316" s="414"/>
      <c r="Q2316" s="419">
        <f>ROUND(+N2316+O2316+P2316,4)</f>
        <v>0</v>
      </c>
      <c r="R2316" s="419">
        <f>ROUND(IF(+Q2316-H2316&lt;=0,0,Q2316-H2316),4)</f>
        <v>0</v>
      </c>
      <c r="S2316" s="423">
        <v>0.5</v>
      </c>
      <c r="T2316" s="419">
        <f>ROUND(+(R2316*C2316)*S2316,4)</f>
        <v>0</v>
      </c>
      <c r="U2316" s="419">
        <f>ROUND(+J2316+M2316+T2316,4)</f>
        <v>0</v>
      </c>
      <c r="V2316" s="235"/>
    </row>
    <row r="2317" spans="1:22" ht="15.75" x14ac:dyDescent="0.25">
      <c r="A2317" s="231"/>
      <c r="B2317" s="232"/>
      <c r="C2317" s="400"/>
      <c r="D2317" s="233"/>
      <c r="E2317" s="405"/>
      <c r="F2317" s="405"/>
      <c r="G2317" s="405"/>
      <c r="H2317" s="408">
        <f>ROUND(+E2317+F2317+G2317,4)</f>
        <v>0</v>
      </c>
      <c r="I2317" s="234"/>
      <c r="J2317" s="411"/>
      <c r="K2317" s="411"/>
      <c r="L2317" s="414">
        <v>0.1</v>
      </c>
      <c r="M2317" s="414">
        <f>ROUND(+L2317*C2317,4)</f>
        <v>0</v>
      </c>
      <c r="N2317" s="414"/>
      <c r="O2317" s="414"/>
      <c r="P2317" s="414"/>
      <c r="Q2317" s="419">
        <f>ROUND(+N2317+O2317+P2317,4)</f>
        <v>0</v>
      </c>
      <c r="R2317" s="419">
        <f>ROUND(IF(+Q2317-H2317&lt;=0,0,Q2317-H2317),4)</f>
        <v>0</v>
      </c>
      <c r="S2317" s="423">
        <v>0.5</v>
      </c>
      <c r="T2317" s="419">
        <f>ROUND(+(R2317*C2317)*S2317,4)</f>
        <v>0</v>
      </c>
      <c r="U2317" s="419">
        <f>ROUND(+J2317+M2317+T2317,4)</f>
        <v>0</v>
      </c>
      <c r="V2317" s="235"/>
    </row>
    <row r="2318" spans="1:22" ht="15.75" x14ac:dyDescent="0.25">
      <c r="A2318" s="231"/>
      <c r="B2318" s="232"/>
      <c r="C2318" s="400"/>
      <c r="D2318" s="233"/>
      <c r="E2318" s="405"/>
      <c r="F2318" s="405"/>
      <c r="G2318" s="405"/>
      <c r="H2318" s="408">
        <f>ROUND(+E2318+F2318+G2318,4)</f>
        <v>0</v>
      </c>
      <c r="I2318" s="234"/>
      <c r="J2318" s="411"/>
      <c r="K2318" s="411"/>
      <c r="L2318" s="414">
        <v>0.1</v>
      </c>
      <c r="M2318" s="414">
        <f>ROUND(+L2318*C2318,4)</f>
        <v>0</v>
      </c>
      <c r="N2318" s="414"/>
      <c r="O2318" s="414"/>
      <c r="P2318" s="414"/>
      <c r="Q2318" s="419">
        <f>ROUND(+N2318+O2318+P2318,4)</f>
        <v>0</v>
      </c>
      <c r="R2318" s="419">
        <f>ROUND(IF(+Q2318-H2318&lt;=0,0,Q2318-H2318),4)</f>
        <v>0</v>
      </c>
      <c r="S2318" s="423">
        <v>0.5</v>
      </c>
      <c r="T2318" s="419">
        <f>ROUND(+(R2318*C2318)*S2318,4)</f>
        <v>0</v>
      </c>
      <c r="U2318" s="419">
        <f>ROUND(+J2318+M2318+T2318,4)</f>
        <v>0</v>
      </c>
      <c r="V2318" s="235"/>
    </row>
    <row r="2319" spans="1:22" ht="15.75" x14ac:dyDescent="0.25">
      <c r="A2319" s="231"/>
      <c r="B2319" s="232"/>
      <c r="C2319" s="400"/>
      <c r="D2319" s="233"/>
      <c r="E2319" s="405"/>
      <c r="F2319" s="405"/>
      <c r="G2319" s="405"/>
      <c r="H2319" s="408">
        <f>ROUND(+E2319+F2319+G2319,4)</f>
        <v>0</v>
      </c>
      <c r="I2319" s="234"/>
      <c r="J2319" s="411"/>
      <c r="K2319" s="411"/>
      <c r="L2319" s="414">
        <v>0.1</v>
      </c>
      <c r="M2319" s="414">
        <f>ROUND(+L2319*C2319,4)</f>
        <v>0</v>
      </c>
      <c r="N2319" s="414"/>
      <c r="O2319" s="414"/>
      <c r="P2319" s="414"/>
      <c r="Q2319" s="419">
        <f>ROUND(+N2319+O2319+P2319,4)</f>
        <v>0</v>
      </c>
      <c r="R2319" s="419">
        <f>ROUND(IF(+Q2319-H2319&lt;=0,0,Q2319-H2319),4)</f>
        <v>0</v>
      </c>
      <c r="S2319" s="423">
        <v>0.5</v>
      </c>
      <c r="T2319" s="419">
        <f>ROUND(+(R2319*C2319)*S2319,4)</f>
        <v>0</v>
      </c>
      <c r="U2319" s="419">
        <f>ROUND(+J2319+M2319+T2319,4)</f>
        <v>0</v>
      </c>
      <c r="V2319" s="235"/>
    </row>
    <row r="2320" spans="1:22" ht="15.75" x14ac:dyDescent="0.25">
      <c r="A2320" s="231"/>
      <c r="B2320" s="232"/>
      <c r="C2320" s="400"/>
      <c r="D2320" s="233"/>
      <c r="E2320" s="405"/>
      <c r="F2320" s="405"/>
      <c r="G2320" s="405"/>
      <c r="H2320" s="408">
        <f>ROUND(+E2320+F2320+G2320,4)</f>
        <v>0</v>
      </c>
      <c r="I2320" s="234"/>
      <c r="J2320" s="411"/>
      <c r="K2320" s="411"/>
      <c r="L2320" s="414">
        <v>0.1</v>
      </c>
      <c r="M2320" s="414">
        <f>ROUND(+L2320*C2320,4)</f>
        <v>0</v>
      </c>
      <c r="N2320" s="414"/>
      <c r="O2320" s="414"/>
      <c r="P2320" s="414"/>
      <c r="Q2320" s="419">
        <f>ROUND(+N2320+O2320+P2320,4)</f>
        <v>0</v>
      </c>
      <c r="R2320" s="419">
        <f>ROUND(IF(+Q2320-H2320&lt;=0,0,Q2320-H2320),4)</f>
        <v>0</v>
      </c>
      <c r="S2320" s="423">
        <v>0.5</v>
      </c>
      <c r="T2320" s="419">
        <f>ROUND(+(R2320*C2320)*S2320,4)</f>
        <v>0</v>
      </c>
      <c r="U2320" s="419">
        <f>ROUND(+J2320+M2320+T2320,4)</f>
        <v>0</v>
      </c>
      <c r="V2320" s="235"/>
    </row>
    <row r="2321" spans="1:22" ht="15.75" x14ac:dyDescent="0.25">
      <c r="A2321" s="231"/>
      <c r="B2321" s="232"/>
      <c r="C2321" s="400"/>
      <c r="D2321" s="233"/>
      <c r="E2321" s="405"/>
      <c r="F2321" s="405"/>
      <c r="G2321" s="405"/>
      <c r="H2321" s="408">
        <f>ROUND(+E2321+F2321+G2321,4)</f>
        <v>0</v>
      </c>
      <c r="I2321" s="234"/>
      <c r="J2321" s="411"/>
      <c r="K2321" s="411"/>
      <c r="L2321" s="414">
        <v>0.1</v>
      </c>
      <c r="M2321" s="414">
        <f>ROUND(+L2321*C2321,4)</f>
        <v>0</v>
      </c>
      <c r="N2321" s="414"/>
      <c r="O2321" s="414"/>
      <c r="P2321" s="414"/>
      <c r="Q2321" s="419">
        <f>ROUND(+N2321+O2321+P2321,4)</f>
        <v>0</v>
      </c>
      <c r="R2321" s="419">
        <f>ROUND(IF(+Q2321-H2321&lt;=0,0,Q2321-H2321),4)</f>
        <v>0</v>
      </c>
      <c r="S2321" s="423">
        <v>0.5</v>
      </c>
      <c r="T2321" s="419">
        <f>ROUND(+(R2321*C2321)*S2321,4)</f>
        <v>0</v>
      </c>
      <c r="U2321" s="419">
        <f>ROUND(+J2321+M2321+T2321,4)</f>
        <v>0</v>
      </c>
      <c r="V2321" s="235"/>
    </row>
    <row r="2322" spans="1:22" ht="15.75" x14ac:dyDescent="0.25">
      <c r="A2322" s="231"/>
      <c r="B2322" s="232"/>
      <c r="C2322" s="400"/>
      <c r="D2322" s="233"/>
      <c r="E2322" s="405"/>
      <c r="F2322" s="405"/>
      <c r="G2322" s="405"/>
      <c r="H2322" s="408">
        <f>ROUND(+E2322+F2322+G2322,4)</f>
        <v>0</v>
      </c>
      <c r="I2322" s="234"/>
      <c r="J2322" s="411"/>
      <c r="K2322" s="411"/>
      <c r="L2322" s="414">
        <v>0.1</v>
      </c>
      <c r="M2322" s="414">
        <f>ROUND(+L2322*C2322,4)</f>
        <v>0</v>
      </c>
      <c r="N2322" s="414"/>
      <c r="O2322" s="414"/>
      <c r="P2322" s="414"/>
      <c r="Q2322" s="419">
        <f>ROUND(+N2322+O2322+P2322,4)</f>
        <v>0</v>
      </c>
      <c r="R2322" s="419">
        <f>ROUND(IF(+Q2322-H2322&lt;=0,0,Q2322-H2322),4)</f>
        <v>0</v>
      </c>
      <c r="S2322" s="423">
        <v>0.5</v>
      </c>
      <c r="T2322" s="419">
        <f>ROUND(+(R2322*C2322)*S2322,4)</f>
        <v>0</v>
      </c>
      <c r="U2322" s="419">
        <f>ROUND(+J2322+M2322+T2322,4)</f>
        <v>0</v>
      </c>
      <c r="V2322" s="235"/>
    </row>
    <row r="2323" spans="1:22" ht="15.75" x14ac:dyDescent="0.25">
      <c r="A2323" s="231"/>
      <c r="B2323" s="232"/>
      <c r="C2323" s="400"/>
      <c r="D2323" s="233"/>
      <c r="E2323" s="405"/>
      <c r="F2323" s="405"/>
      <c r="G2323" s="405"/>
      <c r="H2323" s="408">
        <f>ROUND(+E2323+F2323+G2323,4)</f>
        <v>0</v>
      </c>
      <c r="I2323" s="234"/>
      <c r="J2323" s="411"/>
      <c r="K2323" s="411"/>
      <c r="L2323" s="414">
        <v>0.1</v>
      </c>
      <c r="M2323" s="414">
        <f>ROUND(+L2323*C2323,4)</f>
        <v>0</v>
      </c>
      <c r="N2323" s="414"/>
      <c r="O2323" s="414"/>
      <c r="P2323" s="414"/>
      <c r="Q2323" s="419">
        <f>ROUND(+N2323+O2323+P2323,4)</f>
        <v>0</v>
      </c>
      <c r="R2323" s="419">
        <f>ROUND(IF(+Q2323-H2323&lt;=0,0,Q2323-H2323),4)</f>
        <v>0</v>
      </c>
      <c r="S2323" s="423">
        <v>0.5</v>
      </c>
      <c r="T2323" s="419">
        <f>ROUND(+(R2323*C2323)*S2323,4)</f>
        <v>0</v>
      </c>
      <c r="U2323" s="419">
        <f>ROUND(+J2323+M2323+T2323,4)</f>
        <v>0</v>
      </c>
      <c r="V2323" s="235"/>
    </row>
    <row r="2324" spans="1:22" ht="15.75" x14ac:dyDescent="0.25">
      <c r="A2324" s="231"/>
      <c r="B2324" s="232"/>
      <c r="C2324" s="400"/>
      <c r="D2324" s="233"/>
      <c r="E2324" s="405"/>
      <c r="F2324" s="405"/>
      <c r="G2324" s="405"/>
      <c r="H2324" s="408">
        <f>ROUND(+E2324+F2324+G2324,4)</f>
        <v>0</v>
      </c>
      <c r="I2324" s="234"/>
      <c r="J2324" s="411"/>
      <c r="K2324" s="411"/>
      <c r="L2324" s="414">
        <v>0.1</v>
      </c>
      <c r="M2324" s="414">
        <f>ROUND(+L2324*C2324,4)</f>
        <v>0</v>
      </c>
      <c r="N2324" s="414"/>
      <c r="O2324" s="414"/>
      <c r="P2324" s="414"/>
      <c r="Q2324" s="419">
        <f>ROUND(+N2324+O2324+P2324,4)</f>
        <v>0</v>
      </c>
      <c r="R2324" s="419">
        <f>ROUND(IF(+Q2324-H2324&lt;=0,0,Q2324-H2324),4)</f>
        <v>0</v>
      </c>
      <c r="S2324" s="423">
        <v>0.5</v>
      </c>
      <c r="T2324" s="419">
        <f>ROUND(+(R2324*C2324)*S2324,4)</f>
        <v>0</v>
      </c>
      <c r="U2324" s="419">
        <f>ROUND(+J2324+M2324+T2324,4)</f>
        <v>0</v>
      </c>
      <c r="V2324" s="235"/>
    </row>
    <row r="2325" spans="1:22" ht="15.75" x14ac:dyDescent="0.25">
      <c r="A2325" s="231"/>
      <c r="B2325" s="232"/>
      <c r="C2325" s="400"/>
      <c r="D2325" s="233"/>
      <c r="E2325" s="405"/>
      <c r="F2325" s="405"/>
      <c r="G2325" s="405"/>
      <c r="H2325" s="408">
        <f>ROUND(+E2325+F2325+G2325,4)</f>
        <v>0</v>
      </c>
      <c r="I2325" s="234"/>
      <c r="J2325" s="411"/>
      <c r="K2325" s="411"/>
      <c r="L2325" s="414">
        <v>0.1</v>
      </c>
      <c r="M2325" s="414">
        <f>ROUND(+L2325*C2325,4)</f>
        <v>0</v>
      </c>
      <c r="N2325" s="414"/>
      <c r="O2325" s="414"/>
      <c r="P2325" s="414"/>
      <c r="Q2325" s="419">
        <f>ROUND(+N2325+O2325+P2325,4)</f>
        <v>0</v>
      </c>
      <c r="R2325" s="419">
        <f>ROUND(IF(+Q2325-H2325&lt;=0,0,Q2325-H2325),4)</f>
        <v>0</v>
      </c>
      <c r="S2325" s="423">
        <v>0.5</v>
      </c>
      <c r="T2325" s="419">
        <f>ROUND(+(R2325*C2325)*S2325,4)</f>
        <v>0</v>
      </c>
      <c r="U2325" s="419">
        <f>ROUND(+J2325+M2325+T2325,4)</f>
        <v>0</v>
      </c>
      <c r="V2325" s="235"/>
    </row>
    <row r="2326" spans="1:22" ht="15.75" x14ac:dyDescent="0.25">
      <c r="A2326" s="231"/>
      <c r="B2326" s="232"/>
      <c r="C2326" s="400"/>
      <c r="D2326" s="233"/>
      <c r="E2326" s="405"/>
      <c r="F2326" s="405"/>
      <c r="G2326" s="405"/>
      <c r="H2326" s="408">
        <f>ROUND(+E2326+F2326+G2326,4)</f>
        <v>0</v>
      </c>
      <c r="I2326" s="234"/>
      <c r="J2326" s="411"/>
      <c r="K2326" s="411"/>
      <c r="L2326" s="414">
        <v>0.1</v>
      </c>
      <c r="M2326" s="414">
        <f>ROUND(+L2326*C2326,4)</f>
        <v>0</v>
      </c>
      <c r="N2326" s="414"/>
      <c r="O2326" s="414"/>
      <c r="P2326" s="414"/>
      <c r="Q2326" s="419">
        <f>ROUND(+N2326+O2326+P2326,4)</f>
        <v>0</v>
      </c>
      <c r="R2326" s="419">
        <f>ROUND(IF(+Q2326-H2326&lt;=0,0,Q2326-H2326),4)</f>
        <v>0</v>
      </c>
      <c r="S2326" s="423">
        <v>0.5</v>
      </c>
      <c r="T2326" s="419">
        <f>ROUND(+(R2326*C2326)*S2326,4)</f>
        <v>0</v>
      </c>
      <c r="U2326" s="419">
        <f>ROUND(+J2326+M2326+T2326,4)</f>
        <v>0</v>
      </c>
      <c r="V2326" s="235"/>
    </row>
    <row r="2327" spans="1:22" ht="15.75" x14ac:dyDescent="0.25">
      <c r="A2327" s="231"/>
      <c r="B2327" s="232"/>
      <c r="C2327" s="400"/>
      <c r="D2327" s="233"/>
      <c r="E2327" s="405"/>
      <c r="F2327" s="405"/>
      <c r="G2327" s="405"/>
      <c r="H2327" s="408">
        <f>ROUND(+E2327+F2327+G2327,4)</f>
        <v>0</v>
      </c>
      <c r="I2327" s="234"/>
      <c r="J2327" s="411"/>
      <c r="K2327" s="411"/>
      <c r="L2327" s="414">
        <v>0.1</v>
      </c>
      <c r="M2327" s="414">
        <f>ROUND(+L2327*C2327,4)</f>
        <v>0</v>
      </c>
      <c r="N2327" s="414"/>
      <c r="O2327" s="414"/>
      <c r="P2327" s="414"/>
      <c r="Q2327" s="419">
        <f>ROUND(+N2327+O2327+P2327,4)</f>
        <v>0</v>
      </c>
      <c r="R2327" s="419">
        <f>ROUND(IF(+Q2327-H2327&lt;=0,0,Q2327-H2327),4)</f>
        <v>0</v>
      </c>
      <c r="S2327" s="423">
        <v>0.5</v>
      </c>
      <c r="T2327" s="419">
        <f>ROUND(+(R2327*C2327)*S2327,4)</f>
        <v>0</v>
      </c>
      <c r="U2327" s="419">
        <f>ROUND(+J2327+M2327+T2327,4)</f>
        <v>0</v>
      </c>
      <c r="V2327" s="235"/>
    </row>
    <row r="2328" spans="1:22" ht="15.75" x14ac:dyDescent="0.25">
      <c r="A2328" s="231"/>
      <c r="B2328" s="232"/>
      <c r="C2328" s="400"/>
      <c r="D2328" s="233"/>
      <c r="E2328" s="405"/>
      <c r="F2328" s="405"/>
      <c r="G2328" s="405"/>
      <c r="H2328" s="408">
        <f>ROUND(+E2328+F2328+G2328,4)</f>
        <v>0</v>
      </c>
      <c r="I2328" s="234"/>
      <c r="J2328" s="411"/>
      <c r="K2328" s="411"/>
      <c r="L2328" s="414">
        <v>0.1</v>
      </c>
      <c r="M2328" s="414">
        <f>ROUND(+L2328*C2328,4)</f>
        <v>0</v>
      </c>
      <c r="N2328" s="414"/>
      <c r="O2328" s="414"/>
      <c r="P2328" s="414"/>
      <c r="Q2328" s="419">
        <f>ROUND(+N2328+O2328+P2328,4)</f>
        <v>0</v>
      </c>
      <c r="R2328" s="419">
        <f>ROUND(IF(+Q2328-H2328&lt;=0,0,Q2328-H2328),4)</f>
        <v>0</v>
      </c>
      <c r="S2328" s="423">
        <v>0.5</v>
      </c>
      <c r="T2328" s="419">
        <f>ROUND(+(R2328*C2328)*S2328,4)</f>
        <v>0</v>
      </c>
      <c r="U2328" s="419">
        <f>ROUND(+J2328+M2328+T2328,4)</f>
        <v>0</v>
      </c>
      <c r="V2328" s="235"/>
    </row>
    <row r="2329" spans="1:22" ht="15.75" x14ac:dyDescent="0.25">
      <c r="A2329" s="231"/>
      <c r="B2329" s="232"/>
      <c r="C2329" s="400"/>
      <c r="D2329" s="233"/>
      <c r="E2329" s="405"/>
      <c r="F2329" s="405"/>
      <c r="G2329" s="405"/>
      <c r="H2329" s="408">
        <f>ROUND(+E2329+F2329+G2329,4)</f>
        <v>0</v>
      </c>
      <c r="I2329" s="234"/>
      <c r="J2329" s="411"/>
      <c r="K2329" s="411"/>
      <c r="L2329" s="414">
        <v>0.1</v>
      </c>
      <c r="M2329" s="414">
        <f>ROUND(+L2329*C2329,4)</f>
        <v>0</v>
      </c>
      <c r="N2329" s="414"/>
      <c r="O2329" s="414"/>
      <c r="P2329" s="414"/>
      <c r="Q2329" s="419">
        <f>ROUND(+N2329+O2329+P2329,4)</f>
        <v>0</v>
      </c>
      <c r="R2329" s="419">
        <f>ROUND(IF(+Q2329-H2329&lt;=0,0,Q2329-H2329),4)</f>
        <v>0</v>
      </c>
      <c r="S2329" s="423">
        <v>0.5</v>
      </c>
      <c r="T2329" s="419">
        <f>ROUND(+(R2329*C2329)*S2329,4)</f>
        <v>0</v>
      </c>
      <c r="U2329" s="419">
        <f>ROUND(+J2329+M2329+T2329,4)</f>
        <v>0</v>
      </c>
      <c r="V2329" s="235"/>
    </row>
    <row r="2330" spans="1:22" ht="15.75" x14ac:dyDescent="0.25">
      <c r="A2330" s="231"/>
      <c r="B2330" s="232"/>
      <c r="C2330" s="400"/>
      <c r="D2330" s="233"/>
      <c r="E2330" s="405"/>
      <c r="F2330" s="405"/>
      <c r="G2330" s="405"/>
      <c r="H2330" s="408">
        <f>ROUND(+E2330+F2330+G2330,4)</f>
        <v>0</v>
      </c>
      <c r="I2330" s="234"/>
      <c r="J2330" s="411"/>
      <c r="K2330" s="411"/>
      <c r="L2330" s="414">
        <v>0.1</v>
      </c>
      <c r="M2330" s="414">
        <f>ROUND(+L2330*C2330,4)</f>
        <v>0</v>
      </c>
      <c r="N2330" s="414"/>
      <c r="O2330" s="414"/>
      <c r="P2330" s="414"/>
      <c r="Q2330" s="419">
        <f>ROUND(+N2330+O2330+P2330,4)</f>
        <v>0</v>
      </c>
      <c r="R2330" s="419">
        <f>ROUND(IF(+Q2330-H2330&lt;=0,0,Q2330-H2330),4)</f>
        <v>0</v>
      </c>
      <c r="S2330" s="423">
        <v>0.5</v>
      </c>
      <c r="T2330" s="419">
        <f>ROUND(+(R2330*C2330)*S2330,4)</f>
        <v>0</v>
      </c>
      <c r="U2330" s="419">
        <f>ROUND(+J2330+M2330+T2330,4)</f>
        <v>0</v>
      </c>
      <c r="V2330" s="235"/>
    </row>
    <row r="2331" spans="1:22" ht="15.75" x14ac:dyDescent="0.25">
      <c r="A2331" s="231"/>
      <c r="B2331" s="232"/>
      <c r="C2331" s="400"/>
      <c r="D2331" s="233"/>
      <c r="E2331" s="405"/>
      <c r="F2331" s="405"/>
      <c r="G2331" s="405"/>
      <c r="H2331" s="408">
        <f>ROUND(+E2331+F2331+G2331,4)</f>
        <v>0</v>
      </c>
      <c r="I2331" s="234"/>
      <c r="J2331" s="411"/>
      <c r="K2331" s="411"/>
      <c r="L2331" s="414">
        <v>0.1</v>
      </c>
      <c r="M2331" s="414">
        <f>ROUND(+L2331*C2331,4)</f>
        <v>0</v>
      </c>
      <c r="N2331" s="414"/>
      <c r="O2331" s="414"/>
      <c r="P2331" s="414"/>
      <c r="Q2331" s="419">
        <f>ROUND(+N2331+O2331+P2331,4)</f>
        <v>0</v>
      </c>
      <c r="R2331" s="419">
        <f>ROUND(IF(+Q2331-H2331&lt;=0,0,Q2331-H2331),4)</f>
        <v>0</v>
      </c>
      <c r="S2331" s="423">
        <v>0.5</v>
      </c>
      <c r="T2331" s="419">
        <f>ROUND(+(R2331*C2331)*S2331,4)</f>
        <v>0</v>
      </c>
      <c r="U2331" s="419">
        <f>ROUND(+J2331+M2331+T2331,4)</f>
        <v>0</v>
      </c>
      <c r="V2331" s="235"/>
    </row>
    <row r="2332" spans="1:22" ht="15.75" x14ac:dyDescent="0.25">
      <c r="A2332" s="231"/>
      <c r="B2332" s="232"/>
      <c r="C2332" s="400"/>
      <c r="D2332" s="233"/>
      <c r="E2332" s="405"/>
      <c r="F2332" s="405"/>
      <c r="G2332" s="405"/>
      <c r="H2332" s="408">
        <f>ROUND(+E2332+F2332+G2332,4)</f>
        <v>0</v>
      </c>
      <c r="I2332" s="234"/>
      <c r="J2332" s="411"/>
      <c r="K2332" s="411"/>
      <c r="L2332" s="414">
        <v>0.1</v>
      </c>
      <c r="M2332" s="414">
        <f>ROUND(+L2332*C2332,4)</f>
        <v>0</v>
      </c>
      <c r="N2332" s="414"/>
      <c r="O2332" s="414"/>
      <c r="P2332" s="414"/>
      <c r="Q2332" s="419">
        <f>ROUND(+N2332+O2332+P2332,4)</f>
        <v>0</v>
      </c>
      <c r="R2332" s="419">
        <f>ROUND(IF(+Q2332-H2332&lt;=0,0,Q2332-H2332),4)</f>
        <v>0</v>
      </c>
      <c r="S2332" s="423">
        <v>0.5</v>
      </c>
      <c r="T2332" s="419">
        <f>ROUND(+(R2332*C2332)*S2332,4)</f>
        <v>0</v>
      </c>
      <c r="U2332" s="419">
        <f>ROUND(+J2332+M2332+T2332,4)</f>
        <v>0</v>
      </c>
      <c r="V2332" s="235"/>
    </row>
    <row r="2333" spans="1:22" ht="15.75" x14ac:dyDescent="0.25">
      <c r="A2333" s="231"/>
      <c r="B2333" s="232"/>
      <c r="C2333" s="400"/>
      <c r="D2333" s="233"/>
      <c r="E2333" s="405"/>
      <c r="F2333" s="405"/>
      <c r="G2333" s="405"/>
      <c r="H2333" s="408">
        <f>ROUND(+E2333+F2333+G2333,4)</f>
        <v>0</v>
      </c>
      <c r="I2333" s="234"/>
      <c r="J2333" s="411"/>
      <c r="K2333" s="411"/>
      <c r="L2333" s="414">
        <v>0.1</v>
      </c>
      <c r="M2333" s="414">
        <f>ROUND(+L2333*C2333,4)</f>
        <v>0</v>
      </c>
      <c r="N2333" s="414"/>
      <c r="O2333" s="414"/>
      <c r="P2333" s="414"/>
      <c r="Q2333" s="419">
        <f>ROUND(+N2333+O2333+P2333,4)</f>
        <v>0</v>
      </c>
      <c r="R2333" s="419">
        <f>ROUND(IF(+Q2333-H2333&lt;=0,0,Q2333-H2333),4)</f>
        <v>0</v>
      </c>
      <c r="S2333" s="423">
        <v>0.5</v>
      </c>
      <c r="T2333" s="419">
        <f>ROUND(+(R2333*C2333)*S2333,4)</f>
        <v>0</v>
      </c>
      <c r="U2333" s="419">
        <f>ROUND(+J2333+M2333+T2333,4)</f>
        <v>0</v>
      </c>
      <c r="V2333" s="235"/>
    </row>
    <row r="2334" spans="1:22" ht="15.75" x14ac:dyDescent="0.25">
      <c r="A2334" s="231"/>
      <c r="B2334" s="232"/>
      <c r="C2334" s="400"/>
      <c r="D2334" s="233"/>
      <c r="E2334" s="405"/>
      <c r="F2334" s="405"/>
      <c r="G2334" s="405"/>
      <c r="H2334" s="408">
        <f>ROUND(+E2334+F2334+G2334,4)</f>
        <v>0</v>
      </c>
      <c r="I2334" s="234"/>
      <c r="J2334" s="411"/>
      <c r="K2334" s="411"/>
      <c r="L2334" s="414">
        <v>0.1</v>
      </c>
      <c r="M2334" s="414">
        <f>ROUND(+L2334*C2334,4)</f>
        <v>0</v>
      </c>
      <c r="N2334" s="414"/>
      <c r="O2334" s="414"/>
      <c r="P2334" s="414"/>
      <c r="Q2334" s="419">
        <f>ROUND(+N2334+O2334+P2334,4)</f>
        <v>0</v>
      </c>
      <c r="R2334" s="419">
        <f>ROUND(IF(+Q2334-H2334&lt;=0,0,Q2334-H2334),4)</f>
        <v>0</v>
      </c>
      <c r="S2334" s="423">
        <v>0.5</v>
      </c>
      <c r="T2334" s="419">
        <f>ROUND(+(R2334*C2334)*S2334,4)</f>
        <v>0</v>
      </c>
      <c r="U2334" s="419">
        <f>ROUND(+J2334+M2334+T2334,4)</f>
        <v>0</v>
      </c>
      <c r="V2334" s="235"/>
    </row>
    <row r="2335" spans="1:22" ht="15.75" x14ac:dyDescent="0.25">
      <c r="A2335" s="231"/>
      <c r="B2335" s="232"/>
      <c r="C2335" s="400"/>
      <c r="D2335" s="233"/>
      <c r="E2335" s="405"/>
      <c r="F2335" s="405"/>
      <c r="G2335" s="405"/>
      <c r="H2335" s="408">
        <f>ROUND(+E2335+F2335+G2335,4)</f>
        <v>0</v>
      </c>
      <c r="I2335" s="234"/>
      <c r="J2335" s="411"/>
      <c r="K2335" s="411"/>
      <c r="L2335" s="414">
        <v>0.1</v>
      </c>
      <c r="M2335" s="414">
        <f>ROUND(+L2335*C2335,4)</f>
        <v>0</v>
      </c>
      <c r="N2335" s="414"/>
      <c r="O2335" s="414"/>
      <c r="P2335" s="414"/>
      <c r="Q2335" s="419">
        <f>ROUND(+N2335+O2335+P2335,4)</f>
        <v>0</v>
      </c>
      <c r="R2335" s="419">
        <f>ROUND(IF(+Q2335-H2335&lt;=0,0,Q2335-H2335),4)</f>
        <v>0</v>
      </c>
      <c r="S2335" s="423">
        <v>0.5</v>
      </c>
      <c r="T2335" s="419">
        <f>ROUND(+(R2335*C2335)*S2335,4)</f>
        <v>0</v>
      </c>
      <c r="U2335" s="419">
        <f>ROUND(+J2335+M2335+T2335,4)</f>
        <v>0</v>
      </c>
      <c r="V2335" s="235"/>
    </row>
    <row r="2336" spans="1:22" ht="15.75" x14ac:dyDescent="0.25">
      <c r="A2336" s="231"/>
      <c r="B2336" s="232"/>
      <c r="C2336" s="400"/>
      <c r="D2336" s="233"/>
      <c r="E2336" s="405"/>
      <c r="F2336" s="405"/>
      <c r="G2336" s="405"/>
      <c r="H2336" s="408">
        <f>ROUND(+E2336+F2336+G2336,4)</f>
        <v>0</v>
      </c>
      <c r="I2336" s="234"/>
      <c r="J2336" s="411"/>
      <c r="K2336" s="411"/>
      <c r="L2336" s="414">
        <v>0.1</v>
      </c>
      <c r="M2336" s="414">
        <f>ROUND(+L2336*C2336,4)</f>
        <v>0</v>
      </c>
      <c r="N2336" s="414"/>
      <c r="O2336" s="414"/>
      <c r="P2336" s="414"/>
      <c r="Q2336" s="419">
        <f>ROUND(+N2336+O2336+P2336,4)</f>
        <v>0</v>
      </c>
      <c r="R2336" s="419">
        <f>ROUND(IF(+Q2336-H2336&lt;=0,0,Q2336-H2336),4)</f>
        <v>0</v>
      </c>
      <c r="S2336" s="423">
        <v>0.5</v>
      </c>
      <c r="T2336" s="419">
        <f>ROUND(+(R2336*C2336)*S2336,4)</f>
        <v>0</v>
      </c>
      <c r="U2336" s="419">
        <f>ROUND(+J2336+M2336+T2336,4)</f>
        <v>0</v>
      </c>
      <c r="V2336" s="235"/>
    </row>
    <row r="2337" spans="1:22" ht="15.75" x14ac:dyDescent="0.25">
      <c r="A2337" s="231"/>
      <c r="B2337" s="232"/>
      <c r="C2337" s="400"/>
      <c r="D2337" s="233"/>
      <c r="E2337" s="405"/>
      <c r="F2337" s="405"/>
      <c r="G2337" s="405"/>
      <c r="H2337" s="408">
        <f>ROUND(+E2337+F2337+G2337,4)</f>
        <v>0</v>
      </c>
      <c r="I2337" s="234"/>
      <c r="J2337" s="411"/>
      <c r="K2337" s="411"/>
      <c r="L2337" s="414">
        <v>0.1</v>
      </c>
      <c r="M2337" s="414">
        <f>ROUND(+L2337*C2337,4)</f>
        <v>0</v>
      </c>
      <c r="N2337" s="414"/>
      <c r="O2337" s="414"/>
      <c r="P2337" s="414"/>
      <c r="Q2337" s="419">
        <f>ROUND(+N2337+O2337+P2337,4)</f>
        <v>0</v>
      </c>
      <c r="R2337" s="419">
        <f>ROUND(IF(+Q2337-H2337&lt;=0,0,Q2337-H2337),4)</f>
        <v>0</v>
      </c>
      <c r="S2337" s="423">
        <v>0.5</v>
      </c>
      <c r="T2337" s="419">
        <f>ROUND(+(R2337*C2337)*S2337,4)</f>
        <v>0</v>
      </c>
      <c r="U2337" s="419">
        <f>ROUND(+J2337+M2337+T2337,4)</f>
        <v>0</v>
      </c>
      <c r="V2337" s="235"/>
    </row>
    <row r="2338" spans="1:22" ht="15.75" x14ac:dyDescent="0.25">
      <c r="A2338" s="231"/>
      <c r="B2338" s="232"/>
      <c r="C2338" s="400"/>
      <c r="D2338" s="233"/>
      <c r="E2338" s="405"/>
      <c r="F2338" s="405"/>
      <c r="G2338" s="405"/>
      <c r="H2338" s="408">
        <f>ROUND(+E2338+F2338+G2338,4)</f>
        <v>0</v>
      </c>
      <c r="I2338" s="234"/>
      <c r="J2338" s="411"/>
      <c r="K2338" s="411"/>
      <c r="L2338" s="414">
        <v>0.1</v>
      </c>
      <c r="M2338" s="414">
        <f>ROUND(+L2338*C2338,4)</f>
        <v>0</v>
      </c>
      <c r="N2338" s="414"/>
      <c r="O2338" s="414"/>
      <c r="P2338" s="414"/>
      <c r="Q2338" s="419">
        <f>ROUND(+N2338+O2338+P2338,4)</f>
        <v>0</v>
      </c>
      <c r="R2338" s="419">
        <f>ROUND(IF(+Q2338-H2338&lt;=0,0,Q2338-H2338),4)</f>
        <v>0</v>
      </c>
      <c r="S2338" s="423">
        <v>0.5</v>
      </c>
      <c r="T2338" s="419">
        <f>ROUND(+(R2338*C2338)*S2338,4)</f>
        <v>0</v>
      </c>
      <c r="U2338" s="419">
        <f>ROUND(+J2338+M2338+T2338,4)</f>
        <v>0</v>
      </c>
      <c r="V2338" s="235"/>
    </row>
    <row r="2339" spans="1:22" ht="15.75" x14ac:dyDescent="0.25">
      <c r="A2339" s="231"/>
      <c r="B2339" s="232"/>
      <c r="C2339" s="400"/>
      <c r="D2339" s="233"/>
      <c r="E2339" s="405"/>
      <c r="F2339" s="405"/>
      <c r="G2339" s="405"/>
      <c r="H2339" s="408">
        <f>ROUND(+E2339+F2339+G2339,4)</f>
        <v>0</v>
      </c>
      <c r="I2339" s="234"/>
      <c r="J2339" s="411"/>
      <c r="K2339" s="411"/>
      <c r="L2339" s="414">
        <v>0.1</v>
      </c>
      <c r="M2339" s="414">
        <f>ROUND(+L2339*C2339,4)</f>
        <v>0</v>
      </c>
      <c r="N2339" s="414"/>
      <c r="O2339" s="414"/>
      <c r="P2339" s="414"/>
      <c r="Q2339" s="419">
        <f>ROUND(+N2339+O2339+P2339,4)</f>
        <v>0</v>
      </c>
      <c r="R2339" s="419">
        <f>ROUND(IF(+Q2339-H2339&lt;=0,0,Q2339-H2339),4)</f>
        <v>0</v>
      </c>
      <c r="S2339" s="423">
        <v>0.5</v>
      </c>
      <c r="T2339" s="419">
        <f>ROUND(+(R2339*C2339)*S2339,4)</f>
        <v>0</v>
      </c>
      <c r="U2339" s="419">
        <f>ROUND(+J2339+M2339+T2339,4)</f>
        <v>0</v>
      </c>
      <c r="V2339" s="235"/>
    </row>
    <row r="2340" spans="1:22" ht="15.75" x14ac:dyDescent="0.25">
      <c r="A2340" s="231"/>
      <c r="B2340" s="232"/>
      <c r="C2340" s="400"/>
      <c r="D2340" s="233"/>
      <c r="E2340" s="405"/>
      <c r="F2340" s="405"/>
      <c r="G2340" s="405"/>
      <c r="H2340" s="408">
        <f>ROUND(+E2340+F2340+G2340,4)</f>
        <v>0</v>
      </c>
      <c r="I2340" s="234"/>
      <c r="J2340" s="411"/>
      <c r="K2340" s="411"/>
      <c r="L2340" s="414">
        <v>0.1</v>
      </c>
      <c r="M2340" s="414">
        <f>ROUND(+L2340*C2340,4)</f>
        <v>0</v>
      </c>
      <c r="N2340" s="414"/>
      <c r="O2340" s="414"/>
      <c r="P2340" s="414"/>
      <c r="Q2340" s="419">
        <f>ROUND(+N2340+O2340+P2340,4)</f>
        <v>0</v>
      </c>
      <c r="R2340" s="419">
        <f>ROUND(IF(+Q2340-H2340&lt;=0,0,Q2340-H2340),4)</f>
        <v>0</v>
      </c>
      <c r="S2340" s="423">
        <v>0.5</v>
      </c>
      <c r="T2340" s="419">
        <f>ROUND(+(R2340*C2340)*S2340,4)</f>
        <v>0</v>
      </c>
      <c r="U2340" s="419">
        <f>ROUND(+J2340+M2340+T2340,4)</f>
        <v>0</v>
      </c>
      <c r="V2340" s="235"/>
    </row>
    <row r="2341" spans="1:22" ht="15.75" x14ac:dyDescent="0.25">
      <c r="A2341" s="231"/>
      <c r="B2341" s="232"/>
      <c r="C2341" s="400"/>
      <c r="D2341" s="233"/>
      <c r="E2341" s="405"/>
      <c r="F2341" s="405"/>
      <c r="G2341" s="405"/>
      <c r="H2341" s="408">
        <f>ROUND(+E2341+F2341+G2341,4)</f>
        <v>0</v>
      </c>
      <c r="I2341" s="234"/>
      <c r="J2341" s="411"/>
      <c r="K2341" s="411"/>
      <c r="L2341" s="414">
        <v>0.1</v>
      </c>
      <c r="M2341" s="414">
        <f>ROUND(+L2341*C2341,4)</f>
        <v>0</v>
      </c>
      <c r="N2341" s="414"/>
      <c r="O2341" s="414"/>
      <c r="P2341" s="414"/>
      <c r="Q2341" s="419">
        <f>ROUND(+N2341+O2341+P2341,4)</f>
        <v>0</v>
      </c>
      <c r="R2341" s="419">
        <f>ROUND(IF(+Q2341-H2341&lt;=0,0,Q2341-H2341),4)</f>
        <v>0</v>
      </c>
      <c r="S2341" s="423">
        <v>0.5</v>
      </c>
      <c r="T2341" s="419">
        <f>ROUND(+(R2341*C2341)*S2341,4)</f>
        <v>0</v>
      </c>
      <c r="U2341" s="419">
        <f>ROUND(+J2341+M2341+T2341,4)</f>
        <v>0</v>
      </c>
      <c r="V2341" s="235"/>
    </row>
    <row r="2342" spans="1:22" ht="15.75" x14ac:dyDescent="0.25">
      <c r="A2342" s="231"/>
      <c r="B2342" s="232"/>
      <c r="C2342" s="400"/>
      <c r="D2342" s="233"/>
      <c r="E2342" s="405"/>
      <c r="F2342" s="405"/>
      <c r="G2342" s="405"/>
      <c r="H2342" s="408">
        <f>ROUND(+E2342+F2342+G2342,4)</f>
        <v>0</v>
      </c>
      <c r="I2342" s="234"/>
      <c r="J2342" s="411"/>
      <c r="K2342" s="411"/>
      <c r="L2342" s="414">
        <v>0.1</v>
      </c>
      <c r="M2342" s="414">
        <f>ROUND(+L2342*C2342,4)</f>
        <v>0</v>
      </c>
      <c r="N2342" s="414"/>
      <c r="O2342" s="414"/>
      <c r="P2342" s="414"/>
      <c r="Q2342" s="419">
        <f>ROUND(+N2342+O2342+P2342,4)</f>
        <v>0</v>
      </c>
      <c r="R2342" s="419">
        <f>ROUND(IF(+Q2342-H2342&lt;=0,0,Q2342-H2342),4)</f>
        <v>0</v>
      </c>
      <c r="S2342" s="423">
        <v>0.5</v>
      </c>
      <c r="T2342" s="419">
        <f>ROUND(+(R2342*C2342)*S2342,4)</f>
        <v>0</v>
      </c>
      <c r="U2342" s="419">
        <f>ROUND(+J2342+M2342+T2342,4)</f>
        <v>0</v>
      </c>
      <c r="V2342" s="235"/>
    </row>
    <row r="2343" spans="1:22" ht="15.75" x14ac:dyDescent="0.25">
      <c r="A2343" s="231"/>
      <c r="B2343" s="232"/>
      <c r="C2343" s="400"/>
      <c r="D2343" s="233"/>
      <c r="E2343" s="405"/>
      <c r="F2343" s="405"/>
      <c r="G2343" s="405"/>
      <c r="H2343" s="408">
        <f>ROUND(+E2343+F2343+G2343,4)</f>
        <v>0</v>
      </c>
      <c r="I2343" s="234"/>
      <c r="J2343" s="411"/>
      <c r="K2343" s="411"/>
      <c r="L2343" s="414">
        <v>0.1</v>
      </c>
      <c r="M2343" s="414">
        <f>ROUND(+L2343*C2343,4)</f>
        <v>0</v>
      </c>
      <c r="N2343" s="414"/>
      <c r="O2343" s="414"/>
      <c r="P2343" s="414"/>
      <c r="Q2343" s="419">
        <f>ROUND(+N2343+O2343+P2343,4)</f>
        <v>0</v>
      </c>
      <c r="R2343" s="419">
        <f>ROUND(IF(+Q2343-H2343&lt;=0,0,Q2343-H2343),4)</f>
        <v>0</v>
      </c>
      <c r="S2343" s="423">
        <v>0.5</v>
      </c>
      <c r="T2343" s="419">
        <f>ROUND(+(R2343*C2343)*S2343,4)</f>
        <v>0</v>
      </c>
      <c r="U2343" s="419">
        <f>ROUND(+J2343+M2343+T2343,4)</f>
        <v>0</v>
      </c>
      <c r="V2343" s="235"/>
    </row>
    <row r="2344" spans="1:22" ht="15.75" x14ac:dyDescent="0.25">
      <c r="A2344" s="231"/>
      <c r="B2344" s="232"/>
      <c r="C2344" s="400"/>
      <c r="D2344" s="233"/>
      <c r="E2344" s="405"/>
      <c r="F2344" s="405"/>
      <c r="G2344" s="405"/>
      <c r="H2344" s="408">
        <f>ROUND(+E2344+F2344+G2344,4)</f>
        <v>0</v>
      </c>
      <c r="I2344" s="234"/>
      <c r="J2344" s="411"/>
      <c r="K2344" s="411"/>
      <c r="L2344" s="414">
        <v>0.1</v>
      </c>
      <c r="M2344" s="414">
        <f>ROUND(+L2344*C2344,4)</f>
        <v>0</v>
      </c>
      <c r="N2344" s="414"/>
      <c r="O2344" s="414"/>
      <c r="P2344" s="414"/>
      <c r="Q2344" s="419">
        <f>ROUND(+N2344+O2344+P2344,4)</f>
        <v>0</v>
      </c>
      <c r="R2344" s="419">
        <f>ROUND(IF(+Q2344-H2344&lt;=0,0,Q2344-H2344),4)</f>
        <v>0</v>
      </c>
      <c r="S2344" s="423">
        <v>0.5</v>
      </c>
      <c r="T2344" s="419">
        <f>ROUND(+(R2344*C2344)*S2344,4)</f>
        <v>0</v>
      </c>
      <c r="U2344" s="419">
        <f>ROUND(+J2344+M2344+T2344,4)</f>
        <v>0</v>
      </c>
      <c r="V2344" s="235"/>
    </row>
    <row r="2345" spans="1:22" ht="15.75" x14ac:dyDescent="0.25">
      <c r="A2345" s="231"/>
      <c r="B2345" s="232"/>
      <c r="C2345" s="400"/>
      <c r="D2345" s="233"/>
      <c r="E2345" s="405"/>
      <c r="F2345" s="405"/>
      <c r="G2345" s="405"/>
      <c r="H2345" s="408">
        <f>ROUND(+E2345+F2345+G2345,4)</f>
        <v>0</v>
      </c>
      <c r="I2345" s="234"/>
      <c r="J2345" s="411"/>
      <c r="K2345" s="411"/>
      <c r="L2345" s="414">
        <v>0.1</v>
      </c>
      <c r="M2345" s="414">
        <f>ROUND(+L2345*C2345,4)</f>
        <v>0</v>
      </c>
      <c r="N2345" s="414"/>
      <c r="O2345" s="414"/>
      <c r="P2345" s="414"/>
      <c r="Q2345" s="419">
        <f>ROUND(+N2345+O2345+P2345,4)</f>
        <v>0</v>
      </c>
      <c r="R2345" s="419">
        <f>ROUND(IF(+Q2345-H2345&lt;=0,0,Q2345-H2345),4)</f>
        <v>0</v>
      </c>
      <c r="S2345" s="423">
        <v>0.5</v>
      </c>
      <c r="T2345" s="419">
        <f>ROUND(+(R2345*C2345)*S2345,4)</f>
        <v>0</v>
      </c>
      <c r="U2345" s="419">
        <f>ROUND(+J2345+M2345+T2345,4)</f>
        <v>0</v>
      </c>
      <c r="V2345" s="235"/>
    </row>
    <row r="2346" spans="1:22" ht="15.75" x14ac:dyDescent="0.25">
      <c r="A2346" s="231"/>
      <c r="B2346" s="232"/>
      <c r="C2346" s="400"/>
      <c r="D2346" s="233"/>
      <c r="E2346" s="405"/>
      <c r="F2346" s="405"/>
      <c r="G2346" s="405"/>
      <c r="H2346" s="408">
        <f>ROUND(+E2346+F2346+G2346,4)</f>
        <v>0</v>
      </c>
      <c r="I2346" s="234"/>
      <c r="J2346" s="411"/>
      <c r="K2346" s="411"/>
      <c r="L2346" s="414">
        <v>0.1</v>
      </c>
      <c r="M2346" s="414">
        <f>ROUND(+L2346*C2346,4)</f>
        <v>0</v>
      </c>
      <c r="N2346" s="414"/>
      <c r="O2346" s="414"/>
      <c r="P2346" s="414"/>
      <c r="Q2346" s="419">
        <f>ROUND(+N2346+O2346+P2346,4)</f>
        <v>0</v>
      </c>
      <c r="R2346" s="419">
        <f>ROUND(IF(+Q2346-H2346&lt;=0,0,Q2346-H2346),4)</f>
        <v>0</v>
      </c>
      <c r="S2346" s="423">
        <v>0.5</v>
      </c>
      <c r="T2346" s="419">
        <f>ROUND(+(R2346*C2346)*S2346,4)</f>
        <v>0</v>
      </c>
      <c r="U2346" s="419">
        <f>ROUND(+J2346+M2346+T2346,4)</f>
        <v>0</v>
      </c>
      <c r="V2346" s="235"/>
    </row>
    <row r="2347" spans="1:22" ht="15.75" x14ac:dyDescent="0.25">
      <c r="A2347" s="231"/>
      <c r="B2347" s="232"/>
      <c r="C2347" s="400"/>
      <c r="D2347" s="233"/>
      <c r="E2347" s="405"/>
      <c r="F2347" s="405"/>
      <c r="G2347" s="405"/>
      <c r="H2347" s="408">
        <f>ROUND(+E2347+F2347+G2347,4)</f>
        <v>0</v>
      </c>
      <c r="I2347" s="234"/>
      <c r="J2347" s="411"/>
      <c r="K2347" s="411"/>
      <c r="L2347" s="414">
        <v>0.1</v>
      </c>
      <c r="M2347" s="414">
        <f>ROUND(+L2347*C2347,4)</f>
        <v>0</v>
      </c>
      <c r="N2347" s="414"/>
      <c r="O2347" s="414"/>
      <c r="P2347" s="414"/>
      <c r="Q2347" s="419">
        <f>ROUND(+N2347+O2347+P2347,4)</f>
        <v>0</v>
      </c>
      <c r="R2347" s="419">
        <f>ROUND(IF(+Q2347-H2347&lt;=0,0,Q2347-H2347),4)</f>
        <v>0</v>
      </c>
      <c r="S2347" s="423">
        <v>0.5</v>
      </c>
      <c r="T2347" s="419">
        <f>ROUND(+(R2347*C2347)*S2347,4)</f>
        <v>0</v>
      </c>
      <c r="U2347" s="419">
        <f>ROUND(+J2347+M2347+T2347,4)</f>
        <v>0</v>
      </c>
      <c r="V2347" s="235"/>
    </row>
    <row r="2348" spans="1:22" ht="15.75" x14ac:dyDescent="0.25">
      <c r="A2348" s="231"/>
      <c r="B2348" s="232"/>
      <c r="C2348" s="400"/>
      <c r="D2348" s="233"/>
      <c r="E2348" s="405"/>
      <c r="F2348" s="405"/>
      <c r="G2348" s="405"/>
      <c r="H2348" s="408">
        <f>ROUND(+E2348+F2348+G2348,4)</f>
        <v>0</v>
      </c>
      <c r="I2348" s="234"/>
      <c r="J2348" s="411"/>
      <c r="K2348" s="411"/>
      <c r="L2348" s="414">
        <v>0.1</v>
      </c>
      <c r="M2348" s="414">
        <f>ROUND(+L2348*C2348,4)</f>
        <v>0</v>
      </c>
      <c r="N2348" s="414"/>
      <c r="O2348" s="414"/>
      <c r="P2348" s="414"/>
      <c r="Q2348" s="419">
        <f>ROUND(+N2348+O2348+P2348,4)</f>
        <v>0</v>
      </c>
      <c r="R2348" s="419">
        <f>ROUND(IF(+Q2348-H2348&lt;=0,0,Q2348-H2348),4)</f>
        <v>0</v>
      </c>
      <c r="S2348" s="423">
        <v>0.5</v>
      </c>
      <c r="T2348" s="419">
        <f>ROUND(+(R2348*C2348)*S2348,4)</f>
        <v>0</v>
      </c>
      <c r="U2348" s="419">
        <f>ROUND(+J2348+M2348+T2348,4)</f>
        <v>0</v>
      </c>
      <c r="V2348" s="235"/>
    </row>
    <row r="2349" spans="1:22" ht="15.75" x14ac:dyDescent="0.25">
      <c r="A2349" s="231"/>
      <c r="B2349" s="232"/>
      <c r="C2349" s="400"/>
      <c r="D2349" s="233"/>
      <c r="E2349" s="405"/>
      <c r="F2349" s="405"/>
      <c r="G2349" s="405"/>
      <c r="H2349" s="408">
        <f>ROUND(+E2349+F2349+G2349,4)</f>
        <v>0</v>
      </c>
      <c r="I2349" s="234"/>
      <c r="J2349" s="411"/>
      <c r="K2349" s="411"/>
      <c r="L2349" s="414">
        <v>0.1</v>
      </c>
      <c r="M2349" s="414">
        <f>ROUND(+L2349*C2349,4)</f>
        <v>0</v>
      </c>
      <c r="N2349" s="414"/>
      <c r="O2349" s="414"/>
      <c r="P2349" s="414"/>
      <c r="Q2349" s="419">
        <f>ROUND(+N2349+O2349+P2349,4)</f>
        <v>0</v>
      </c>
      <c r="R2349" s="419">
        <f>ROUND(IF(+Q2349-H2349&lt;=0,0,Q2349-H2349),4)</f>
        <v>0</v>
      </c>
      <c r="S2349" s="423">
        <v>0.5</v>
      </c>
      <c r="T2349" s="419">
        <f>ROUND(+(R2349*C2349)*S2349,4)</f>
        <v>0</v>
      </c>
      <c r="U2349" s="419">
        <f>ROUND(+J2349+M2349+T2349,4)</f>
        <v>0</v>
      </c>
      <c r="V2349" s="235"/>
    </row>
    <row r="2350" spans="1:22" ht="15.75" x14ac:dyDescent="0.25">
      <c r="A2350" s="231"/>
      <c r="B2350" s="232"/>
      <c r="C2350" s="400"/>
      <c r="D2350" s="233"/>
      <c r="E2350" s="405"/>
      <c r="F2350" s="405"/>
      <c r="G2350" s="405"/>
      <c r="H2350" s="408">
        <f>ROUND(+E2350+F2350+G2350,4)</f>
        <v>0</v>
      </c>
      <c r="I2350" s="234"/>
      <c r="J2350" s="411"/>
      <c r="K2350" s="411"/>
      <c r="L2350" s="414">
        <v>0.1</v>
      </c>
      <c r="M2350" s="414">
        <f>ROUND(+L2350*C2350,4)</f>
        <v>0</v>
      </c>
      <c r="N2350" s="414"/>
      <c r="O2350" s="414"/>
      <c r="P2350" s="414"/>
      <c r="Q2350" s="419">
        <f>ROUND(+N2350+O2350+P2350,4)</f>
        <v>0</v>
      </c>
      <c r="R2350" s="419">
        <f>ROUND(IF(+Q2350-H2350&lt;=0,0,Q2350-H2350),4)</f>
        <v>0</v>
      </c>
      <c r="S2350" s="423">
        <v>0.5</v>
      </c>
      <c r="T2350" s="419">
        <f>ROUND(+(R2350*C2350)*S2350,4)</f>
        <v>0</v>
      </c>
      <c r="U2350" s="419">
        <f>ROUND(+J2350+M2350+T2350,4)</f>
        <v>0</v>
      </c>
      <c r="V2350" s="235"/>
    </row>
    <row r="2351" spans="1:22" ht="15.75" x14ac:dyDescent="0.25">
      <c r="A2351" s="231"/>
      <c r="B2351" s="232"/>
      <c r="C2351" s="400"/>
      <c r="D2351" s="233"/>
      <c r="E2351" s="405"/>
      <c r="F2351" s="405"/>
      <c r="G2351" s="405"/>
      <c r="H2351" s="408">
        <f>ROUND(+E2351+F2351+G2351,4)</f>
        <v>0</v>
      </c>
      <c r="I2351" s="234"/>
      <c r="J2351" s="411"/>
      <c r="K2351" s="411"/>
      <c r="L2351" s="414">
        <v>0.1</v>
      </c>
      <c r="M2351" s="414">
        <f>ROUND(+L2351*C2351,4)</f>
        <v>0</v>
      </c>
      <c r="N2351" s="414"/>
      <c r="O2351" s="414"/>
      <c r="P2351" s="414"/>
      <c r="Q2351" s="419">
        <f>ROUND(+N2351+O2351+P2351,4)</f>
        <v>0</v>
      </c>
      <c r="R2351" s="419">
        <f>ROUND(IF(+Q2351-H2351&lt;=0,0,Q2351-H2351),4)</f>
        <v>0</v>
      </c>
      <c r="S2351" s="423">
        <v>0.5</v>
      </c>
      <c r="T2351" s="419">
        <f>ROUND(+(R2351*C2351)*S2351,4)</f>
        <v>0</v>
      </c>
      <c r="U2351" s="419">
        <f>ROUND(+J2351+M2351+T2351,4)</f>
        <v>0</v>
      </c>
      <c r="V2351" s="235"/>
    </row>
    <row r="2352" spans="1:22" ht="15.75" x14ac:dyDescent="0.25">
      <c r="A2352" s="231"/>
      <c r="B2352" s="232"/>
      <c r="C2352" s="400"/>
      <c r="D2352" s="233"/>
      <c r="E2352" s="405"/>
      <c r="F2352" s="405"/>
      <c r="G2352" s="405"/>
      <c r="H2352" s="408">
        <f>ROUND(+E2352+F2352+G2352,4)</f>
        <v>0</v>
      </c>
      <c r="I2352" s="234"/>
      <c r="J2352" s="411"/>
      <c r="K2352" s="411"/>
      <c r="L2352" s="414">
        <v>0.1</v>
      </c>
      <c r="M2352" s="414">
        <f>ROUND(+L2352*C2352,4)</f>
        <v>0</v>
      </c>
      <c r="N2352" s="414"/>
      <c r="O2352" s="414"/>
      <c r="P2352" s="414"/>
      <c r="Q2352" s="419">
        <f>ROUND(+N2352+O2352+P2352,4)</f>
        <v>0</v>
      </c>
      <c r="R2352" s="419">
        <f>ROUND(IF(+Q2352-H2352&lt;=0,0,Q2352-H2352),4)</f>
        <v>0</v>
      </c>
      <c r="S2352" s="423">
        <v>0.5</v>
      </c>
      <c r="T2352" s="419">
        <f>ROUND(+(R2352*C2352)*S2352,4)</f>
        <v>0</v>
      </c>
      <c r="U2352" s="419">
        <f>ROUND(+J2352+M2352+T2352,4)</f>
        <v>0</v>
      </c>
      <c r="V2352" s="235"/>
    </row>
    <row r="2353" spans="1:22" ht="15.75" x14ac:dyDescent="0.25">
      <c r="A2353" s="231"/>
      <c r="B2353" s="232"/>
      <c r="C2353" s="400"/>
      <c r="D2353" s="233"/>
      <c r="E2353" s="405"/>
      <c r="F2353" s="405"/>
      <c r="G2353" s="405"/>
      <c r="H2353" s="408">
        <f>ROUND(+E2353+F2353+G2353,4)</f>
        <v>0</v>
      </c>
      <c r="I2353" s="234"/>
      <c r="J2353" s="411"/>
      <c r="K2353" s="411"/>
      <c r="L2353" s="414">
        <v>0.1</v>
      </c>
      <c r="M2353" s="414">
        <f>ROUND(+L2353*C2353,4)</f>
        <v>0</v>
      </c>
      <c r="N2353" s="414"/>
      <c r="O2353" s="414"/>
      <c r="P2353" s="414"/>
      <c r="Q2353" s="419">
        <f>ROUND(+N2353+O2353+P2353,4)</f>
        <v>0</v>
      </c>
      <c r="R2353" s="419">
        <f>ROUND(IF(+Q2353-H2353&lt;=0,0,Q2353-H2353),4)</f>
        <v>0</v>
      </c>
      <c r="S2353" s="423">
        <v>0.5</v>
      </c>
      <c r="T2353" s="419">
        <f>ROUND(+(R2353*C2353)*S2353,4)</f>
        <v>0</v>
      </c>
      <c r="U2353" s="419">
        <f>ROUND(+J2353+M2353+T2353,4)</f>
        <v>0</v>
      </c>
      <c r="V2353" s="235"/>
    </row>
    <row r="2354" spans="1:22" ht="15.75" x14ac:dyDescent="0.25">
      <c r="A2354" s="231"/>
      <c r="B2354" s="232"/>
      <c r="C2354" s="400"/>
      <c r="D2354" s="233"/>
      <c r="E2354" s="405"/>
      <c r="F2354" s="405"/>
      <c r="G2354" s="405"/>
      <c r="H2354" s="408">
        <f>ROUND(+E2354+F2354+G2354,4)</f>
        <v>0</v>
      </c>
      <c r="I2354" s="234"/>
      <c r="J2354" s="411"/>
      <c r="K2354" s="411"/>
      <c r="L2354" s="414">
        <v>0.1</v>
      </c>
      <c r="M2354" s="414">
        <f>ROUND(+L2354*C2354,4)</f>
        <v>0</v>
      </c>
      <c r="N2354" s="414"/>
      <c r="O2354" s="414"/>
      <c r="P2354" s="414"/>
      <c r="Q2354" s="419">
        <f>ROUND(+N2354+O2354+P2354,4)</f>
        <v>0</v>
      </c>
      <c r="R2354" s="419">
        <f>ROUND(IF(+Q2354-H2354&lt;=0,0,Q2354-H2354),4)</f>
        <v>0</v>
      </c>
      <c r="S2354" s="423">
        <v>0.5</v>
      </c>
      <c r="T2354" s="419">
        <f>ROUND(+(R2354*C2354)*S2354,4)</f>
        <v>0</v>
      </c>
      <c r="U2354" s="419">
        <f>ROUND(+J2354+M2354+T2354,4)</f>
        <v>0</v>
      </c>
      <c r="V2354" s="235"/>
    </row>
    <row r="2355" spans="1:22" ht="15.75" x14ac:dyDescent="0.25">
      <c r="A2355" s="231"/>
      <c r="B2355" s="232"/>
      <c r="C2355" s="400"/>
      <c r="D2355" s="233"/>
      <c r="E2355" s="405"/>
      <c r="F2355" s="405"/>
      <c r="G2355" s="405"/>
      <c r="H2355" s="408">
        <f>ROUND(+E2355+F2355+G2355,4)</f>
        <v>0</v>
      </c>
      <c r="I2355" s="234"/>
      <c r="J2355" s="411"/>
      <c r="K2355" s="411"/>
      <c r="L2355" s="414">
        <v>0.1</v>
      </c>
      <c r="M2355" s="414">
        <f>ROUND(+L2355*C2355,4)</f>
        <v>0</v>
      </c>
      <c r="N2355" s="414"/>
      <c r="O2355" s="414"/>
      <c r="P2355" s="414"/>
      <c r="Q2355" s="419">
        <f>ROUND(+N2355+O2355+P2355,4)</f>
        <v>0</v>
      </c>
      <c r="R2355" s="419">
        <f>ROUND(IF(+Q2355-H2355&lt;=0,0,Q2355-H2355),4)</f>
        <v>0</v>
      </c>
      <c r="S2355" s="423">
        <v>0.5</v>
      </c>
      <c r="T2355" s="419">
        <f>ROUND(+(R2355*C2355)*S2355,4)</f>
        <v>0</v>
      </c>
      <c r="U2355" s="419">
        <f>ROUND(+J2355+M2355+T2355,4)</f>
        <v>0</v>
      </c>
      <c r="V2355" s="235"/>
    </row>
    <row r="2356" spans="1:22" ht="15.75" x14ac:dyDescent="0.25">
      <c r="A2356" s="231"/>
      <c r="B2356" s="232"/>
      <c r="C2356" s="400"/>
      <c r="D2356" s="233"/>
      <c r="E2356" s="405"/>
      <c r="F2356" s="405"/>
      <c r="G2356" s="405"/>
      <c r="H2356" s="408">
        <f>ROUND(+E2356+F2356+G2356,4)</f>
        <v>0</v>
      </c>
      <c r="I2356" s="234"/>
      <c r="J2356" s="411"/>
      <c r="K2356" s="411"/>
      <c r="L2356" s="414">
        <v>0.1</v>
      </c>
      <c r="M2356" s="414">
        <f>ROUND(+L2356*C2356,4)</f>
        <v>0</v>
      </c>
      <c r="N2356" s="414"/>
      <c r="O2356" s="414"/>
      <c r="P2356" s="414"/>
      <c r="Q2356" s="419">
        <f>ROUND(+N2356+O2356+P2356,4)</f>
        <v>0</v>
      </c>
      <c r="R2356" s="419">
        <f>ROUND(IF(+Q2356-H2356&lt;=0,0,Q2356-H2356),4)</f>
        <v>0</v>
      </c>
      <c r="S2356" s="423">
        <v>0.5</v>
      </c>
      <c r="T2356" s="419">
        <f>ROUND(+(R2356*C2356)*S2356,4)</f>
        <v>0</v>
      </c>
      <c r="U2356" s="419">
        <f>ROUND(+J2356+M2356+T2356,4)</f>
        <v>0</v>
      </c>
      <c r="V2356" s="235"/>
    </row>
    <row r="2357" spans="1:22" ht="15.75" x14ac:dyDescent="0.25">
      <c r="A2357" s="231"/>
      <c r="B2357" s="232"/>
      <c r="C2357" s="400"/>
      <c r="D2357" s="233"/>
      <c r="E2357" s="405"/>
      <c r="F2357" s="405"/>
      <c r="G2357" s="405"/>
      <c r="H2357" s="408">
        <f>ROUND(+E2357+F2357+G2357,4)</f>
        <v>0</v>
      </c>
      <c r="I2357" s="234"/>
      <c r="J2357" s="411"/>
      <c r="K2357" s="411"/>
      <c r="L2357" s="414">
        <v>0.1</v>
      </c>
      <c r="M2357" s="414">
        <f>ROUND(+L2357*C2357,4)</f>
        <v>0</v>
      </c>
      <c r="N2357" s="414"/>
      <c r="O2357" s="414"/>
      <c r="P2357" s="414"/>
      <c r="Q2357" s="419">
        <f>ROUND(+N2357+O2357+P2357,4)</f>
        <v>0</v>
      </c>
      <c r="R2357" s="419">
        <f>ROUND(IF(+Q2357-H2357&lt;=0,0,Q2357-H2357),4)</f>
        <v>0</v>
      </c>
      <c r="S2357" s="423">
        <v>0.5</v>
      </c>
      <c r="T2357" s="419">
        <f>ROUND(+(R2357*C2357)*S2357,4)</f>
        <v>0</v>
      </c>
      <c r="U2357" s="419">
        <f>ROUND(+J2357+M2357+T2357,4)</f>
        <v>0</v>
      </c>
      <c r="V2357" s="235"/>
    </row>
    <row r="2358" spans="1:22" ht="15.75" x14ac:dyDescent="0.25">
      <c r="A2358" s="231"/>
      <c r="B2358" s="232"/>
      <c r="C2358" s="400"/>
      <c r="D2358" s="233"/>
      <c r="E2358" s="405"/>
      <c r="F2358" s="405"/>
      <c r="G2358" s="405"/>
      <c r="H2358" s="408">
        <f>ROUND(+E2358+F2358+G2358,4)</f>
        <v>0</v>
      </c>
      <c r="I2358" s="234"/>
      <c r="J2358" s="411"/>
      <c r="K2358" s="411"/>
      <c r="L2358" s="414">
        <v>0.1</v>
      </c>
      <c r="M2358" s="414">
        <f>ROUND(+L2358*C2358,4)</f>
        <v>0</v>
      </c>
      <c r="N2358" s="414"/>
      <c r="O2358" s="414"/>
      <c r="P2358" s="414"/>
      <c r="Q2358" s="419">
        <f>ROUND(+N2358+O2358+P2358,4)</f>
        <v>0</v>
      </c>
      <c r="R2358" s="419">
        <f>ROUND(IF(+Q2358-H2358&lt;=0,0,Q2358-H2358),4)</f>
        <v>0</v>
      </c>
      <c r="S2358" s="423">
        <v>0.5</v>
      </c>
      <c r="T2358" s="419">
        <f>ROUND(+(R2358*C2358)*S2358,4)</f>
        <v>0</v>
      </c>
      <c r="U2358" s="419">
        <f>ROUND(+J2358+M2358+T2358,4)</f>
        <v>0</v>
      </c>
      <c r="V2358" s="235"/>
    </row>
    <row r="2359" spans="1:22" ht="15.75" x14ac:dyDescent="0.25">
      <c r="A2359" s="231"/>
      <c r="B2359" s="232"/>
      <c r="C2359" s="400"/>
      <c r="D2359" s="233"/>
      <c r="E2359" s="405"/>
      <c r="F2359" s="405"/>
      <c r="G2359" s="405"/>
      <c r="H2359" s="408">
        <f>ROUND(+E2359+F2359+G2359,4)</f>
        <v>0</v>
      </c>
      <c r="I2359" s="234"/>
      <c r="J2359" s="411"/>
      <c r="K2359" s="411"/>
      <c r="L2359" s="414">
        <v>0.1</v>
      </c>
      <c r="M2359" s="414">
        <f>ROUND(+L2359*C2359,4)</f>
        <v>0</v>
      </c>
      <c r="N2359" s="414"/>
      <c r="O2359" s="414"/>
      <c r="P2359" s="414"/>
      <c r="Q2359" s="419">
        <f>ROUND(+N2359+O2359+P2359,4)</f>
        <v>0</v>
      </c>
      <c r="R2359" s="419">
        <f>ROUND(IF(+Q2359-H2359&lt;=0,0,Q2359-H2359),4)</f>
        <v>0</v>
      </c>
      <c r="S2359" s="423">
        <v>0.5</v>
      </c>
      <c r="T2359" s="419">
        <f>ROUND(+(R2359*C2359)*S2359,4)</f>
        <v>0</v>
      </c>
      <c r="U2359" s="419">
        <f>ROUND(+J2359+M2359+T2359,4)</f>
        <v>0</v>
      </c>
      <c r="V2359" s="235"/>
    </row>
    <row r="2360" spans="1:22" ht="15.75" x14ac:dyDescent="0.25">
      <c r="A2360" s="231"/>
      <c r="B2360" s="232"/>
      <c r="C2360" s="400"/>
      <c r="D2360" s="233"/>
      <c r="E2360" s="405"/>
      <c r="F2360" s="405"/>
      <c r="G2360" s="405"/>
      <c r="H2360" s="408">
        <f>ROUND(+E2360+F2360+G2360,4)</f>
        <v>0</v>
      </c>
      <c r="I2360" s="234"/>
      <c r="J2360" s="411"/>
      <c r="K2360" s="411"/>
      <c r="L2360" s="414">
        <v>0.1</v>
      </c>
      <c r="M2360" s="414">
        <f>ROUND(+L2360*C2360,4)</f>
        <v>0</v>
      </c>
      <c r="N2360" s="414"/>
      <c r="O2360" s="414"/>
      <c r="P2360" s="414"/>
      <c r="Q2360" s="419">
        <f>ROUND(+N2360+O2360+P2360,4)</f>
        <v>0</v>
      </c>
      <c r="R2360" s="419">
        <f>ROUND(IF(+Q2360-H2360&lt;=0,0,Q2360-H2360),4)</f>
        <v>0</v>
      </c>
      <c r="S2360" s="423">
        <v>0.5</v>
      </c>
      <c r="T2360" s="419">
        <f>ROUND(+(R2360*C2360)*S2360,4)</f>
        <v>0</v>
      </c>
      <c r="U2360" s="419">
        <f>ROUND(+J2360+M2360+T2360,4)</f>
        <v>0</v>
      </c>
      <c r="V2360" s="235"/>
    </row>
    <row r="2361" spans="1:22" ht="15.75" x14ac:dyDescent="0.25">
      <c r="A2361" s="231"/>
      <c r="B2361" s="232"/>
      <c r="C2361" s="400"/>
      <c r="D2361" s="233"/>
      <c r="E2361" s="405"/>
      <c r="F2361" s="405"/>
      <c r="G2361" s="405"/>
      <c r="H2361" s="408">
        <f>ROUND(+E2361+F2361+G2361,4)</f>
        <v>0</v>
      </c>
      <c r="I2361" s="234"/>
      <c r="J2361" s="411"/>
      <c r="K2361" s="411"/>
      <c r="L2361" s="414">
        <v>0.1</v>
      </c>
      <c r="M2361" s="414">
        <f>ROUND(+L2361*C2361,4)</f>
        <v>0</v>
      </c>
      <c r="N2361" s="414"/>
      <c r="O2361" s="414"/>
      <c r="P2361" s="414"/>
      <c r="Q2361" s="419">
        <f>ROUND(+N2361+O2361+P2361,4)</f>
        <v>0</v>
      </c>
      <c r="R2361" s="419">
        <f>ROUND(IF(+Q2361-H2361&lt;=0,0,Q2361-H2361),4)</f>
        <v>0</v>
      </c>
      <c r="S2361" s="423">
        <v>0.5</v>
      </c>
      <c r="T2361" s="419">
        <f>ROUND(+(R2361*C2361)*S2361,4)</f>
        <v>0</v>
      </c>
      <c r="U2361" s="419">
        <f>ROUND(+J2361+M2361+T2361,4)</f>
        <v>0</v>
      </c>
      <c r="V2361" s="235"/>
    </row>
    <row r="2362" spans="1:22" ht="15.75" x14ac:dyDescent="0.25">
      <c r="A2362" s="231"/>
      <c r="B2362" s="232"/>
      <c r="C2362" s="400"/>
      <c r="D2362" s="233"/>
      <c r="E2362" s="405"/>
      <c r="F2362" s="405"/>
      <c r="G2362" s="405"/>
      <c r="H2362" s="408">
        <f>ROUND(+E2362+F2362+G2362,4)</f>
        <v>0</v>
      </c>
      <c r="I2362" s="234"/>
      <c r="J2362" s="411"/>
      <c r="K2362" s="411"/>
      <c r="L2362" s="414">
        <v>0.1</v>
      </c>
      <c r="M2362" s="414">
        <f>ROUND(+L2362*C2362,4)</f>
        <v>0</v>
      </c>
      <c r="N2362" s="414"/>
      <c r="O2362" s="414"/>
      <c r="P2362" s="414"/>
      <c r="Q2362" s="419">
        <f>ROUND(+N2362+O2362+P2362,4)</f>
        <v>0</v>
      </c>
      <c r="R2362" s="419">
        <f>ROUND(IF(+Q2362-H2362&lt;=0,0,Q2362-H2362),4)</f>
        <v>0</v>
      </c>
      <c r="S2362" s="423">
        <v>0.5</v>
      </c>
      <c r="T2362" s="419">
        <f>ROUND(+(R2362*C2362)*S2362,4)</f>
        <v>0</v>
      </c>
      <c r="U2362" s="419">
        <f>ROUND(+J2362+M2362+T2362,4)</f>
        <v>0</v>
      </c>
      <c r="V2362" s="235"/>
    </row>
    <row r="2363" spans="1:22" ht="15.75" x14ac:dyDescent="0.25">
      <c r="A2363" s="231"/>
      <c r="B2363" s="232"/>
      <c r="C2363" s="400"/>
      <c r="D2363" s="233"/>
      <c r="E2363" s="405"/>
      <c r="F2363" s="405"/>
      <c r="G2363" s="405"/>
      <c r="H2363" s="408">
        <f>ROUND(+E2363+F2363+G2363,4)</f>
        <v>0</v>
      </c>
      <c r="I2363" s="234"/>
      <c r="J2363" s="411"/>
      <c r="K2363" s="411"/>
      <c r="L2363" s="414">
        <v>0.1</v>
      </c>
      <c r="M2363" s="414">
        <f>ROUND(+L2363*C2363,4)</f>
        <v>0</v>
      </c>
      <c r="N2363" s="414"/>
      <c r="O2363" s="414"/>
      <c r="P2363" s="414"/>
      <c r="Q2363" s="419">
        <f>ROUND(+N2363+O2363+P2363,4)</f>
        <v>0</v>
      </c>
      <c r="R2363" s="419">
        <f>ROUND(IF(+Q2363-H2363&lt;=0,0,Q2363-H2363),4)</f>
        <v>0</v>
      </c>
      <c r="S2363" s="423">
        <v>0.5</v>
      </c>
      <c r="T2363" s="419">
        <f>ROUND(+(R2363*C2363)*S2363,4)</f>
        <v>0</v>
      </c>
      <c r="U2363" s="419">
        <f>ROUND(+J2363+M2363+T2363,4)</f>
        <v>0</v>
      </c>
      <c r="V2363" s="235"/>
    </row>
    <row r="2364" spans="1:22" ht="15.75" x14ac:dyDescent="0.25">
      <c r="A2364" s="231"/>
      <c r="B2364" s="232"/>
      <c r="C2364" s="400"/>
      <c r="D2364" s="233"/>
      <c r="E2364" s="405"/>
      <c r="F2364" s="405"/>
      <c r="G2364" s="405"/>
      <c r="H2364" s="408">
        <f>ROUND(+E2364+F2364+G2364,4)</f>
        <v>0</v>
      </c>
      <c r="I2364" s="234"/>
      <c r="J2364" s="411"/>
      <c r="K2364" s="411"/>
      <c r="L2364" s="414">
        <v>0.1</v>
      </c>
      <c r="M2364" s="414">
        <f>ROUND(+L2364*C2364,4)</f>
        <v>0</v>
      </c>
      <c r="N2364" s="414"/>
      <c r="O2364" s="414"/>
      <c r="P2364" s="414"/>
      <c r="Q2364" s="419">
        <f>ROUND(+N2364+O2364+P2364,4)</f>
        <v>0</v>
      </c>
      <c r="R2364" s="419">
        <f>ROUND(IF(+Q2364-H2364&lt;=0,0,Q2364-H2364),4)</f>
        <v>0</v>
      </c>
      <c r="S2364" s="423">
        <v>0.5</v>
      </c>
      <c r="T2364" s="419">
        <f>ROUND(+(R2364*C2364)*S2364,4)</f>
        <v>0</v>
      </c>
      <c r="U2364" s="419">
        <f>ROUND(+J2364+M2364+T2364,4)</f>
        <v>0</v>
      </c>
      <c r="V2364" s="235"/>
    </row>
    <row r="2365" spans="1:22" ht="15.75" x14ac:dyDescent="0.25">
      <c r="A2365" s="231"/>
      <c r="B2365" s="232"/>
      <c r="C2365" s="400"/>
      <c r="D2365" s="233"/>
      <c r="E2365" s="405"/>
      <c r="F2365" s="405"/>
      <c r="G2365" s="405"/>
      <c r="H2365" s="408">
        <f>ROUND(+E2365+F2365+G2365,4)</f>
        <v>0</v>
      </c>
      <c r="I2365" s="234"/>
      <c r="J2365" s="411"/>
      <c r="K2365" s="411"/>
      <c r="L2365" s="414">
        <v>0.1</v>
      </c>
      <c r="M2365" s="414">
        <f>ROUND(+L2365*C2365,4)</f>
        <v>0</v>
      </c>
      <c r="N2365" s="414"/>
      <c r="O2365" s="414"/>
      <c r="P2365" s="414"/>
      <c r="Q2365" s="419">
        <f>ROUND(+N2365+O2365+P2365,4)</f>
        <v>0</v>
      </c>
      <c r="R2365" s="419">
        <f>ROUND(IF(+Q2365-H2365&lt;=0,0,Q2365-H2365),4)</f>
        <v>0</v>
      </c>
      <c r="S2365" s="423">
        <v>0.5</v>
      </c>
      <c r="T2365" s="419">
        <f>ROUND(+(R2365*C2365)*S2365,4)</f>
        <v>0</v>
      </c>
      <c r="U2365" s="419">
        <f>ROUND(+J2365+M2365+T2365,4)</f>
        <v>0</v>
      </c>
      <c r="V2365" s="235"/>
    </row>
    <row r="2366" spans="1:22" ht="15.75" x14ac:dyDescent="0.25">
      <c r="A2366" s="231"/>
      <c r="B2366" s="232"/>
      <c r="C2366" s="400"/>
      <c r="D2366" s="233"/>
      <c r="E2366" s="405"/>
      <c r="F2366" s="405"/>
      <c r="G2366" s="405"/>
      <c r="H2366" s="408">
        <f>ROUND(+E2366+F2366+G2366,4)</f>
        <v>0</v>
      </c>
      <c r="I2366" s="234"/>
      <c r="J2366" s="411"/>
      <c r="K2366" s="411"/>
      <c r="L2366" s="414">
        <v>0.1</v>
      </c>
      <c r="M2366" s="414">
        <f>ROUND(+L2366*C2366,4)</f>
        <v>0</v>
      </c>
      <c r="N2366" s="414"/>
      <c r="O2366" s="414"/>
      <c r="P2366" s="414"/>
      <c r="Q2366" s="419">
        <f>ROUND(+N2366+O2366+P2366,4)</f>
        <v>0</v>
      </c>
      <c r="R2366" s="419">
        <f>ROUND(IF(+Q2366-H2366&lt;=0,0,Q2366-H2366),4)</f>
        <v>0</v>
      </c>
      <c r="S2366" s="423">
        <v>0.5</v>
      </c>
      <c r="T2366" s="419">
        <f>ROUND(+(R2366*C2366)*S2366,4)</f>
        <v>0</v>
      </c>
      <c r="U2366" s="419">
        <f>ROUND(+J2366+M2366+T2366,4)</f>
        <v>0</v>
      </c>
      <c r="V2366" s="235"/>
    </row>
    <row r="2367" spans="1:22" ht="15.75" x14ac:dyDescent="0.25">
      <c r="A2367" s="231"/>
      <c r="B2367" s="232"/>
      <c r="C2367" s="400"/>
      <c r="D2367" s="233"/>
      <c r="E2367" s="405"/>
      <c r="F2367" s="405"/>
      <c r="G2367" s="405"/>
      <c r="H2367" s="408">
        <f>ROUND(+E2367+F2367+G2367,4)</f>
        <v>0</v>
      </c>
      <c r="I2367" s="234"/>
      <c r="J2367" s="411"/>
      <c r="K2367" s="411"/>
      <c r="L2367" s="414">
        <v>0.1</v>
      </c>
      <c r="M2367" s="414">
        <f>ROUND(+L2367*C2367,4)</f>
        <v>0</v>
      </c>
      <c r="N2367" s="414"/>
      <c r="O2367" s="414"/>
      <c r="P2367" s="414"/>
      <c r="Q2367" s="419">
        <f>ROUND(+N2367+O2367+P2367,4)</f>
        <v>0</v>
      </c>
      <c r="R2367" s="419">
        <f>ROUND(IF(+Q2367-H2367&lt;=0,0,Q2367-H2367),4)</f>
        <v>0</v>
      </c>
      <c r="S2367" s="423">
        <v>0.5</v>
      </c>
      <c r="T2367" s="419">
        <f>ROUND(+(R2367*C2367)*S2367,4)</f>
        <v>0</v>
      </c>
      <c r="U2367" s="419">
        <f>ROUND(+J2367+M2367+T2367,4)</f>
        <v>0</v>
      </c>
      <c r="V2367" s="235"/>
    </row>
    <row r="2368" spans="1:22" ht="15.75" x14ac:dyDescent="0.25">
      <c r="A2368" s="231"/>
      <c r="B2368" s="232"/>
      <c r="C2368" s="400"/>
      <c r="D2368" s="233"/>
      <c r="E2368" s="405"/>
      <c r="F2368" s="405"/>
      <c r="G2368" s="405"/>
      <c r="H2368" s="408">
        <f>ROUND(+E2368+F2368+G2368,4)</f>
        <v>0</v>
      </c>
      <c r="I2368" s="234"/>
      <c r="J2368" s="411"/>
      <c r="K2368" s="411"/>
      <c r="L2368" s="414">
        <v>0.1</v>
      </c>
      <c r="M2368" s="414">
        <f>ROUND(+L2368*C2368,4)</f>
        <v>0</v>
      </c>
      <c r="N2368" s="414"/>
      <c r="O2368" s="414"/>
      <c r="P2368" s="414"/>
      <c r="Q2368" s="419">
        <f>ROUND(+N2368+O2368+P2368,4)</f>
        <v>0</v>
      </c>
      <c r="R2368" s="419">
        <f>ROUND(IF(+Q2368-H2368&lt;=0,0,Q2368-H2368),4)</f>
        <v>0</v>
      </c>
      <c r="S2368" s="423">
        <v>0.5</v>
      </c>
      <c r="T2368" s="419">
        <f>ROUND(+(R2368*C2368)*S2368,4)</f>
        <v>0</v>
      </c>
      <c r="U2368" s="419">
        <f>ROUND(+J2368+M2368+T2368,4)</f>
        <v>0</v>
      </c>
      <c r="V2368" s="235"/>
    </row>
    <row r="2369" spans="1:22" ht="15.75" x14ac:dyDescent="0.25">
      <c r="A2369" s="231"/>
      <c r="B2369" s="232"/>
      <c r="C2369" s="400"/>
      <c r="D2369" s="233"/>
      <c r="E2369" s="405"/>
      <c r="F2369" s="405"/>
      <c r="G2369" s="405"/>
      <c r="H2369" s="408">
        <f>ROUND(+E2369+F2369+G2369,4)</f>
        <v>0</v>
      </c>
      <c r="I2369" s="234"/>
      <c r="J2369" s="411"/>
      <c r="K2369" s="411"/>
      <c r="L2369" s="414">
        <v>0.1</v>
      </c>
      <c r="M2369" s="414">
        <f>ROUND(+L2369*C2369,4)</f>
        <v>0</v>
      </c>
      <c r="N2369" s="414"/>
      <c r="O2369" s="414"/>
      <c r="P2369" s="414"/>
      <c r="Q2369" s="419">
        <f>ROUND(+N2369+O2369+P2369,4)</f>
        <v>0</v>
      </c>
      <c r="R2369" s="419">
        <f>ROUND(IF(+Q2369-H2369&lt;=0,0,Q2369-H2369),4)</f>
        <v>0</v>
      </c>
      <c r="S2369" s="423">
        <v>0.5</v>
      </c>
      <c r="T2369" s="419">
        <f>ROUND(+(R2369*C2369)*S2369,4)</f>
        <v>0</v>
      </c>
      <c r="U2369" s="419">
        <f>ROUND(+J2369+M2369+T2369,4)</f>
        <v>0</v>
      </c>
      <c r="V2369" s="235"/>
    </row>
    <row r="2370" spans="1:22" ht="15.75" x14ac:dyDescent="0.25">
      <c r="A2370" s="231"/>
      <c r="B2370" s="232"/>
      <c r="C2370" s="400"/>
      <c r="D2370" s="233"/>
      <c r="E2370" s="405"/>
      <c r="F2370" s="405"/>
      <c r="G2370" s="405"/>
      <c r="H2370" s="408">
        <f>ROUND(+E2370+F2370+G2370,4)</f>
        <v>0</v>
      </c>
      <c r="I2370" s="234"/>
      <c r="J2370" s="411"/>
      <c r="K2370" s="411"/>
      <c r="L2370" s="414">
        <v>0.1</v>
      </c>
      <c r="M2370" s="414">
        <f>ROUND(+L2370*C2370,4)</f>
        <v>0</v>
      </c>
      <c r="N2370" s="414"/>
      <c r="O2370" s="414"/>
      <c r="P2370" s="414"/>
      <c r="Q2370" s="419">
        <f>ROUND(+N2370+O2370+P2370,4)</f>
        <v>0</v>
      </c>
      <c r="R2370" s="419">
        <f>ROUND(IF(+Q2370-H2370&lt;=0,0,Q2370-H2370),4)</f>
        <v>0</v>
      </c>
      <c r="S2370" s="423">
        <v>0.5</v>
      </c>
      <c r="T2370" s="419">
        <f>ROUND(+(R2370*C2370)*S2370,4)</f>
        <v>0</v>
      </c>
      <c r="U2370" s="419">
        <f>ROUND(+J2370+M2370+T2370,4)</f>
        <v>0</v>
      </c>
      <c r="V2370" s="235"/>
    </row>
    <row r="2371" spans="1:22" ht="15.75" x14ac:dyDescent="0.25">
      <c r="A2371" s="231"/>
      <c r="B2371" s="232"/>
      <c r="C2371" s="400"/>
      <c r="D2371" s="233"/>
      <c r="E2371" s="405"/>
      <c r="F2371" s="405"/>
      <c r="G2371" s="405"/>
      <c r="H2371" s="408">
        <f>ROUND(+E2371+F2371+G2371,4)</f>
        <v>0</v>
      </c>
      <c r="I2371" s="234"/>
      <c r="J2371" s="411"/>
      <c r="K2371" s="411"/>
      <c r="L2371" s="414">
        <v>0.1</v>
      </c>
      <c r="M2371" s="414">
        <f>ROUND(+L2371*C2371,4)</f>
        <v>0</v>
      </c>
      <c r="N2371" s="414"/>
      <c r="O2371" s="414"/>
      <c r="P2371" s="414"/>
      <c r="Q2371" s="419">
        <f>ROUND(+N2371+O2371+P2371,4)</f>
        <v>0</v>
      </c>
      <c r="R2371" s="419">
        <f>ROUND(IF(+Q2371-H2371&lt;=0,0,Q2371-H2371),4)</f>
        <v>0</v>
      </c>
      <c r="S2371" s="423">
        <v>0.5</v>
      </c>
      <c r="T2371" s="419">
        <f>ROUND(+(R2371*C2371)*S2371,4)</f>
        <v>0</v>
      </c>
      <c r="U2371" s="419">
        <f>ROUND(+J2371+M2371+T2371,4)</f>
        <v>0</v>
      </c>
      <c r="V2371" s="235"/>
    </row>
    <row r="2372" spans="1:22" ht="15.75" x14ac:dyDescent="0.25">
      <c r="A2372" s="231"/>
      <c r="B2372" s="232"/>
      <c r="C2372" s="400"/>
      <c r="D2372" s="233"/>
      <c r="E2372" s="405"/>
      <c r="F2372" s="405"/>
      <c r="G2372" s="405"/>
      <c r="H2372" s="408">
        <f>ROUND(+E2372+F2372+G2372,4)</f>
        <v>0</v>
      </c>
      <c r="I2372" s="234"/>
      <c r="J2372" s="411"/>
      <c r="K2372" s="411"/>
      <c r="L2372" s="414">
        <v>0.1</v>
      </c>
      <c r="M2372" s="414">
        <f>ROUND(+L2372*C2372,4)</f>
        <v>0</v>
      </c>
      <c r="N2372" s="414"/>
      <c r="O2372" s="414"/>
      <c r="P2372" s="414"/>
      <c r="Q2372" s="419">
        <f>ROUND(+N2372+O2372+P2372,4)</f>
        <v>0</v>
      </c>
      <c r="R2372" s="419">
        <f>ROUND(IF(+Q2372-H2372&lt;=0,0,Q2372-H2372),4)</f>
        <v>0</v>
      </c>
      <c r="S2372" s="423">
        <v>0.5</v>
      </c>
      <c r="T2372" s="419">
        <f>ROUND(+(R2372*C2372)*S2372,4)</f>
        <v>0</v>
      </c>
      <c r="U2372" s="419">
        <f>ROUND(+J2372+M2372+T2372,4)</f>
        <v>0</v>
      </c>
      <c r="V2372" s="235"/>
    </row>
    <row r="2373" spans="1:22" ht="15.75" x14ac:dyDescent="0.25">
      <c r="A2373" s="231"/>
      <c r="B2373" s="232"/>
      <c r="C2373" s="400"/>
      <c r="D2373" s="233"/>
      <c r="E2373" s="405"/>
      <c r="F2373" s="405"/>
      <c r="G2373" s="405"/>
      <c r="H2373" s="408">
        <f>ROUND(+E2373+F2373+G2373,4)</f>
        <v>0</v>
      </c>
      <c r="I2373" s="234"/>
      <c r="J2373" s="411"/>
      <c r="K2373" s="411"/>
      <c r="L2373" s="414">
        <v>0.1</v>
      </c>
      <c r="M2373" s="414">
        <f>ROUND(+L2373*C2373,4)</f>
        <v>0</v>
      </c>
      <c r="N2373" s="414"/>
      <c r="O2373" s="414"/>
      <c r="P2373" s="414"/>
      <c r="Q2373" s="419">
        <f>ROUND(+N2373+O2373+P2373,4)</f>
        <v>0</v>
      </c>
      <c r="R2373" s="419">
        <f>ROUND(IF(+Q2373-H2373&lt;=0,0,Q2373-H2373),4)</f>
        <v>0</v>
      </c>
      <c r="S2373" s="423">
        <v>0.5</v>
      </c>
      <c r="T2373" s="419">
        <f>ROUND(+(R2373*C2373)*S2373,4)</f>
        <v>0</v>
      </c>
      <c r="U2373" s="419">
        <f>ROUND(+J2373+M2373+T2373,4)</f>
        <v>0</v>
      </c>
      <c r="V2373" s="235"/>
    </row>
    <row r="2374" spans="1:22" ht="15.75" x14ac:dyDescent="0.25">
      <c r="A2374" s="231"/>
      <c r="B2374" s="232"/>
      <c r="C2374" s="400"/>
      <c r="D2374" s="233"/>
      <c r="E2374" s="405"/>
      <c r="F2374" s="405"/>
      <c r="G2374" s="405"/>
      <c r="H2374" s="408">
        <f>ROUND(+E2374+F2374+G2374,4)</f>
        <v>0</v>
      </c>
      <c r="I2374" s="234"/>
      <c r="J2374" s="411"/>
      <c r="K2374" s="411"/>
      <c r="L2374" s="414">
        <v>0.1</v>
      </c>
      <c r="M2374" s="414">
        <f>ROUND(+L2374*C2374,4)</f>
        <v>0</v>
      </c>
      <c r="N2374" s="414"/>
      <c r="O2374" s="414"/>
      <c r="P2374" s="414"/>
      <c r="Q2374" s="419">
        <f>ROUND(+N2374+O2374+P2374,4)</f>
        <v>0</v>
      </c>
      <c r="R2374" s="419">
        <f>ROUND(IF(+Q2374-H2374&lt;=0,0,Q2374-H2374),4)</f>
        <v>0</v>
      </c>
      <c r="S2374" s="423">
        <v>0.5</v>
      </c>
      <c r="T2374" s="419">
        <f>ROUND(+(R2374*C2374)*S2374,4)</f>
        <v>0</v>
      </c>
      <c r="U2374" s="419">
        <f>ROUND(+J2374+M2374+T2374,4)</f>
        <v>0</v>
      </c>
      <c r="V2374" s="235"/>
    </row>
    <row r="2375" spans="1:22" ht="15.75" x14ac:dyDescent="0.25">
      <c r="A2375" s="231"/>
      <c r="B2375" s="232"/>
      <c r="C2375" s="400"/>
      <c r="D2375" s="233"/>
      <c r="E2375" s="405"/>
      <c r="F2375" s="405"/>
      <c r="G2375" s="405"/>
      <c r="H2375" s="408">
        <f>ROUND(+E2375+F2375+G2375,4)</f>
        <v>0</v>
      </c>
      <c r="I2375" s="234"/>
      <c r="J2375" s="411"/>
      <c r="K2375" s="411"/>
      <c r="L2375" s="414">
        <v>0.1</v>
      </c>
      <c r="M2375" s="414">
        <f>ROUND(+L2375*C2375,4)</f>
        <v>0</v>
      </c>
      <c r="N2375" s="414"/>
      <c r="O2375" s="414"/>
      <c r="P2375" s="414"/>
      <c r="Q2375" s="419">
        <f>ROUND(+N2375+O2375+P2375,4)</f>
        <v>0</v>
      </c>
      <c r="R2375" s="419">
        <f>ROUND(IF(+Q2375-H2375&lt;=0,0,Q2375-H2375),4)</f>
        <v>0</v>
      </c>
      <c r="S2375" s="423">
        <v>0.5</v>
      </c>
      <c r="T2375" s="419">
        <f>ROUND(+(R2375*C2375)*S2375,4)</f>
        <v>0</v>
      </c>
      <c r="U2375" s="419">
        <f>ROUND(+J2375+M2375+T2375,4)</f>
        <v>0</v>
      </c>
      <c r="V2375" s="235"/>
    </row>
    <row r="2376" spans="1:22" ht="15.75" x14ac:dyDescent="0.25">
      <c r="A2376" s="231"/>
      <c r="B2376" s="232"/>
      <c r="C2376" s="400"/>
      <c r="D2376" s="233"/>
      <c r="E2376" s="405"/>
      <c r="F2376" s="405"/>
      <c r="G2376" s="405"/>
      <c r="H2376" s="408">
        <f>ROUND(+E2376+F2376+G2376,4)</f>
        <v>0</v>
      </c>
      <c r="I2376" s="234"/>
      <c r="J2376" s="411"/>
      <c r="K2376" s="411"/>
      <c r="L2376" s="414">
        <v>0.1</v>
      </c>
      <c r="M2376" s="414">
        <f>ROUND(+L2376*C2376,4)</f>
        <v>0</v>
      </c>
      <c r="N2376" s="414"/>
      <c r="O2376" s="414"/>
      <c r="P2376" s="414"/>
      <c r="Q2376" s="419">
        <f>ROUND(+N2376+O2376+P2376,4)</f>
        <v>0</v>
      </c>
      <c r="R2376" s="419">
        <f>ROUND(IF(+Q2376-H2376&lt;=0,0,Q2376-H2376),4)</f>
        <v>0</v>
      </c>
      <c r="S2376" s="423">
        <v>0.5</v>
      </c>
      <c r="T2376" s="419">
        <f>ROUND(+(R2376*C2376)*S2376,4)</f>
        <v>0</v>
      </c>
      <c r="U2376" s="419">
        <f>ROUND(+J2376+M2376+T2376,4)</f>
        <v>0</v>
      </c>
      <c r="V2376" s="235"/>
    </row>
    <row r="2377" spans="1:22" ht="15.75" x14ac:dyDescent="0.25">
      <c r="A2377" s="231"/>
      <c r="B2377" s="232"/>
      <c r="C2377" s="400"/>
      <c r="D2377" s="233"/>
      <c r="E2377" s="405"/>
      <c r="F2377" s="405"/>
      <c r="G2377" s="405"/>
      <c r="H2377" s="408">
        <f>ROUND(+E2377+F2377+G2377,4)</f>
        <v>0</v>
      </c>
      <c r="I2377" s="234"/>
      <c r="J2377" s="411"/>
      <c r="K2377" s="411"/>
      <c r="L2377" s="414">
        <v>0.1</v>
      </c>
      <c r="M2377" s="414">
        <f>ROUND(+L2377*C2377,4)</f>
        <v>0</v>
      </c>
      <c r="N2377" s="414"/>
      <c r="O2377" s="414"/>
      <c r="P2377" s="414"/>
      <c r="Q2377" s="419">
        <f>ROUND(+N2377+O2377+P2377,4)</f>
        <v>0</v>
      </c>
      <c r="R2377" s="419">
        <f>ROUND(IF(+Q2377-H2377&lt;=0,0,Q2377-H2377),4)</f>
        <v>0</v>
      </c>
      <c r="S2377" s="423">
        <v>0.5</v>
      </c>
      <c r="T2377" s="419">
        <f>ROUND(+(R2377*C2377)*S2377,4)</f>
        <v>0</v>
      </c>
      <c r="U2377" s="419">
        <f>ROUND(+J2377+M2377+T2377,4)</f>
        <v>0</v>
      </c>
      <c r="V2377" s="235"/>
    </row>
    <row r="2378" spans="1:22" ht="15.75" x14ac:dyDescent="0.25">
      <c r="A2378" s="231"/>
      <c r="B2378" s="232"/>
      <c r="C2378" s="400"/>
      <c r="D2378" s="233"/>
      <c r="E2378" s="405"/>
      <c r="F2378" s="405"/>
      <c r="G2378" s="405"/>
      <c r="H2378" s="408">
        <f>ROUND(+E2378+F2378+G2378,4)</f>
        <v>0</v>
      </c>
      <c r="I2378" s="234"/>
      <c r="J2378" s="411"/>
      <c r="K2378" s="411"/>
      <c r="L2378" s="414">
        <v>0.1</v>
      </c>
      <c r="M2378" s="414">
        <f>ROUND(+L2378*C2378,4)</f>
        <v>0</v>
      </c>
      <c r="N2378" s="414"/>
      <c r="O2378" s="414"/>
      <c r="P2378" s="414"/>
      <c r="Q2378" s="419">
        <f>ROUND(+N2378+O2378+P2378,4)</f>
        <v>0</v>
      </c>
      <c r="R2378" s="419">
        <f>ROUND(IF(+Q2378-H2378&lt;=0,0,Q2378-H2378),4)</f>
        <v>0</v>
      </c>
      <c r="S2378" s="423">
        <v>0.5</v>
      </c>
      <c r="T2378" s="419">
        <f>ROUND(+(R2378*C2378)*S2378,4)</f>
        <v>0</v>
      </c>
      <c r="U2378" s="419">
        <f>ROUND(+J2378+M2378+T2378,4)</f>
        <v>0</v>
      </c>
      <c r="V2378" s="235"/>
    </row>
    <row r="2379" spans="1:22" ht="15.75" x14ac:dyDescent="0.25">
      <c r="A2379" s="231"/>
      <c r="B2379" s="232"/>
      <c r="C2379" s="400"/>
      <c r="D2379" s="233"/>
      <c r="E2379" s="405"/>
      <c r="F2379" s="405"/>
      <c r="G2379" s="405"/>
      <c r="H2379" s="408">
        <f>ROUND(+E2379+F2379+G2379,4)</f>
        <v>0</v>
      </c>
      <c r="I2379" s="234"/>
      <c r="J2379" s="411"/>
      <c r="K2379" s="411"/>
      <c r="L2379" s="414">
        <v>0.1</v>
      </c>
      <c r="M2379" s="414">
        <f>ROUND(+L2379*C2379,4)</f>
        <v>0</v>
      </c>
      <c r="N2379" s="414"/>
      <c r="O2379" s="414"/>
      <c r="P2379" s="414"/>
      <c r="Q2379" s="419">
        <f>ROUND(+N2379+O2379+P2379,4)</f>
        <v>0</v>
      </c>
      <c r="R2379" s="419">
        <f>ROUND(IF(+Q2379-H2379&lt;=0,0,Q2379-H2379),4)</f>
        <v>0</v>
      </c>
      <c r="S2379" s="423">
        <v>0.5</v>
      </c>
      <c r="T2379" s="419">
        <f>ROUND(+(R2379*C2379)*S2379,4)</f>
        <v>0</v>
      </c>
      <c r="U2379" s="419">
        <f>ROUND(+J2379+M2379+T2379,4)</f>
        <v>0</v>
      </c>
      <c r="V2379" s="235"/>
    </row>
    <row r="2380" spans="1:22" ht="15.75" x14ac:dyDescent="0.25">
      <c r="A2380" s="231"/>
      <c r="B2380" s="232"/>
      <c r="C2380" s="400"/>
      <c r="D2380" s="233"/>
      <c r="E2380" s="405"/>
      <c r="F2380" s="405"/>
      <c r="G2380" s="405"/>
      <c r="H2380" s="408">
        <f>ROUND(+E2380+F2380+G2380,4)</f>
        <v>0</v>
      </c>
      <c r="I2380" s="234"/>
      <c r="J2380" s="411"/>
      <c r="K2380" s="411"/>
      <c r="L2380" s="414">
        <v>0.1</v>
      </c>
      <c r="M2380" s="414">
        <f>ROUND(+L2380*C2380,4)</f>
        <v>0</v>
      </c>
      <c r="N2380" s="414"/>
      <c r="O2380" s="414"/>
      <c r="P2380" s="414"/>
      <c r="Q2380" s="419">
        <f>ROUND(+N2380+O2380+P2380,4)</f>
        <v>0</v>
      </c>
      <c r="R2380" s="419">
        <f>ROUND(IF(+Q2380-H2380&lt;=0,0,Q2380-H2380),4)</f>
        <v>0</v>
      </c>
      <c r="S2380" s="423">
        <v>0.5</v>
      </c>
      <c r="T2380" s="419">
        <f>ROUND(+(R2380*C2380)*S2380,4)</f>
        <v>0</v>
      </c>
      <c r="U2380" s="419">
        <f>ROUND(+J2380+M2380+T2380,4)</f>
        <v>0</v>
      </c>
      <c r="V2380" s="235"/>
    </row>
    <row r="2381" spans="1:22" ht="15.75" x14ac:dyDescent="0.25">
      <c r="A2381" s="231"/>
      <c r="B2381" s="232"/>
      <c r="C2381" s="400"/>
      <c r="D2381" s="233"/>
      <c r="E2381" s="405"/>
      <c r="F2381" s="405"/>
      <c r="G2381" s="405"/>
      <c r="H2381" s="408">
        <f>ROUND(+E2381+F2381+G2381,4)</f>
        <v>0</v>
      </c>
      <c r="I2381" s="234"/>
      <c r="J2381" s="411"/>
      <c r="K2381" s="411"/>
      <c r="L2381" s="414">
        <v>0.1</v>
      </c>
      <c r="M2381" s="414">
        <f>ROUND(+L2381*C2381,4)</f>
        <v>0</v>
      </c>
      <c r="N2381" s="414"/>
      <c r="O2381" s="414"/>
      <c r="P2381" s="414"/>
      <c r="Q2381" s="419">
        <f>ROUND(+N2381+O2381+P2381,4)</f>
        <v>0</v>
      </c>
      <c r="R2381" s="419">
        <f>ROUND(IF(+Q2381-H2381&lt;=0,0,Q2381-H2381),4)</f>
        <v>0</v>
      </c>
      <c r="S2381" s="423">
        <v>0.5</v>
      </c>
      <c r="T2381" s="419">
        <f>ROUND(+(R2381*C2381)*S2381,4)</f>
        <v>0</v>
      </c>
      <c r="U2381" s="419">
        <f>ROUND(+J2381+M2381+T2381,4)</f>
        <v>0</v>
      </c>
      <c r="V2381" s="235"/>
    </row>
    <row r="2382" spans="1:22" ht="15.75" x14ac:dyDescent="0.25">
      <c r="A2382" s="231"/>
      <c r="B2382" s="232"/>
      <c r="C2382" s="400"/>
      <c r="D2382" s="233"/>
      <c r="E2382" s="405"/>
      <c r="F2382" s="405"/>
      <c r="G2382" s="405"/>
      <c r="H2382" s="408">
        <f>ROUND(+E2382+F2382+G2382,4)</f>
        <v>0</v>
      </c>
      <c r="I2382" s="234"/>
      <c r="J2382" s="411"/>
      <c r="K2382" s="411"/>
      <c r="L2382" s="414">
        <v>0.1</v>
      </c>
      <c r="M2382" s="414">
        <f>ROUND(+L2382*C2382,4)</f>
        <v>0</v>
      </c>
      <c r="N2382" s="414"/>
      <c r="O2382" s="414"/>
      <c r="P2382" s="414"/>
      <c r="Q2382" s="419">
        <f>ROUND(+N2382+O2382+P2382,4)</f>
        <v>0</v>
      </c>
      <c r="R2382" s="419">
        <f>ROUND(IF(+Q2382-H2382&lt;=0,0,Q2382-H2382),4)</f>
        <v>0</v>
      </c>
      <c r="S2382" s="423">
        <v>0.5</v>
      </c>
      <c r="T2382" s="419">
        <f>ROUND(+(R2382*C2382)*S2382,4)</f>
        <v>0</v>
      </c>
      <c r="U2382" s="419">
        <f>ROUND(+J2382+M2382+T2382,4)</f>
        <v>0</v>
      </c>
      <c r="V2382" s="235"/>
    </row>
    <row r="2383" spans="1:22" ht="15.75" x14ac:dyDescent="0.25">
      <c r="A2383" s="231"/>
      <c r="B2383" s="232"/>
      <c r="C2383" s="400"/>
      <c r="D2383" s="233"/>
      <c r="E2383" s="405"/>
      <c r="F2383" s="405"/>
      <c r="G2383" s="405"/>
      <c r="H2383" s="408">
        <f>ROUND(+E2383+F2383+G2383,4)</f>
        <v>0</v>
      </c>
      <c r="I2383" s="234"/>
      <c r="J2383" s="411"/>
      <c r="K2383" s="411"/>
      <c r="L2383" s="414">
        <v>0.1</v>
      </c>
      <c r="M2383" s="414">
        <f>ROUND(+L2383*C2383,4)</f>
        <v>0</v>
      </c>
      <c r="N2383" s="414"/>
      <c r="O2383" s="414"/>
      <c r="P2383" s="414"/>
      <c r="Q2383" s="419">
        <f>ROUND(+N2383+O2383+P2383,4)</f>
        <v>0</v>
      </c>
      <c r="R2383" s="419">
        <f>ROUND(IF(+Q2383-H2383&lt;=0,0,Q2383-H2383),4)</f>
        <v>0</v>
      </c>
      <c r="S2383" s="423">
        <v>0.5</v>
      </c>
      <c r="T2383" s="419">
        <f>ROUND(+(R2383*C2383)*S2383,4)</f>
        <v>0</v>
      </c>
      <c r="U2383" s="419">
        <f>ROUND(+J2383+M2383+T2383,4)</f>
        <v>0</v>
      </c>
      <c r="V2383" s="235"/>
    </row>
    <row r="2384" spans="1:22" ht="15.75" x14ac:dyDescent="0.25">
      <c r="A2384" s="231"/>
      <c r="B2384" s="232"/>
      <c r="C2384" s="400"/>
      <c r="D2384" s="233"/>
      <c r="E2384" s="405"/>
      <c r="F2384" s="405"/>
      <c r="G2384" s="405"/>
      <c r="H2384" s="408">
        <f>ROUND(+E2384+F2384+G2384,4)</f>
        <v>0</v>
      </c>
      <c r="I2384" s="234"/>
      <c r="J2384" s="411"/>
      <c r="K2384" s="411"/>
      <c r="L2384" s="414">
        <v>0.1</v>
      </c>
      <c r="M2384" s="414">
        <f>ROUND(+L2384*C2384,4)</f>
        <v>0</v>
      </c>
      <c r="N2384" s="414"/>
      <c r="O2384" s="414"/>
      <c r="P2384" s="414"/>
      <c r="Q2384" s="419">
        <f>ROUND(+N2384+O2384+P2384,4)</f>
        <v>0</v>
      </c>
      <c r="R2384" s="419">
        <f>ROUND(IF(+Q2384-H2384&lt;=0,0,Q2384-H2384),4)</f>
        <v>0</v>
      </c>
      <c r="S2384" s="423">
        <v>0.5</v>
      </c>
      <c r="T2384" s="419">
        <f>ROUND(+(R2384*C2384)*S2384,4)</f>
        <v>0</v>
      </c>
      <c r="U2384" s="419">
        <f>ROUND(+J2384+M2384+T2384,4)</f>
        <v>0</v>
      </c>
      <c r="V2384" s="235"/>
    </row>
    <row r="2385" spans="1:22" ht="15.75" x14ac:dyDescent="0.25">
      <c r="A2385" s="231"/>
      <c r="B2385" s="232"/>
      <c r="C2385" s="400"/>
      <c r="D2385" s="233"/>
      <c r="E2385" s="405"/>
      <c r="F2385" s="405"/>
      <c r="G2385" s="405"/>
      <c r="H2385" s="408">
        <f>ROUND(+E2385+F2385+G2385,4)</f>
        <v>0</v>
      </c>
      <c r="I2385" s="234"/>
      <c r="J2385" s="411"/>
      <c r="K2385" s="411"/>
      <c r="L2385" s="414">
        <v>0.1</v>
      </c>
      <c r="M2385" s="414">
        <f>ROUND(+L2385*C2385,4)</f>
        <v>0</v>
      </c>
      <c r="N2385" s="414"/>
      <c r="O2385" s="414"/>
      <c r="P2385" s="414"/>
      <c r="Q2385" s="419">
        <f>ROUND(+N2385+O2385+P2385,4)</f>
        <v>0</v>
      </c>
      <c r="R2385" s="419">
        <f>ROUND(IF(+Q2385-H2385&lt;=0,0,Q2385-H2385),4)</f>
        <v>0</v>
      </c>
      <c r="S2385" s="423">
        <v>0.5</v>
      </c>
      <c r="T2385" s="419">
        <f>ROUND(+(R2385*C2385)*S2385,4)</f>
        <v>0</v>
      </c>
      <c r="U2385" s="419">
        <f>ROUND(+J2385+M2385+T2385,4)</f>
        <v>0</v>
      </c>
      <c r="V2385" s="235"/>
    </row>
    <row r="2386" spans="1:22" ht="15.75" x14ac:dyDescent="0.25">
      <c r="A2386" s="231"/>
      <c r="B2386" s="232"/>
      <c r="C2386" s="400"/>
      <c r="D2386" s="233"/>
      <c r="E2386" s="405"/>
      <c r="F2386" s="405"/>
      <c r="G2386" s="405"/>
      <c r="H2386" s="408">
        <f>ROUND(+E2386+F2386+G2386,4)</f>
        <v>0</v>
      </c>
      <c r="I2386" s="234"/>
      <c r="J2386" s="411"/>
      <c r="K2386" s="411"/>
      <c r="L2386" s="414">
        <v>0.1</v>
      </c>
      <c r="M2386" s="414">
        <f>ROUND(+L2386*C2386,4)</f>
        <v>0</v>
      </c>
      <c r="N2386" s="414"/>
      <c r="O2386" s="414"/>
      <c r="P2386" s="414"/>
      <c r="Q2386" s="419">
        <f>ROUND(+N2386+O2386+P2386,4)</f>
        <v>0</v>
      </c>
      <c r="R2386" s="419">
        <f>ROUND(IF(+Q2386-H2386&lt;=0,0,Q2386-H2386),4)</f>
        <v>0</v>
      </c>
      <c r="S2386" s="423">
        <v>0.5</v>
      </c>
      <c r="T2386" s="419">
        <f>ROUND(+(R2386*C2386)*S2386,4)</f>
        <v>0</v>
      </c>
      <c r="U2386" s="419">
        <f>ROUND(+J2386+M2386+T2386,4)</f>
        <v>0</v>
      </c>
      <c r="V2386" s="235"/>
    </row>
    <row r="2387" spans="1:22" ht="15.75" x14ac:dyDescent="0.25">
      <c r="A2387" s="231"/>
      <c r="B2387" s="232"/>
      <c r="C2387" s="400"/>
      <c r="D2387" s="233"/>
      <c r="E2387" s="405"/>
      <c r="F2387" s="405"/>
      <c r="G2387" s="405"/>
      <c r="H2387" s="408">
        <f>ROUND(+E2387+F2387+G2387,4)</f>
        <v>0</v>
      </c>
      <c r="I2387" s="234"/>
      <c r="J2387" s="411"/>
      <c r="K2387" s="411"/>
      <c r="L2387" s="414">
        <v>0.1</v>
      </c>
      <c r="M2387" s="414">
        <f>ROUND(+L2387*C2387,4)</f>
        <v>0</v>
      </c>
      <c r="N2387" s="414"/>
      <c r="O2387" s="414"/>
      <c r="P2387" s="414"/>
      <c r="Q2387" s="419">
        <f>ROUND(+N2387+O2387+P2387,4)</f>
        <v>0</v>
      </c>
      <c r="R2387" s="419">
        <f>ROUND(IF(+Q2387-H2387&lt;=0,0,Q2387-H2387),4)</f>
        <v>0</v>
      </c>
      <c r="S2387" s="423">
        <v>0.5</v>
      </c>
      <c r="T2387" s="419">
        <f>ROUND(+(R2387*C2387)*S2387,4)</f>
        <v>0</v>
      </c>
      <c r="U2387" s="419">
        <f>ROUND(+J2387+M2387+T2387,4)</f>
        <v>0</v>
      </c>
      <c r="V2387" s="235"/>
    </row>
    <row r="2388" spans="1:22" ht="15.75" x14ac:dyDescent="0.25">
      <c r="A2388" s="231"/>
      <c r="B2388" s="232"/>
      <c r="C2388" s="400"/>
      <c r="D2388" s="233"/>
      <c r="E2388" s="405"/>
      <c r="F2388" s="405"/>
      <c r="G2388" s="405"/>
      <c r="H2388" s="408">
        <f>ROUND(+E2388+F2388+G2388,4)</f>
        <v>0</v>
      </c>
      <c r="I2388" s="234"/>
      <c r="J2388" s="411"/>
      <c r="K2388" s="411"/>
      <c r="L2388" s="414">
        <v>0.1</v>
      </c>
      <c r="M2388" s="414">
        <f>ROUND(+L2388*C2388,4)</f>
        <v>0</v>
      </c>
      <c r="N2388" s="414"/>
      <c r="O2388" s="414"/>
      <c r="P2388" s="414"/>
      <c r="Q2388" s="419">
        <f>ROUND(+N2388+O2388+P2388,4)</f>
        <v>0</v>
      </c>
      <c r="R2388" s="419">
        <f>ROUND(IF(+Q2388-H2388&lt;=0,0,Q2388-H2388),4)</f>
        <v>0</v>
      </c>
      <c r="S2388" s="423">
        <v>0.5</v>
      </c>
      <c r="T2388" s="419">
        <f>ROUND(+(R2388*C2388)*S2388,4)</f>
        <v>0</v>
      </c>
      <c r="U2388" s="419">
        <f>ROUND(+J2388+M2388+T2388,4)</f>
        <v>0</v>
      </c>
      <c r="V2388" s="235"/>
    </row>
    <row r="2389" spans="1:22" ht="15.75" x14ac:dyDescent="0.25">
      <c r="A2389" s="231"/>
      <c r="B2389" s="232"/>
      <c r="C2389" s="400"/>
      <c r="D2389" s="233"/>
      <c r="E2389" s="405"/>
      <c r="F2389" s="405"/>
      <c r="G2389" s="405"/>
      <c r="H2389" s="408">
        <f>ROUND(+E2389+F2389+G2389,4)</f>
        <v>0</v>
      </c>
      <c r="I2389" s="234"/>
      <c r="J2389" s="411"/>
      <c r="K2389" s="411"/>
      <c r="L2389" s="414">
        <v>0.1</v>
      </c>
      <c r="M2389" s="414">
        <f>ROUND(+L2389*C2389,4)</f>
        <v>0</v>
      </c>
      <c r="N2389" s="414"/>
      <c r="O2389" s="414"/>
      <c r="P2389" s="414"/>
      <c r="Q2389" s="419">
        <f>ROUND(+N2389+O2389+P2389,4)</f>
        <v>0</v>
      </c>
      <c r="R2389" s="419">
        <f>ROUND(IF(+Q2389-H2389&lt;=0,0,Q2389-H2389),4)</f>
        <v>0</v>
      </c>
      <c r="S2389" s="423">
        <v>0.5</v>
      </c>
      <c r="T2389" s="419">
        <f>ROUND(+(R2389*C2389)*S2389,4)</f>
        <v>0</v>
      </c>
      <c r="U2389" s="419">
        <f>ROUND(+J2389+M2389+T2389,4)</f>
        <v>0</v>
      </c>
      <c r="V2389" s="235"/>
    </row>
    <row r="2390" spans="1:22" ht="15.75" x14ac:dyDescent="0.25">
      <c r="A2390" s="231"/>
      <c r="B2390" s="232"/>
      <c r="C2390" s="400"/>
      <c r="D2390" s="233"/>
      <c r="E2390" s="405"/>
      <c r="F2390" s="405"/>
      <c r="G2390" s="405"/>
      <c r="H2390" s="408">
        <f>ROUND(+E2390+F2390+G2390,4)</f>
        <v>0</v>
      </c>
      <c r="I2390" s="234"/>
      <c r="J2390" s="411"/>
      <c r="K2390" s="411"/>
      <c r="L2390" s="414">
        <v>0.1</v>
      </c>
      <c r="M2390" s="414">
        <f>ROUND(+L2390*C2390,4)</f>
        <v>0</v>
      </c>
      <c r="N2390" s="414"/>
      <c r="O2390" s="414"/>
      <c r="P2390" s="414"/>
      <c r="Q2390" s="419">
        <f>ROUND(+N2390+O2390+P2390,4)</f>
        <v>0</v>
      </c>
      <c r="R2390" s="419">
        <f>ROUND(IF(+Q2390-H2390&lt;=0,0,Q2390-H2390),4)</f>
        <v>0</v>
      </c>
      <c r="S2390" s="423">
        <v>0.5</v>
      </c>
      <c r="T2390" s="419">
        <f>ROUND(+(R2390*C2390)*S2390,4)</f>
        <v>0</v>
      </c>
      <c r="U2390" s="419">
        <f>ROUND(+J2390+M2390+T2390,4)</f>
        <v>0</v>
      </c>
      <c r="V2390" s="235"/>
    </row>
    <row r="2391" spans="1:22" ht="15.75" x14ac:dyDescent="0.25">
      <c r="A2391" s="231"/>
      <c r="B2391" s="232"/>
      <c r="C2391" s="400"/>
      <c r="D2391" s="233"/>
      <c r="E2391" s="405"/>
      <c r="F2391" s="405"/>
      <c r="G2391" s="405"/>
      <c r="H2391" s="408">
        <f>ROUND(+E2391+F2391+G2391,4)</f>
        <v>0</v>
      </c>
      <c r="I2391" s="234"/>
      <c r="J2391" s="411"/>
      <c r="K2391" s="411"/>
      <c r="L2391" s="414">
        <v>0.1</v>
      </c>
      <c r="M2391" s="414">
        <f>ROUND(+L2391*C2391,4)</f>
        <v>0</v>
      </c>
      <c r="N2391" s="414"/>
      <c r="O2391" s="414"/>
      <c r="P2391" s="414"/>
      <c r="Q2391" s="419">
        <f>ROUND(+N2391+O2391+P2391,4)</f>
        <v>0</v>
      </c>
      <c r="R2391" s="419">
        <f>ROUND(IF(+Q2391-H2391&lt;=0,0,Q2391-H2391),4)</f>
        <v>0</v>
      </c>
      <c r="S2391" s="423">
        <v>0.5</v>
      </c>
      <c r="T2391" s="419">
        <f>ROUND(+(R2391*C2391)*S2391,4)</f>
        <v>0</v>
      </c>
      <c r="U2391" s="419">
        <f>ROUND(+J2391+M2391+T2391,4)</f>
        <v>0</v>
      </c>
      <c r="V2391" s="235"/>
    </row>
    <row r="2392" spans="1:22" ht="15.75" x14ac:dyDescent="0.25">
      <c r="A2392" s="231"/>
      <c r="B2392" s="232"/>
      <c r="C2392" s="400"/>
      <c r="D2392" s="233"/>
      <c r="E2392" s="405"/>
      <c r="F2392" s="405"/>
      <c r="G2392" s="405"/>
      <c r="H2392" s="408">
        <f>ROUND(+E2392+F2392+G2392,4)</f>
        <v>0</v>
      </c>
      <c r="I2392" s="234"/>
      <c r="J2392" s="411"/>
      <c r="K2392" s="411"/>
      <c r="L2392" s="414">
        <v>0.1</v>
      </c>
      <c r="M2392" s="414">
        <f>ROUND(+L2392*C2392,4)</f>
        <v>0</v>
      </c>
      <c r="N2392" s="414"/>
      <c r="O2392" s="414"/>
      <c r="P2392" s="414"/>
      <c r="Q2392" s="419">
        <f>ROUND(+N2392+O2392+P2392,4)</f>
        <v>0</v>
      </c>
      <c r="R2392" s="419">
        <f>ROUND(IF(+Q2392-H2392&lt;=0,0,Q2392-H2392),4)</f>
        <v>0</v>
      </c>
      <c r="S2392" s="423">
        <v>0.5</v>
      </c>
      <c r="T2392" s="419">
        <f>ROUND(+(R2392*C2392)*S2392,4)</f>
        <v>0</v>
      </c>
      <c r="U2392" s="419">
        <f>ROUND(+J2392+M2392+T2392,4)</f>
        <v>0</v>
      </c>
      <c r="V2392" s="235"/>
    </row>
    <row r="2393" spans="1:22" ht="15.75" x14ac:dyDescent="0.25">
      <c r="A2393" s="231"/>
      <c r="B2393" s="232"/>
      <c r="C2393" s="400"/>
      <c r="D2393" s="233"/>
      <c r="E2393" s="405"/>
      <c r="F2393" s="405"/>
      <c r="G2393" s="405"/>
      <c r="H2393" s="408">
        <f>ROUND(+E2393+F2393+G2393,4)</f>
        <v>0</v>
      </c>
      <c r="I2393" s="234"/>
      <c r="J2393" s="411"/>
      <c r="K2393" s="411"/>
      <c r="L2393" s="414">
        <v>0.1</v>
      </c>
      <c r="M2393" s="414">
        <f>ROUND(+L2393*C2393,4)</f>
        <v>0</v>
      </c>
      <c r="N2393" s="414"/>
      <c r="O2393" s="414"/>
      <c r="P2393" s="414"/>
      <c r="Q2393" s="419">
        <f>ROUND(+N2393+O2393+P2393,4)</f>
        <v>0</v>
      </c>
      <c r="R2393" s="419">
        <f>ROUND(IF(+Q2393-H2393&lt;=0,0,Q2393-H2393),4)</f>
        <v>0</v>
      </c>
      <c r="S2393" s="423">
        <v>0.5</v>
      </c>
      <c r="T2393" s="419">
        <f>ROUND(+(R2393*C2393)*S2393,4)</f>
        <v>0</v>
      </c>
      <c r="U2393" s="419">
        <f>ROUND(+J2393+M2393+T2393,4)</f>
        <v>0</v>
      </c>
      <c r="V2393" s="235"/>
    </row>
    <row r="2394" spans="1:22" ht="15.75" x14ac:dyDescent="0.25">
      <c r="A2394" s="231"/>
      <c r="B2394" s="232"/>
      <c r="C2394" s="400"/>
      <c r="D2394" s="233"/>
      <c r="E2394" s="405"/>
      <c r="F2394" s="405"/>
      <c r="G2394" s="405"/>
      <c r="H2394" s="408">
        <f>ROUND(+E2394+F2394+G2394,4)</f>
        <v>0</v>
      </c>
      <c r="I2394" s="234"/>
      <c r="J2394" s="411"/>
      <c r="K2394" s="411"/>
      <c r="L2394" s="414">
        <v>0.1</v>
      </c>
      <c r="M2394" s="414">
        <f>ROUND(+L2394*C2394,4)</f>
        <v>0</v>
      </c>
      <c r="N2394" s="414"/>
      <c r="O2394" s="414"/>
      <c r="P2394" s="414"/>
      <c r="Q2394" s="419">
        <f>ROUND(+N2394+O2394+P2394,4)</f>
        <v>0</v>
      </c>
      <c r="R2394" s="419">
        <f>ROUND(IF(+Q2394-H2394&lt;=0,0,Q2394-H2394),4)</f>
        <v>0</v>
      </c>
      <c r="S2394" s="423">
        <v>0.5</v>
      </c>
      <c r="T2394" s="419">
        <f>ROUND(+(R2394*C2394)*S2394,4)</f>
        <v>0</v>
      </c>
      <c r="U2394" s="419">
        <f>ROUND(+J2394+M2394+T2394,4)</f>
        <v>0</v>
      </c>
      <c r="V2394" s="235"/>
    </row>
    <row r="2395" spans="1:22" ht="15.75" x14ac:dyDescent="0.25">
      <c r="A2395" s="231"/>
      <c r="B2395" s="232"/>
      <c r="C2395" s="400"/>
      <c r="D2395" s="233"/>
      <c r="E2395" s="405"/>
      <c r="F2395" s="405"/>
      <c r="G2395" s="405"/>
      <c r="H2395" s="408">
        <f>ROUND(+E2395+F2395+G2395,4)</f>
        <v>0</v>
      </c>
      <c r="I2395" s="234"/>
      <c r="J2395" s="411"/>
      <c r="K2395" s="411"/>
      <c r="L2395" s="414">
        <v>0.1</v>
      </c>
      <c r="M2395" s="414">
        <f>ROUND(+L2395*C2395,4)</f>
        <v>0</v>
      </c>
      <c r="N2395" s="414"/>
      <c r="O2395" s="414"/>
      <c r="P2395" s="414"/>
      <c r="Q2395" s="419">
        <f>ROUND(+N2395+O2395+P2395,4)</f>
        <v>0</v>
      </c>
      <c r="R2395" s="419">
        <f>ROUND(IF(+Q2395-H2395&lt;=0,0,Q2395-H2395),4)</f>
        <v>0</v>
      </c>
      <c r="S2395" s="423">
        <v>0.5</v>
      </c>
      <c r="T2395" s="419">
        <f>ROUND(+(R2395*C2395)*S2395,4)</f>
        <v>0</v>
      </c>
      <c r="U2395" s="419">
        <f>ROUND(+J2395+M2395+T2395,4)</f>
        <v>0</v>
      </c>
      <c r="V2395" s="235"/>
    </row>
    <row r="2396" spans="1:22" ht="15.75" x14ac:dyDescent="0.25">
      <c r="A2396" s="231"/>
      <c r="B2396" s="232"/>
      <c r="C2396" s="400"/>
      <c r="D2396" s="233"/>
      <c r="E2396" s="405"/>
      <c r="F2396" s="405"/>
      <c r="G2396" s="405"/>
      <c r="H2396" s="408">
        <f>ROUND(+E2396+F2396+G2396,4)</f>
        <v>0</v>
      </c>
      <c r="I2396" s="234"/>
      <c r="J2396" s="411"/>
      <c r="K2396" s="411"/>
      <c r="L2396" s="414">
        <v>0.1</v>
      </c>
      <c r="M2396" s="414">
        <f>ROUND(+L2396*C2396,4)</f>
        <v>0</v>
      </c>
      <c r="N2396" s="414"/>
      <c r="O2396" s="414"/>
      <c r="P2396" s="414"/>
      <c r="Q2396" s="419">
        <f>ROUND(+N2396+O2396+P2396,4)</f>
        <v>0</v>
      </c>
      <c r="R2396" s="419">
        <f>ROUND(IF(+Q2396-H2396&lt;=0,0,Q2396-H2396),4)</f>
        <v>0</v>
      </c>
      <c r="S2396" s="423">
        <v>0.5</v>
      </c>
      <c r="T2396" s="419">
        <f>ROUND(+(R2396*C2396)*S2396,4)</f>
        <v>0</v>
      </c>
      <c r="U2396" s="419">
        <f>ROUND(+J2396+M2396+T2396,4)</f>
        <v>0</v>
      </c>
      <c r="V2396" s="235"/>
    </row>
    <row r="2397" spans="1:22" ht="15.75" x14ac:dyDescent="0.25">
      <c r="A2397" s="231"/>
      <c r="B2397" s="232"/>
      <c r="C2397" s="400"/>
      <c r="D2397" s="233"/>
      <c r="E2397" s="405"/>
      <c r="F2397" s="405"/>
      <c r="G2397" s="405"/>
      <c r="H2397" s="408">
        <f>ROUND(+E2397+F2397+G2397,4)</f>
        <v>0</v>
      </c>
      <c r="I2397" s="234"/>
      <c r="J2397" s="411"/>
      <c r="K2397" s="411"/>
      <c r="L2397" s="414">
        <v>0.1</v>
      </c>
      <c r="M2397" s="414">
        <f>ROUND(+L2397*C2397,4)</f>
        <v>0</v>
      </c>
      <c r="N2397" s="414"/>
      <c r="O2397" s="414"/>
      <c r="P2397" s="414"/>
      <c r="Q2397" s="419">
        <f>ROUND(+N2397+O2397+P2397,4)</f>
        <v>0</v>
      </c>
      <c r="R2397" s="419">
        <f>ROUND(IF(+Q2397-H2397&lt;=0,0,Q2397-H2397),4)</f>
        <v>0</v>
      </c>
      <c r="S2397" s="423">
        <v>0.5</v>
      </c>
      <c r="T2397" s="419">
        <f>ROUND(+(R2397*C2397)*S2397,4)</f>
        <v>0</v>
      </c>
      <c r="U2397" s="419">
        <f>ROUND(+J2397+M2397+T2397,4)</f>
        <v>0</v>
      </c>
      <c r="V2397" s="235"/>
    </row>
    <row r="2398" spans="1:22" ht="15.75" x14ac:dyDescent="0.25">
      <c r="A2398" s="231"/>
      <c r="B2398" s="232"/>
      <c r="C2398" s="400"/>
      <c r="D2398" s="233"/>
      <c r="E2398" s="405"/>
      <c r="F2398" s="405"/>
      <c r="G2398" s="405"/>
      <c r="H2398" s="408">
        <f>ROUND(+E2398+F2398+G2398,4)</f>
        <v>0</v>
      </c>
      <c r="I2398" s="234"/>
      <c r="J2398" s="411"/>
      <c r="K2398" s="411"/>
      <c r="L2398" s="414">
        <v>0.1</v>
      </c>
      <c r="M2398" s="414">
        <f>ROUND(+L2398*C2398,4)</f>
        <v>0</v>
      </c>
      <c r="N2398" s="414"/>
      <c r="O2398" s="414"/>
      <c r="P2398" s="414"/>
      <c r="Q2398" s="419">
        <f>ROUND(+N2398+O2398+P2398,4)</f>
        <v>0</v>
      </c>
      <c r="R2398" s="419">
        <f>ROUND(IF(+Q2398-H2398&lt;=0,0,Q2398-H2398),4)</f>
        <v>0</v>
      </c>
      <c r="S2398" s="423">
        <v>0.5</v>
      </c>
      <c r="T2398" s="419">
        <f>ROUND(+(R2398*C2398)*S2398,4)</f>
        <v>0</v>
      </c>
      <c r="U2398" s="419">
        <f>ROUND(+J2398+M2398+T2398,4)</f>
        <v>0</v>
      </c>
      <c r="V2398" s="235"/>
    </row>
    <row r="2399" spans="1:22" ht="15.75" x14ac:dyDescent="0.25">
      <c r="A2399" s="231"/>
      <c r="B2399" s="232"/>
      <c r="C2399" s="400"/>
      <c r="D2399" s="233"/>
      <c r="E2399" s="405"/>
      <c r="F2399" s="405"/>
      <c r="G2399" s="405"/>
      <c r="H2399" s="408">
        <f>ROUND(+E2399+F2399+G2399,4)</f>
        <v>0</v>
      </c>
      <c r="I2399" s="234"/>
      <c r="J2399" s="411"/>
      <c r="K2399" s="411"/>
      <c r="L2399" s="414">
        <v>0.1</v>
      </c>
      <c r="M2399" s="414">
        <f>ROUND(+L2399*C2399,4)</f>
        <v>0</v>
      </c>
      <c r="N2399" s="414"/>
      <c r="O2399" s="414"/>
      <c r="P2399" s="414"/>
      <c r="Q2399" s="419">
        <f>ROUND(+N2399+O2399+P2399,4)</f>
        <v>0</v>
      </c>
      <c r="R2399" s="419">
        <f>ROUND(IF(+Q2399-H2399&lt;=0,0,Q2399-H2399),4)</f>
        <v>0</v>
      </c>
      <c r="S2399" s="423">
        <v>0.5</v>
      </c>
      <c r="T2399" s="419">
        <f>ROUND(+(R2399*C2399)*S2399,4)</f>
        <v>0</v>
      </c>
      <c r="U2399" s="419">
        <f>ROUND(+J2399+M2399+T2399,4)</f>
        <v>0</v>
      </c>
      <c r="V2399" s="235"/>
    </row>
    <row r="2400" spans="1:22" ht="15.75" x14ac:dyDescent="0.25">
      <c r="A2400" s="231"/>
      <c r="B2400" s="232"/>
      <c r="C2400" s="400"/>
      <c r="D2400" s="233"/>
      <c r="E2400" s="405"/>
      <c r="F2400" s="405"/>
      <c r="G2400" s="405"/>
      <c r="H2400" s="408">
        <f>ROUND(+E2400+F2400+G2400,4)</f>
        <v>0</v>
      </c>
      <c r="I2400" s="234"/>
      <c r="J2400" s="411"/>
      <c r="K2400" s="411"/>
      <c r="L2400" s="414">
        <v>0.1</v>
      </c>
      <c r="M2400" s="414">
        <f>ROUND(+L2400*C2400,4)</f>
        <v>0</v>
      </c>
      <c r="N2400" s="414"/>
      <c r="O2400" s="414"/>
      <c r="P2400" s="414"/>
      <c r="Q2400" s="419">
        <f>ROUND(+N2400+O2400+P2400,4)</f>
        <v>0</v>
      </c>
      <c r="R2400" s="419">
        <f>ROUND(IF(+Q2400-H2400&lt;=0,0,Q2400-H2400),4)</f>
        <v>0</v>
      </c>
      <c r="S2400" s="423">
        <v>0.5</v>
      </c>
      <c r="T2400" s="419">
        <f>ROUND(+(R2400*C2400)*S2400,4)</f>
        <v>0</v>
      </c>
      <c r="U2400" s="419">
        <f>ROUND(+J2400+M2400+T2400,4)</f>
        <v>0</v>
      </c>
      <c r="V2400" s="235"/>
    </row>
    <row r="2401" spans="1:22" ht="15.75" x14ac:dyDescent="0.25">
      <c r="A2401" s="231"/>
      <c r="B2401" s="232"/>
      <c r="C2401" s="400"/>
      <c r="D2401" s="233"/>
      <c r="E2401" s="405"/>
      <c r="F2401" s="405"/>
      <c r="G2401" s="405"/>
      <c r="H2401" s="408">
        <f>ROUND(+E2401+F2401+G2401,4)</f>
        <v>0</v>
      </c>
      <c r="I2401" s="234"/>
      <c r="J2401" s="411"/>
      <c r="K2401" s="411"/>
      <c r="L2401" s="414">
        <v>0.1</v>
      </c>
      <c r="M2401" s="414">
        <f>ROUND(+L2401*C2401,4)</f>
        <v>0</v>
      </c>
      <c r="N2401" s="414"/>
      <c r="O2401" s="414"/>
      <c r="P2401" s="414"/>
      <c r="Q2401" s="419">
        <f>ROUND(+N2401+O2401+P2401,4)</f>
        <v>0</v>
      </c>
      <c r="R2401" s="419">
        <f>ROUND(IF(+Q2401-H2401&lt;=0,0,Q2401-H2401),4)</f>
        <v>0</v>
      </c>
      <c r="S2401" s="423">
        <v>0.5</v>
      </c>
      <c r="T2401" s="419">
        <f>ROUND(+(R2401*C2401)*S2401,4)</f>
        <v>0</v>
      </c>
      <c r="U2401" s="419">
        <f>ROUND(+J2401+M2401+T2401,4)</f>
        <v>0</v>
      </c>
      <c r="V2401" s="235"/>
    </row>
    <row r="2402" spans="1:22" ht="15.75" x14ac:dyDescent="0.25">
      <c r="A2402" s="231"/>
      <c r="B2402" s="232"/>
      <c r="C2402" s="400"/>
      <c r="D2402" s="233"/>
      <c r="E2402" s="405"/>
      <c r="F2402" s="405"/>
      <c r="G2402" s="405"/>
      <c r="H2402" s="408">
        <f>ROUND(+E2402+F2402+G2402,4)</f>
        <v>0</v>
      </c>
      <c r="I2402" s="234"/>
      <c r="J2402" s="411"/>
      <c r="K2402" s="411"/>
      <c r="L2402" s="414">
        <v>0.1</v>
      </c>
      <c r="M2402" s="414">
        <f>ROUND(+L2402*C2402,4)</f>
        <v>0</v>
      </c>
      <c r="N2402" s="414"/>
      <c r="O2402" s="414"/>
      <c r="P2402" s="414"/>
      <c r="Q2402" s="419">
        <f>ROUND(+N2402+O2402+P2402,4)</f>
        <v>0</v>
      </c>
      <c r="R2402" s="419">
        <f>ROUND(IF(+Q2402-H2402&lt;=0,0,Q2402-H2402),4)</f>
        <v>0</v>
      </c>
      <c r="S2402" s="423">
        <v>0.5</v>
      </c>
      <c r="T2402" s="419">
        <f>ROUND(+(R2402*C2402)*S2402,4)</f>
        <v>0</v>
      </c>
      <c r="U2402" s="419">
        <f>ROUND(+J2402+M2402+T2402,4)</f>
        <v>0</v>
      </c>
      <c r="V2402" s="235"/>
    </row>
    <row r="2403" spans="1:22" ht="15.75" x14ac:dyDescent="0.25">
      <c r="A2403" s="231"/>
      <c r="B2403" s="232"/>
      <c r="C2403" s="400"/>
      <c r="D2403" s="233"/>
      <c r="E2403" s="405"/>
      <c r="F2403" s="405"/>
      <c r="G2403" s="405"/>
      <c r="H2403" s="408">
        <f>ROUND(+E2403+F2403+G2403,4)</f>
        <v>0</v>
      </c>
      <c r="I2403" s="234"/>
      <c r="J2403" s="411"/>
      <c r="K2403" s="411"/>
      <c r="L2403" s="414">
        <v>0.1</v>
      </c>
      <c r="M2403" s="414">
        <f>ROUND(+L2403*C2403,4)</f>
        <v>0</v>
      </c>
      <c r="N2403" s="414"/>
      <c r="O2403" s="414"/>
      <c r="P2403" s="414"/>
      <c r="Q2403" s="419">
        <f>ROUND(+N2403+O2403+P2403,4)</f>
        <v>0</v>
      </c>
      <c r="R2403" s="419">
        <f>ROUND(IF(+Q2403-H2403&lt;=0,0,Q2403-H2403),4)</f>
        <v>0</v>
      </c>
      <c r="S2403" s="423">
        <v>0.5</v>
      </c>
      <c r="T2403" s="419">
        <f>ROUND(+(R2403*C2403)*S2403,4)</f>
        <v>0</v>
      </c>
      <c r="U2403" s="419">
        <f>ROUND(+J2403+M2403+T2403,4)</f>
        <v>0</v>
      </c>
      <c r="V2403" s="235"/>
    </row>
    <row r="2404" spans="1:22" ht="15.75" x14ac:dyDescent="0.25">
      <c r="A2404" s="231"/>
      <c r="B2404" s="232"/>
      <c r="C2404" s="400"/>
      <c r="D2404" s="233"/>
      <c r="E2404" s="405"/>
      <c r="F2404" s="405"/>
      <c r="G2404" s="405"/>
      <c r="H2404" s="408">
        <f>ROUND(+E2404+F2404+G2404,4)</f>
        <v>0</v>
      </c>
      <c r="I2404" s="234"/>
      <c r="J2404" s="411"/>
      <c r="K2404" s="411"/>
      <c r="L2404" s="414">
        <v>0.1</v>
      </c>
      <c r="M2404" s="414">
        <f>ROUND(+L2404*C2404,4)</f>
        <v>0</v>
      </c>
      <c r="N2404" s="414"/>
      <c r="O2404" s="414"/>
      <c r="P2404" s="414"/>
      <c r="Q2404" s="419">
        <f>ROUND(+N2404+O2404+P2404,4)</f>
        <v>0</v>
      </c>
      <c r="R2404" s="419">
        <f>ROUND(IF(+Q2404-H2404&lt;=0,0,Q2404-H2404),4)</f>
        <v>0</v>
      </c>
      <c r="S2404" s="423">
        <v>0.5</v>
      </c>
      <c r="T2404" s="419">
        <f>ROUND(+(R2404*C2404)*S2404,4)</f>
        <v>0</v>
      </c>
      <c r="U2404" s="419">
        <f>ROUND(+J2404+M2404+T2404,4)</f>
        <v>0</v>
      </c>
      <c r="V2404" s="235"/>
    </row>
    <row r="2405" spans="1:22" ht="15.75" x14ac:dyDescent="0.25">
      <c r="A2405" s="231"/>
      <c r="B2405" s="232"/>
      <c r="C2405" s="400"/>
      <c r="D2405" s="233"/>
      <c r="E2405" s="405"/>
      <c r="F2405" s="405"/>
      <c r="G2405" s="405"/>
      <c r="H2405" s="408">
        <f>ROUND(+E2405+F2405+G2405,4)</f>
        <v>0</v>
      </c>
      <c r="I2405" s="234"/>
      <c r="J2405" s="411"/>
      <c r="K2405" s="411"/>
      <c r="L2405" s="414">
        <v>0.1</v>
      </c>
      <c r="M2405" s="414">
        <f>ROUND(+L2405*C2405,4)</f>
        <v>0</v>
      </c>
      <c r="N2405" s="414"/>
      <c r="O2405" s="414"/>
      <c r="P2405" s="414"/>
      <c r="Q2405" s="419">
        <f>ROUND(+N2405+O2405+P2405,4)</f>
        <v>0</v>
      </c>
      <c r="R2405" s="419">
        <f>ROUND(IF(+Q2405-H2405&lt;=0,0,Q2405-H2405),4)</f>
        <v>0</v>
      </c>
      <c r="S2405" s="423">
        <v>0.5</v>
      </c>
      <c r="T2405" s="419">
        <f>ROUND(+(R2405*C2405)*S2405,4)</f>
        <v>0</v>
      </c>
      <c r="U2405" s="419">
        <f>ROUND(+J2405+M2405+T2405,4)</f>
        <v>0</v>
      </c>
      <c r="V2405" s="235"/>
    </row>
    <row r="2406" spans="1:22" ht="15.75" x14ac:dyDescent="0.25">
      <c r="A2406" s="231"/>
      <c r="B2406" s="232"/>
      <c r="C2406" s="400"/>
      <c r="D2406" s="233"/>
      <c r="E2406" s="405"/>
      <c r="F2406" s="405"/>
      <c r="G2406" s="405"/>
      <c r="H2406" s="408">
        <f>ROUND(+E2406+F2406+G2406,4)</f>
        <v>0</v>
      </c>
      <c r="I2406" s="234"/>
      <c r="J2406" s="411"/>
      <c r="K2406" s="411"/>
      <c r="L2406" s="414">
        <v>0.1</v>
      </c>
      <c r="M2406" s="414">
        <f>ROUND(+L2406*C2406,4)</f>
        <v>0</v>
      </c>
      <c r="N2406" s="414"/>
      <c r="O2406" s="414"/>
      <c r="P2406" s="414"/>
      <c r="Q2406" s="419">
        <f>ROUND(+N2406+O2406+P2406,4)</f>
        <v>0</v>
      </c>
      <c r="R2406" s="419">
        <f>ROUND(IF(+Q2406-H2406&lt;=0,0,Q2406-H2406),4)</f>
        <v>0</v>
      </c>
      <c r="S2406" s="423">
        <v>0.5</v>
      </c>
      <c r="T2406" s="419">
        <f>ROUND(+(R2406*C2406)*S2406,4)</f>
        <v>0</v>
      </c>
      <c r="U2406" s="419">
        <f>ROUND(+J2406+M2406+T2406,4)</f>
        <v>0</v>
      </c>
      <c r="V2406" s="235"/>
    </row>
    <row r="2407" spans="1:22" ht="15.75" x14ac:dyDescent="0.25">
      <c r="A2407" s="231"/>
      <c r="B2407" s="232"/>
      <c r="C2407" s="400"/>
      <c r="D2407" s="233"/>
      <c r="E2407" s="405"/>
      <c r="F2407" s="405"/>
      <c r="G2407" s="405"/>
      <c r="H2407" s="408">
        <f>ROUND(+E2407+F2407+G2407,4)</f>
        <v>0</v>
      </c>
      <c r="I2407" s="234"/>
      <c r="J2407" s="411"/>
      <c r="K2407" s="411"/>
      <c r="L2407" s="414">
        <v>0.1</v>
      </c>
      <c r="M2407" s="414">
        <f>ROUND(+L2407*C2407,4)</f>
        <v>0</v>
      </c>
      <c r="N2407" s="414"/>
      <c r="O2407" s="414"/>
      <c r="P2407" s="414"/>
      <c r="Q2407" s="419">
        <f>ROUND(+N2407+O2407+P2407,4)</f>
        <v>0</v>
      </c>
      <c r="R2407" s="419">
        <f>ROUND(IF(+Q2407-H2407&lt;=0,0,Q2407-H2407),4)</f>
        <v>0</v>
      </c>
      <c r="S2407" s="423">
        <v>0.5</v>
      </c>
      <c r="T2407" s="419">
        <f>ROUND(+(R2407*C2407)*S2407,4)</f>
        <v>0</v>
      </c>
      <c r="U2407" s="419">
        <f>ROUND(+J2407+M2407+T2407,4)</f>
        <v>0</v>
      </c>
      <c r="V2407" s="235"/>
    </row>
    <row r="2408" spans="1:22" ht="15.75" x14ac:dyDescent="0.25">
      <c r="A2408" s="231"/>
      <c r="B2408" s="232"/>
      <c r="C2408" s="400"/>
      <c r="D2408" s="233"/>
      <c r="E2408" s="405"/>
      <c r="F2408" s="405"/>
      <c r="G2408" s="405"/>
      <c r="H2408" s="408">
        <f>ROUND(+E2408+F2408+G2408,4)</f>
        <v>0</v>
      </c>
      <c r="I2408" s="234"/>
      <c r="J2408" s="411"/>
      <c r="K2408" s="411"/>
      <c r="L2408" s="414">
        <v>0.1</v>
      </c>
      <c r="M2408" s="414">
        <f>ROUND(+L2408*C2408,4)</f>
        <v>0</v>
      </c>
      <c r="N2408" s="414"/>
      <c r="O2408" s="414"/>
      <c r="P2408" s="414"/>
      <c r="Q2408" s="419">
        <f>ROUND(+N2408+O2408+P2408,4)</f>
        <v>0</v>
      </c>
      <c r="R2408" s="419">
        <f>ROUND(IF(+Q2408-H2408&lt;=0,0,Q2408-H2408),4)</f>
        <v>0</v>
      </c>
      <c r="S2408" s="423">
        <v>0.5</v>
      </c>
      <c r="T2408" s="419">
        <f>ROUND(+(R2408*C2408)*S2408,4)</f>
        <v>0</v>
      </c>
      <c r="U2408" s="419">
        <f>ROUND(+J2408+M2408+T2408,4)</f>
        <v>0</v>
      </c>
      <c r="V2408" s="235"/>
    </row>
    <row r="2409" spans="1:22" ht="15.75" x14ac:dyDescent="0.25">
      <c r="A2409" s="231"/>
      <c r="B2409" s="232"/>
      <c r="C2409" s="400"/>
      <c r="D2409" s="233"/>
      <c r="E2409" s="405"/>
      <c r="F2409" s="405"/>
      <c r="G2409" s="405"/>
      <c r="H2409" s="408">
        <f>ROUND(+E2409+F2409+G2409,4)</f>
        <v>0</v>
      </c>
      <c r="I2409" s="234"/>
      <c r="J2409" s="411"/>
      <c r="K2409" s="411"/>
      <c r="L2409" s="414">
        <v>0.1</v>
      </c>
      <c r="M2409" s="414">
        <f>ROUND(+L2409*C2409,4)</f>
        <v>0</v>
      </c>
      <c r="N2409" s="414"/>
      <c r="O2409" s="414"/>
      <c r="P2409" s="414"/>
      <c r="Q2409" s="419">
        <f>ROUND(+N2409+O2409+P2409,4)</f>
        <v>0</v>
      </c>
      <c r="R2409" s="419">
        <f>ROUND(IF(+Q2409-H2409&lt;=0,0,Q2409-H2409),4)</f>
        <v>0</v>
      </c>
      <c r="S2409" s="423">
        <v>0.5</v>
      </c>
      <c r="T2409" s="419">
        <f>ROUND(+(R2409*C2409)*S2409,4)</f>
        <v>0</v>
      </c>
      <c r="U2409" s="419">
        <f>ROUND(+J2409+M2409+T2409,4)</f>
        <v>0</v>
      </c>
      <c r="V2409" s="235"/>
    </row>
    <row r="2410" spans="1:22" ht="15.75" x14ac:dyDescent="0.25">
      <c r="A2410" s="231"/>
      <c r="B2410" s="232"/>
      <c r="C2410" s="400"/>
      <c r="D2410" s="233"/>
      <c r="E2410" s="405"/>
      <c r="F2410" s="405"/>
      <c r="G2410" s="405"/>
      <c r="H2410" s="408">
        <f>ROUND(+E2410+F2410+G2410,4)</f>
        <v>0</v>
      </c>
      <c r="I2410" s="234"/>
      <c r="J2410" s="411"/>
      <c r="K2410" s="411"/>
      <c r="L2410" s="414">
        <v>0.1</v>
      </c>
      <c r="M2410" s="414">
        <f>ROUND(+L2410*C2410,4)</f>
        <v>0</v>
      </c>
      <c r="N2410" s="414"/>
      <c r="O2410" s="414"/>
      <c r="P2410" s="414"/>
      <c r="Q2410" s="419">
        <f>ROUND(+N2410+O2410+P2410,4)</f>
        <v>0</v>
      </c>
      <c r="R2410" s="419">
        <f>ROUND(IF(+Q2410-H2410&lt;=0,0,Q2410-H2410),4)</f>
        <v>0</v>
      </c>
      <c r="S2410" s="423">
        <v>0.5</v>
      </c>
      <c r="T2410" s="419">
        <f>ROUND(+(R2410*C2410)*S2410,4)</f>
        <v>0</v>
      </c>
      <c r="U2410" s="419">
        <f>ROUND(+J2410+M2410+T2410,4)</f>
        <v>0</v>
      </c>
      <c r="V2410" s="235"/>
    </row>
    <row r="2411" spans="1:22" ht="15.75" x14ac:dyDescent="0.25">
      <c r="A2411" s="231"/>
      <c r="B2411" s="232"/>
      <c r="C2411" s="400"/>
      <c r="D2411" s="233"/>
      <c r="E2411" s="405"/>
      <c r="F2411" s="405"/>
      <c r="G2411" s="405"/>
      <c r="H2411" s="408">
        <f>ROUND(+E2411+F2411+G2411,4)</f>
        <v>0</v>
      </c>
      <c r="I2411" s="234"/>
      <c r="J2411" s="411"/>
      <c r="K2411" s="411"/>
      <c r="L2411" s="414">
        <v>0.1</v>
      </c>
      <c r="M2411" s="414">
        <f>ROUND(+L2411*C2411,4)</f>
        <v>0</v>
      </c>
      <c r="N2411" s="414"/>
      <c r="O2411" s="414"/>
      <c r="P2411" s="414"/>
      <c r="Q2411" s="419">
        <f>ROUND(+N2411+O2411+P2411,4)</f>
        <v>0</v>
      </c>
      <c r="R2411" s="419">
        <f>ROUND(IF(+Q2411-H2411&lt;=0,0,Q2411-H2411),4)</f>
        <v>0</v>
      </c>
      <c r="S2411" s="423">
        <v>0.5</v>
      </c>
      <c r="T2411" s="419">
        <f>ROUND(+(R2411*C2411)*S2411,4)</f>
        <v>0</v>
      </c>
      <c r="U2411" s="419">
        <f>ROUND(+J2411+M2411+T2411,4)</f>
        <v>0</v>
      </c>
      <c r="V2411" s="235"/>
    </row>
    <row r="2412" spans="1:22" ht="15.75" x14ac:dyDescent="0.25">
      <c r="A2412" s="231"/>
      <c r="B2412" s="232"/>
      <c r="C2412" s="400"/>
      <c r="D2412" s="233"/>
      <c r="E2412" s="405"/>
      <c r="F2412" s="405"/>
      <c r="G2412" s="405"/>
      <c r="H2412" s="408">
        <f>ROUND(+E2412+F2412+G2412,4)</f>
        <v>0</v>
      </c>
      <c r="I2412" s="234"/>
      <c r="J2412" s="411"/>
      <c r="K2412" s="411"/>
      <c r="L2412" s="414">
        <v>0.1</v>
      </c>
      <c r="M2412" s="414">
        <f>ROUND(+L2412*C2412,4)</f>
        <v>0</v>
      </c>
      <c r="N2412" s="414"/>
      <c r="O2412" s="414"/>
      <c r="P2412" s="414"/>
      <c r="Q2412" s="419">
        <f>ROUND(+N2412+O2412+P2412,4)</f>
        <v>0</v>
      </c>
      <c r="R2412" s="419">
        <f>ROUND(IF(+Q2412-H2412&lt;=0,0,Q2412-H2412),4)</f>
        <v>0</v>
      </c>
      <c r="S2412" s="423">
        <v>0.5</v>
      </c>
      <c r="T2412" s="419">
        <f>ROUND(+(R2412*C2412)*S2412,4)</f>
        <v>0</v>
      </c>
      <c r="U2412" s="419">
        <f>ROUND(+J2412+M2412+T2412,4)</f>
        <v>0</v>
      </c>
      <c r="V2412" s="235"/>
    </row>
    <row r="2413" spans="1:22" ht="15.75" x14ac:dyDescent="0.25">
      <c r="A2413" s="231"/>
      <c r="B2413" s="232"/>
      <c r="C2413" s="400"/>
      <c r="D2413" s="233"/>
      <c r="E2413" s="405"/>
      <c r="F2413" s="405"/>
      <c r="G2413" s="405"/>
      <c r="H2413" s="408">
        <f>ROUND(+E2413+F2413+G2413,4)</f>
        <v>0</v>
      </c>
      <c r="I2413" s="234"/>
      <c r="J2413" s="411"/>
      <c r="K2413" s="411"/>
      <c r="L2413" s="414">
        <v>0.1</v>
      </c>
      <c r="M2413" s="414">
        <f>ROUND(+L2413*C2413,4)</f>
        <v>0</v>
      </c>
      <c r="N2413" s="414"/>
      <c r="O2413" s="414"/>
      <c r="P2413" s="414"/>
      <c r="Q2413" s="419">
        <f>ROUND(+N2413+O2413+P2413,4)</f>
        <v>0</v>
      </c>
      <c r="R2413" s="419">
        <f>ROUND(IF(+Q2413-H2413&lt;=0,0,Q2413-H2413),4)</f>
        <v>0</v>
      </c>
      <c r="S2413" s="423">
        <v>0.5</v>
      </c>
      <c r="T2413" s="419">
        <f>ROUND(+(R2413*C2413)*S2413,4)</f>
        <v>0</v>
      </c>
      <c r="U2413" s="419">
        <f>ROUND(+J2413+M2413+T2413,4)</f>
        <v>0</v>
      </c>
      <c r="V2413" s="235"/>
    </row>
    <row r="2414" spans="1:22" ht="15.75" x14ac:dyDescent="0.25">
      <c r="A2414" s="231"/>
      <c r="B2414" s="232"/>
      <c r="C2414" s="400"/>
      <c r="D2414" s="233"/>
      <c r="E2414" s="405"/>
      <c r="F2414" s="405"/>
      <c r="G2414" s="405"/>
      <c r="H2414" s="408">
        <f>ROUND(+E2414+F2414+G2414,4)</f>
        <v>0</v>
      </c>
      <c r="I2414" s="234"/>
      <c r="J2414" s="411"/>
      <c r="K2414" s="411"/>
      <c r="L2414" s="414">
        <v>0.1</v>
      </c>
      <c r="M2414" s="414">
        <f>ROUND(+L2414*C2414,4)</f>
        <v>0</v>
      </c>
      <c r="N2414" s="414"/>
      <c r="O2414" s="414"/>
      <c r="P2414" s="414"/>
      <c r="Q2414" s="419">
        <f>ROUND(+N2414+O2414+P2414,4)</f>
        <v>0</v>
      </c>
      <c r="R2414" s="419">
        <f>ROUND(IF(+Q2414-H2414&lt;=0,0,Q2414-H2414),4)</f>
        <v>0</v>
      </c>
      <c r="S2414" s="423">
        <v>0.5</v>
      </c>
      <c r="T2414" s="419">
        <f>ROUND(+(R2414*C2414)*S2414,4)</f>
        <v>0</v>
      </c>
      <c r="U2414" s="419">
        <f>ROUND(+J2414+M2414+T2414,4)</f>
        <v>0</v>
      </c>
      <c r="V2414" s="235"/>
    </row>
    <row r="2415" spans="1:22" ht="15.75" x14ac:dyDescent="0.25">
      <c r="A2415" s="231"/>
      <c r="B2415" s="232"/>
      <c r="C2415" s="400"/>
      <c r="D2415" s="233"/>
      <c r="E2415" s="405"/>
      <c r="F2415" s="405"/>
      <c r="G2415" s="405"/>
      <c r="H2415" s="408">
        <f>ROUND(+E2415+F2415+G2415,4)</f>
        <v>0</v>
      </c>
      <c r="I2415" s="234"/>
      <c r="J2415" s="411"/>
      <c r="K2415" s="411"/>
      <c r="L2415" s="414">
        <v>0.1</v>
      </c>
      <c r="M2415" s="414">
        <f>ROUND(+L2415*C2415,4)</f>
        <v>0</v>
      </c>
      <c r="N2415" s="414"/>
      <c r="O2415" s="414"/>
      <c r="P2415" s="414"/>
      <c r="Q2415" s="419">
        <f>ROUND(+N2415+O2415+P2415,4)</f>
        <v>0</v>
      </c>
      <c r="R2415" s="419">
        <f>ROUND(IF(+Q2415-H2415&lt;=0,0,Q2415-H2415),4)</f>
        <v>0</v>
      </c>
      <c r="S2415" s="423">
        <v>0.5</v>
      </c>
      <c r="T2415" s="419">
        <f>ROUND(+(R2415*C2415)*S2415,4)</f>
        <v>0</v>
      </c>
      <c r="U2415" s="419">
        <f>ROUND(+J2415+M2415+T2415,4)</f>
        <v>0</v>
      </c>
      <c r="V2415" s="235"/>
    </row>
    <row r="2416" spans="1:22" ht="15.75" x14ac:dyDescent="0.25">
      <c r="A2416" s="231"/>
      <c r="B2416" s="232"/>
      <c r="C2416" s="400"/>
      <c r="D2416" s="233"/>
      <c r="E2416" s="405"/>
      <c r="F2416" s="405"/>
      <c r="G2416" s="405"/>
      <c r="H2416" s="408">
        <f>ROUND(+E2416+F2416+G2416,4)</f>
        <v>0</v>
      </c>
      <c r="I2416" s="234"/>
      <c r="J2416" s="411"/>
      <c r="K2416" s="411"/>
      <c r="L2416" s="414">
        <v>0.1</v>
      </c>
      <c r="M2416" s="414">
        <f>ROUND(+L2416*C2416,4)</f>
        <v>0</v>
      </c>
      <c r="N2416" s="414"/>
      <c r="O2416" s="414"/>
      <c r="P2416" s="414"/>
      <c r="Q2416" s="419">
        <f>ROUND(+N2416+O2416+P2416,4)</f>
        <v>0</v>
      </c>
      <c r="R2416" s="419">
        <f>ROUND(IF(+Q2416-H2416&lt;=0,0,Q2416-H2416),4)</f>
        <v>0</v>
      </c>
      <c r="S2416" s="423">
        <v>0.5</v>
      </c>
      <c r="T2416" s="419">
        <f>ROUND(+(R2416*C2416)*S2416,4)</f>
        <v>0</v>
      </c>
      <c r="U2416" s="419">
        <f>ROUND(+J2416+M2416+T2416,4)</f>
        <v>0</v>
      </c>
      <c r="V2416" s="235"/>
    </row>
    <row r="2417" spans="1:22" ht="15.75" x14ac:dyDescent="0.25">
      <c r="A2417" s="231"/>
      <c r="B2417" s="232"/>
      <c r="C2417" s="400"/>
      <c r="D2417" s="233"/>
      <c r="E2417" s="405"/>
      <c r="F2417" s="405"/>
      <c r="G2417" s="405"/>
      <c r="H2417" s="408">
        <f>ROUND(+E2417+F2417+G2417,4)</f>
        <v>0</v>
      </c>
      <c r="I2417" s="234"/>
      <c r="J2417" s="411"/>
      <c r="K2417" s="411"/>
      <c r="L2417" s="414">
        <v>0.1</v>
      </c>
      <c r="M2417" s="414">
        <f>ROUND(+L2417*C2417,4)</f>
        <v>0</v>
      </c>
      <c r="N2417" s="414"/>
      <c r="O2417" s="414"/>
      <c r="P2417" s="414"/>
      <c r="Q2417" s="419">
        <f>ROUND(+N2417+O2417+P2417,4)</f>
        <v>0</v>
      </c>
      <c r="R2417" s="419">
        <f>ROUND(IF(+Q2417-H2417&lt;=0,0,Q2417-H2417),4)</f>
        <v>0</v>
      </c>
      <c r="S2417" s="423">
        <v>0.5</v>
      </c>
      <c r="T2417" s="419">
        <f>ROUND(+(R2417*C2417)*S2417,4)</f>
        <v>0</v>
      </c>
      <c r="U2417" s="419">
        <f>ROUND(+J2417+M2417+T2417,4)</f>
        <v>0</v>
      </c>
      <c r="V2417" s="235"/>
    </row>
    <row r="2418" spans="1:22" ht="15.75" x14ac:dyDescent="0.25">
      <c r="A2418" s="231"/>
      <c r="B2418" s="232"/>
      <c r="C2418" s="400"/>
      <c r="D2418" s="233"/>
      <c r="E2418" s="405"/>
      <c r="F2418" s="405"/>
      <c r="G2418" s="405"/>
      <c r="H2418" s="408">
        <f>ROUND(+E2418+F2418+G2418,4)</f>
        <v>0</v>
      </c>
      <c r="I2418" s="234"/>
      <c r="J2418" s="411"/>
      <c r="K2418" s="411"/>
      <c r="L2418" s="414">
        <v>0.1</v>
      </c>
      <c r="M2418" s="414">
        <f>ROUND(+L2418*C2418,4)</f>
        <v>0</v>
      </c>
      <c r="N2418" s="414"/>
      <c r="O2418" s="414"/>
      <c r="P2418" s="414"/>
      <c r="Q2418" s="419">
        <f>ROUND(+N2418+O2418+P2418,4)</f>
        <v>0</v>
      </c>
      <c r="R2418" s="419">
        <f>ROUND(IF(+Q2418-H2418&lt;=0,0,Q2418-H2418),4)</f>
        <v>0</v>
      </c>
      <c r="S2418" s="423">
        <v>0.5</v>
      </c>
      <c r="T2418" s="419">
        <f>ROUND(+(R2418*C2418)*S2418,4)</f>
        <v>0</v>
      </c>
      <c r="U2418" s="419">
        <f>ROUND(+J2418+M2418+T2418,4)</f>
        <v>0</v>
      </c>
      <c r="V2418" s="235"/>
    </row>
    <row r="2419" spans="1:22" ht="15.75" x14ac:dyDescent="0.25">
      <c r="A2419" s="231"/>
      <c r="B2419" s="232"/>
      <c r="C2419" s="400"/>
      <c r="D2419" s="233"/>
      <c r="E2419" s="405"/>
      <c r="F2419" s="405"/>
      <c r="G2419" s="405"/>
      <c r="H2419" s="408">
        <f>ROUND(+E2419+F2419+G2419,4)</f>
        <v>0</v>
      </c>
      <c r="I2419" s="234"/>
      <c r="J2419" s="411"/>
      <c r="K2419" s="411"/>
      <c r="L2419" s="414">
        <v>0.1</v>
      </c>
      <c r="M2419" s="414">
        <f>ROUND(+L2419*C2419,4)</f>
        <v>0</v>
      </c>
      <c r="N2419" s="414"/>
      <c r="O2419" s="414"/>
      <c r="P2419" s="414"/>
      <c r="Q2419" s="419">
        <f>ROUND(+N2419+O2419+P2419,4)</f>
        <v>0</v>
      </c>
      <c r="R2419" s="419">
        <f>ROUND(IF(+Q2419-H2419&lt;=0,0,Q2419-H2419),4)</f>
        <v>0</v>
      </c>
      <c r="S2419" s="423">
        <v>0.5</v>
      </c>
      <c r="T2419" s="419">
        <f>ROUND(+(R2419*C2419)*S2419,4)</f>
        <v>0</v>
      </c>
      <c r="U2419" s="419">
        <f>ROUND(+J2419+M2419+T2419,4)</f>
        <v>0</v>
      </c>
      <c r="V2419" s="235"/>
    </row>
    <row r="2420" spans="1:22" ht="15.75" x14ac:dyDescent="0.25">
      <c r="A2420" s="231"/>
      <c r="B2420" s="232"/>
      <c r="C2420" s="400"/>
      <c r="D2420" s="233"/>
      <c r="E2420" s="405"/>
      <c r="F2420" s="405"/>
      <c r="G2420" s="405"/>
      <c r="H2420" s="408">
        <f>ROUND(+E2420+F2420+G2420,4)</f>
        <v>0</v>
      </c>
      <c r="I2420" s="234"/>
      <c r="J2420" s="411"/>
      <c r="K2420" s="411"/>
      <c r="L2420" s="414">
        <v>0.1</v>
      </c>
      <c r="M2420" s="414">
        <f>ROUND(+L2420*C2420,4)</f>
        <v>0</v>
      </c>
      <c r="N2420" s="414"/>
      <c r="O2420" s="414"/>
      <c r="P2420" s="414"/>
      <c r="Q2420" s="419">
        <f>ROUND(+N2420+O2420+P2420,4)</f>
        <v>0</v>
      </c>
      <c r="R2420" s="419">
        <f>ROUND(IF(+Q2420-H2420&lt;=0,0,Q2420-H2420),4)</f>
        <v>0</v>
      </c>
      <c r="S2420" s="423">
        <v>0.5</v>
      </c>
      <c r="T2420" s="419">
        <f>ROUND(+(R2420*C2420)*S2420,4)</f>
        <v>0</v>
      </c>
      <c r="U2420" s="419">
        <f>ROUND(+J2420+M2420+T2420,4)</f>
        <v>0</v>
      </c>
      <c r="V2420" s="235"/>
    </row>
    <row r="2421" spans="1:22" ht="15.75" x14ac:dyDescent="0.25">
      <c r="A2421" s="231"/>
      <c r="B2421" s="232"/>
      <c r="C2421" s="400"/>
      <c r="D2421" s="233"/>
      <c r="E2421" s="405"/>
      <c r="F2421" s="405"/>
      <c r="G2421" s="405"/>
      <c r="H2421" s="408">
        <f>ROUND(+E2421+F2421+G2421,4)</f>
        <v>0</v>
      </c>
      <c r="I2421" s="234"/>
      <c r="J2421" s="411"/>
      <c r="K2421" s="411"/>
      <c r="L2421" s="414">
        <v>0.1</v>
      </c>
      <c r="M2421" s="414">
        <f>ROUND(+L2421*C2421,4)</f>
        <v>0</v>
      </c>
      <c r="N2421" s="414"/>
      <c r="O2421" s="414"/>
      <c r="P2421" s="414"/>
      <c r="Q2421" s="419">
        <f>ROUND(+N2421+O2421+P2421,4)</f>
        <v>0</v>
      </c>
      <c r="R2421" s="419">
        <f>ROUND(IF(+Q2421-H2421&lt;=0,0,Q2421-H2421),4)</f>
        <v>0</v>
      </c>
      <c r="S2421" s="423">
        <v>0.5</v>
      </c>
      <c r="T2421" s="419">
        <f>ROUND(+(R2421*C2421)*S2421,4)</f>
        <v>0</v>
      </c>
      <c r="U2421" s="419">
        <f>ROUND(+J2421+M2421+T2421,4)</f>
        <v>0</v>
      </c>
      <c r="V2421" s="235"/>
    </row>
    <row r="2422" spans="1:22" ht="15.75" x14ac:dyDescent="0.25">
      <c r="A2422" s="231"/>
      <c r="B2422" s="232"/>
      <c r="C2422" s="400"/>
      <c r="D2422" s="233"/>
      <c r="E2422" s="405"/>
      <c r="F2422" s="405"/>
      <c r="G2422" s="405"/>
      <c r="H2422" s="408">
        <f>ROUND(+E2422+F2422+G2422,4)</f>
        <v>0</v>
      </c>
      <c r="I2422" s="234"/>
      <c r="J2422" s="411"/>
      <c r="K2422" s="411"/>
      <c r="L2422" s="414">
        <v>0.1</v>
      </c>
      <c r="M2422" s="414">
        <f>ROUND(+L2422*C2422,4)</f>
        <v>0</v>
      </c>
      <c r="N2422" s="414"/>
      <c r="O2422" s="414"/>
      <c r="P2422" s="414"/>
      <c r="Q2422" s="419">
        <f>ROUND(+N2422+O2422+P2422,4)</f>
        <v>0</v>
      </c>
      <c r="R2422" s="419">
        <f>ROUND(IF(+Q2422-H2422&lt;=0,0,Q2422-H2422),4)</f>
        <v>0</v>
      </c>
      <c r="S2422" s="423">
        <v>0.5</v>
      </c>
      <c r="T2422" s="419">
        <f>ROUND(+(R2422*C2422)*S2422,4)</f>
        <v>0</v>
      </c>
      <c r="U2422" s="419">
        <f>ROUND(+J2422+M2422+T2422,4)</f>
        <v>0</v>
      </c>
      <c r="V2422" s="235"/>
    </row>
    <row r="2423" spans="1:22" ht="15.75" x14ac:dyDescent="0.25">
      <c r="A2423" s="231"/>
      <c r="B2423" s="232"/>
      <c r="C2423" s="400"/>
      <c r="D2423" s="233"/>
      <c r="E2423" s="405"/>
      <c r="F2423" s="405"/>
      <c r="G2423" s="405"/>
      <c r="H2423" s="408">
        <f>ROUND(+E2423+F2423+G2423,4)</f>
        <v>0</v>
      </c>
      <c r="I2423" s="234"/>
      <c r="J2423" s="411"/>
      <c r="K2423" s="411"/>
      <c r="L2423" s="414">
        <v>0.1</v>
      </c>
      <c r="M2423" s="414">
        <f>ROUND(+L2423*C2423,4)</f>
        <v>0</v>
      </c>
      <c r="N2423" s="414"/>
      <c r="O2423" s="414"/>
      <c r="P2423" s="414"/>
      <c r="Q2423" s="419">
        <f>ROUND(+N2423+O2423+P2423,4)</f>
        <v>0</v>
      </c>
      <c r="R2423" s="419">
        <f>ROUND(IF(+Q2423-H2423&lt;=0,0,Q2423-H2423),4)</f>
        <v>0</v>
      </c>
      <c r="S2423" s="423">
        <v>0.5</v>
      </c>
      <c r="T2423" s="419">
        <f>ROUND(+(R2423*C2423)*S2423,4)</f>
        <v>0</v>
      </c>
      <c r="U2423" s="419">
        <f>ROUND(+J2423+M2423+T2423,4)</f>
        <v>0</v>
      </c>
      <c r="V2423" s="235"/>
    </row>
    <row r="2424" spans="1:22" ht="15.75" x14ac:dyDescent="0.25">
      <c r="A2424" s="231"/>
      <c r="B2424" s="232"/>
      <c r="C2424" s="400"/>
      <c r="D2424" s="233"/>
      <c r="E2424" s="405"/>
      <c r="F2424" s="405"/>
      <c r="G2424" s="405"/>
      <c r="H2424" s="408">
        <f>ROUND(+E2424+F2424+G2424,4)</f>
        <v>0</v>
      </c>
      <c r="I2424" s="234"/>
      <c r="J2424" s="411"/>
      <c r="K2424" s="411"/>
      <c r="L2424" s="414">
        <v>0.1</v>
      </c>
      <c r="M2424" s="414">
        <f>ROUND(+L2424*C2424,4)</f>
        <v>0</v>
      </c>
      <c r="N2424" s="414"/>
      <c r="O2424" s="414"/>
      <c r="P2424" s="414"/>
      <c r="Q2424" s="419">
        <f>ROUND(+N2424+O2424+P2424,4)</f>
        <v>0</v>
      </c>
      <c r="R2424" s="419">
        <f>ROUND(IF(+Q2424-H2424&lt;=0,0,Q2424-H2424),4)</f>
        <v>0</v>
      </c>
      <c r="S2424" s="423">
        <v>0.5</v>
      </c>
      <c r="T2424" s="419">
        <f>ROUND(+(R2424*C2424)*S2424,4)</f>
        <v>0</v>
      </c>
      <c r="U2424" s="419">
        <f>ROUND(+J2424+M2424+T2424,4)</f>
        <v>0</v>
      </c>
      <c r="V2424" s="235"/>
    </row>
    <row r="2425" spans="1:22" ht="15.75" x14ac:dyDescent="0.25">
      <c r="A2425" s="231"/>
      <c r="B2425" s="232"/>
      <c r="C2425" s="400"/>
      <c r="D2425" s="233"/>
      <c r="E2425" s="405"/>
      <c r="F2425" s="405"/>
      <c r="G2425" s="405"/>
      <c r="H2425" s="408">
        <f>ROUND(+E2425+F2425+G2425,4)</f>
        <v>0</v>
      </c>
      <c r="I2425" s="234"/>
      <c r="J2425" s="411"/>
      <c r="K2425" s="411"/>
      <c r="L2425" s="414">
        <v>0.1</v>
      </c>
      <c r="M2425" s="414">
        <f>ROUND(+L2425*C2425,4)</f>
        <v>0</v>
      </c>
      <c r="N2425" s="414"/>
      <c r="O2425" s="414"/>
      <c r="P2425" s="414"/>
      <c r="Q2425" s="419">
        <f>ROUND(+N2425+O2425+P2425,4)</f>
        <v>0</v>
      </c>
      <c r="R2425" s="419">
        <f>ROUND(IF(+Q2425-H2425&lt;=0,0,Q2425-H2425),4)</f>
        <v>0</v>
      </c>
      <c r="S2425" s="423">
        <v>0.5</v>
      </c>
      <c r="T2425" s="419">
        <f>ROUND(+(R2425*C2425)*S2425,4)</f>
        <v>0</v>
      </c>
      <c r="U2425" s="419">
        <f>ROUND(+J2425+M2425+T2425,4)</f>
        <v>0</v>
      </c>
      <c r="V2425" s="235"/>
    </row>
    <row r="2426" spans="1:22" ht="15.75" x14ac:dyDescent="0.25">
      <c r="A2426" s="231"/>
      <c r="B2426" s="232"/>
      <c r="C2426" s="400"/>
      <c r="D2426" s="233"/>
      <c r="E2426" s="405"/>
      <c r="F2426" s="405"/>
      <c r="G2426" s="405"/>
      <c r="H2426" s="408">
        <f>ROUND(+E2426+F2426+G2426,4)</f>
        <v>0</v>
      </c>
      <c r="I2426" s="234"/>
      <c r="J2426" s="411"/>
      <c r="K2426" s="411"/>
      <c r="L2426" s="414">
        <v>0.1</v>
      </c>
      <c r="M2426" s="414">
        <f>ROUND(+L2426*C2426,4)</f>
        <v>0</v>
      </c>
      <c r="N2426" s="414"/>
      <c r="O2426" s="414"/>
      <c r="P2426" s="414"/>
      <c r="Q2426" s="419">
        <f>ROUND(+N2426+O2426+P2426,4)</f>
        <v>0</v>
      </c>
      <c r="R2426" s="419">
        <f>ROUND(IF(+Q2426-H2426&lt;=0,0,Q2426-H2426),4)</f>
        <v>0</v>
      </c>
      <c r="S2426" s="423">
        <v>0.5</v>
      </c>
      <c r="T2426" s="419">
        <f>ROUND(+(R2426*C2426)*S2426,4)</f>
        <v>0</v>
      </c>
      <c r="U2426" s="419">
        <f>ROUND(+J2426+M2426+T2426,4)</f>
        <v>0</v>
      </c>
      <c r="V2426" s="235"/>
    </row>
    <row r="2427" spans="1:22" ht="15.75" x14ac:dyDescent="0.25">
      <c r="A2427" s="231"/>
      <c r="B2427" s="232"/>
      <c r="C2427" s="400"/>
      <c r="D2427" s="233"/>
      <c r="E2427" s="405"/>
      <c r="F2427" s="405"/>
      <c r="G2427" s="405"/>
      <c r="H2427" s="408">
        <f>ROUND(+E2427+F2427+G2427,4)</f>
        <v>0</v>
      </c>
      <c r="I2427" s="234"/>
      <c r="J2427" s="411"/>
      <c r="K2427" s="411"/>
      <c r="L2427" s="414">
        <v>0.1</v>
      </c>
      <c r="M2427" s="414">
        <f>ROUND(+L2427*C2427,4)</f>
        <v>0</v>
      </c>
      <c r="N2427" s="414"/>
      <c r="O2427" s="414"/>
      <c r="P2427" s="414"/>
      <c r="Q2427" s="419">
        <f>ROUND(+N2427+O2427+P2427,4)</f>
        <v>0</v>
      </c>
      <c r="R2427" s="419">
        <f>ROUND(IF(+Q2427-H2427&lt;=0,0,Q2427-H2427),4)</f>
        <v>0</v>
      </c>
      <c r="S2427" s="423">
        <v>0.5</v>
      </c>
      <c r="T2427" s="419">
        <f>ROUND(+(R2427*C2427)*S2427,4)</f>
        <v>0</v>
      </c>
      <c r="U2427" s="419">
        <f>ROUND(+J2427+M2427+T2427,4)</f>
        <v>0</v>
      </c>
      <c r="V2427" s="235"/>
    </row>
    <row r="2428" spans="1:22" ht="15.75" x14ac:dyDescent="0.25">
      <c r="A2428" s="231"/>
      <c r="B2428" s="232"/>
      <c r="C2428" s="400"/>
      <c r="D2428" s="233"/>
      <c r="E2428" s="405"/>
      <c r="F2428" s="405"/>
      <c r="G2428" s="405"/>
      <c r="H2428" s="408">
        <f>ROUND(+E2428+F2428+G2428,4)</f>
        <v>0</v>
      </c>
      <c r="I2428" s="234"/>
      <c r="J2428" s="411"/>
      <c r="K2428" s="411"/>
      <c r="L2428" s="414">
        <v>0.1</v>
      </c>
      <c r="M2428" s="414">
        <f>ROUND(+L2428*C2428,4)</f>
        <v>0</v>
      </c>
      <c r="N2428" s="414"/>
      <c r="O2428" s="414"/>
      <c r="P2428" s="414"/>
      <c r="Q2428" s="419">
        <f>ROUND(+N2428+O2428+P2428,4)</f>
        <v>0</v>
      </c>
      <c r="R2428" s="419">
        <f>ROUND(IF(+Q2428-H2428&lt;=0,0,Q2428-H2428),4)</f>
        <v>0</v>
      </c>
      <c r="S2428" s="423">
        <v>0.5</v>
      </c>
      <c r="T2428" s="419">
        <f>ROUND(+(R2428*C2428)*S2428,4)</f>
        <v>0</v>
      </c>
      <c r="U2428" s="419">
        <f>ROUND(+J2428+M2428+T2428,4)</f>
        <v>0</v>
      </c>
      <c r="V2428" s="235"/>
    </row>
    <row r="2429" spans="1:22" ht="15.75" x14ac:dyDescent="0.25">
      <c r="A2429" s="231"/>
      <c r="B2429" s="232"/>
      <c r="C2429" s="400"/>
      <c r="D2429" s="233"/>
      <c r="E2429" s="405"/>
      <c r="F2429" s="405"/>
      <c r="G2429" s="405"/>
      <c r="H2429" s="408">
        <f>ROUND(+E2429+F2429+G2429,4)</f>
        <v>0</v>
      </c>
      <c r="I2429" s="234"/>
      <c r="J2429" s="411"/>
      <c r="K2429" s="411"/>
      <c r="L2429" s="414">
        <v>0.1</v>
      </c>
      <c r="M2429" s="414">
        <f>ROUND(+L2429*C2429,4)</f>
        <v>0</v>
      </c>
      <c r="N2429" s="414"/>
      <c r="O2429" s="414"/>
      <c r="P2429" s="414"/>
      <c r="Q2429" s="419">
        <f>ROUND(+N2429+O2429+P2429,4)</f>
        <v>0</v>
      </c>
      <c r="R2429" s="419">
        <f>ROUND(IF(+Q2429-H2429&lt;=0,0,Q2429-H2429),4)</f>
        <v>0</v>
      </c>
      <c r="S2429" s="423">
        <v>0.5</v>
      </c>
      <c r="T2429" s="419">
        <f>ROUND(+(R2429*C2429)*S2429,4)</f>
        <v>0</v>
      </c>
      <c r="U2429" s="419">
        <f>ROUND(+J2429+M2429+T2429,4)</f>
        <v>0</v>
      </c>
      <c r="V2429" s="235"/>
    </row>
    <row r="2430" spans="1:22" ht="15.75" x14ac:dyDescent="0.25">
      <c r="A2430" s="231"/>
      <c r="B2430" s="232"/>
      <c r="C2430" s="400"/>
      <c r="D2430" s="233"/>
      <c r="E2430" s="405"/>
      <c r="F2430" s="405"/>
      <c r="G2430" s="405"/>
      <c r="H2430" s="408">
        <f>ROUND(+E2430+F2430+G2430,4)</f>
        <v>0</v>
      </c>
      <c r="I2430" s="234"/>
      <c r="J2430" s="411"/>
      <c r="K2430" s="411"/>
      <c r="L2430" s="414">
        <v>0.1</v>
      </c>
      <c r="M2430" s="414">
        <f>ROUND(+L2430*C2430,4)</f>
        <v>0</v>
      </c>
      <c r="N2430" s="414"/>
      <c r="O2430" s="414"/>
      <c r="P2430" s="414"/>
      <c r="Q2430" s="419">
        <f>ROUND(+N2430+O2430+P2430,4)</f>
        <v>0</v>
      </c>
      <c r="R2430" s="419">
        <f>ROUND(IF(+Q2430-H2430&lt;=0,0,Q2430-H2430),4)</f>
        <v>0</v>
      </c>
      <c r="S2430" s="423">
        <v>0.5</v>
      </c>
      <c r="T2430" s="419">
        <f>ROUND(+(R2430*C2430)*S2430,4)</f>
        <v>0</v>
      </c>
      <c r="U2430" s="419">
        <f>ROUND(+J2430+M2430+T2430,4)</f>
        <v>0</v>
      </c>
      <c r="V2430" s="235"/>
    </row>
    <row r="2431" spans="1:22" ht="15.75" x14ac:dyDescent="0.25">
      <c r="A2431" s="231"/>
      <c r="B2431" s="232"/>
      <c r="C2431" s="400"/>
      <c r="D2431" s="233"/>
      <c r="E2431" s="405"/>
      <c r="F2431" s="405"/>
      <c r="G2431" s="405"/>
      <c r="H2431" s="408">
        <f>ROUND(+E2431+F2431+G2431,4)</f>
        <v>0</v>
      </c>
      <c r="I2431" s="234"/>
      <c r="J2431" s="411"/>
      <c r="K2431" s="411"/>
      <c r="L2431" s="414">
        <v>0.1</v>
      </c>
      <c r="M2431" s="414">
        <f>ROUND(+L2431*C2431,4)</f>
        <v>0</v>
      </c>
      <c r="N2431" s="414"/>
      <c r="O2431" s="414"/>
      <c r="P2431" s="414"/>
      <c r="Q2431" s="419">
        <f>ROUND(+N2431+O2431+P2431,4)</f>
        <v>0</v>
      </c>
      <c r="R2431" s="419">
        <f>ROUND(IF(+Q2431-H2431&lt;=0,0,Q2431-H2431),4)</f>
        <v>0</v>
      </c>
      <c r="S2431" s="423">
        <v>0.5</v>
      </c>
      <c r="T2431" s="419">
        <f>ROUND(+(R2431*C2431)*S2431,4)</f>
        <v>0</v>
      </c>
      <c r="U2431" s="419">
        <f>ROUND(+J2431+M2431+T2431,4)</f>
        <v>0</v>
      </c>
      <c r="V2431" s="235"/>
    </row>
    <row r="2432" spans="1:22" ht="15.75" x14ac:dyDescent="0.25">
      <c r="A2432" s="231"/>
      <c r="B2432" s="232"/>
      <c r="C2432" s="400"/>
      <c r="D2432" s="233"/>
      <c r="E2432" s="405"/>
      <c r="F2432" s="405"/>
      <c r="G2432" s="405"/>
      <c r="H2432" s="408">
        <f>ROUND(+E2432+F2432+G2432,4)</f>
        <v>0</v>
      </c>
      <c r="I2432" s="234"/>
      <c r="J2432" s="411"/>
      <c r="K2432" s="411"/>
      <c r="L2432" s="414">
        <v>0.1</v>
      </c>
      <c r="M2432" s="414">
        <f>ROUND(+L2432*C2432,4)</f>
        <v>0</v>
      </c>
      <c r="N2432" s="414"/>
      <c r="O2432" s="414"/>
      <c r="P2432" s="414"/>
      <c r="Q2432" s="419">
        <f>ROUND(+N2432+O2432+P2432,4)</f>
        <v>0</v>
      </c>
      <c r="R2432" s="419">
        <f>ROUND(IF(+Q2432-H2432&lt;=0,0,Q2432-H2432),4)</f>
        <v>0</v>
      </c>
      <c r="S2432" s="423">
        <v>0.5</v>
      </c>
      <c r="T2432" s="419">
        <f>ROUND(+(R2432*C2432)*S2432,4)</f>
        <v>0</v>
      </c>
      <c r="U2432" s="419">
        <f>ROUND(+J2432+M2432+T2432,4)</f>
        <v>0</v>
      </c>
      <c r="V2432" s="235"/>
    </row>
    <row r="2433" spans="1:22" ht="15.75" x14ac:dyDescent="0.25">
      <c r="A2433" s="231"/>
      <c r="B2433" s="232"/>
      <c r="C2433" s="400"/>
      <c r="D2433" s="233"/>
      <c r="E2433" s="405"/>
      <c r="F2433" s="405"/>
      <c r="G2433" s="405"/>
      <c r="H2433" s="408">
        <f>ROUND(+E2433+F2433+G2433,4)</f>
        <v>0</v>
      </c>
      <c r="I2433" s="234"/>
      <c r="J2433" s="411"/>
      <c r="K2433" s="411"/>
      <c r="L2433" s="414">
        <v>0.1</v>
      </c>
      <c r="M2433" s="414">
        <f>ROUND(+L2433*C2433,4)</f>
        <v>0</v>
      </c>
      <c r="N2433" s="414"/>
      <c r="O2433" s="414"/>
      <c r="P2433" s="414"/>
      <c r="Q2433" s="419">
        <f>ROUND(+N2433+O2433+P2433,4)</f>
        <v>0</v>
      </c>
      <c r="R2433" s="419">
        <f>ROUND(IF(+Q2433-H2433&lt;=0,0,Q2433-H2433),4)</f>
        <v>0</v>
      </c>
      <c r="S2433" s="423">
        <v>0.5</v>
      </c>
      <c r="T2433" s="419">
        <f>ROUND(+(R2433*C2433)*S2433,4)</f>
        <v>0</v>
      </c>
      <c r="U2433" s="419">
        <f>ROUND(+J2433+M2433+T2433,4)</f>
        <v>0</v>
      </c>
      <c r="V2433" s="235"/>
    </row>
    <row r="2434" spans="1:22" ht="15.75" x14ac:dyDescent="0.25">
      <c r="A2434" s="231"/>
      <c r="B2434" s="232"/>
      <c r="C2434" s="400"/>
      <c r="D2434" s="233"/>
      <c r="E2434" s="405"/>
      <c r="F2434" s="405"/>
      <c r="G2434" s="405"/>
      <c r="H2434" s="408">
        <f>ROUND(+E2434+F2434+G2434,4)</f>
        <v>0</v>
      </c>
      <c r="I2434" s="234"/>
      <c r="J2434" s="411"/>
      <c r="K2434" s="411"/>
      <c r="L2434" s="414">
        <v>0.1</v>
      </c>
      <c r="M2434" s="414">
        <f>ROUND(+L2434*C2434,4)</f>
        <v>0</v>
      </c>
      <c r="N2434" s="414"/>
      <c r="O2434" s="414"/>
      <c r="P2434" s="414"/>
      <c r="Q2434" s="419">
        <f>ROUND(+N2434+O2434+P2434,4)</f>
        <v>0</v>
      </c>
      <c r="R2434" s="419">
        <f>ROUND(IF(+Q2434-H2434&lt;=0,0,Q2434-H2434),4)</f>
        <v>0</v>
      </c>
      <c r="S2434" s="423">
        <v>0.5</v>
      </c>
      <c r="T2434" s="419">
        <f>ROUND(+(R2434*C2434)*S2434,4)</f>
        <v>0</v>
      </c>
      <c r="U2434" s="419">
        <f>ROUND(+J2434+M2434+T2434,4)</f>
        <v>0</v>
      </c>
      <c r="V2434" s="235"/>
    </row>
    <row r="2435" spans="1:22" ht="15.75" x14ac:dyDescent="0.25">
      <c r="A2435" s="231"/>
      <c r="B2435" s="232"/>
      <c r="C2435" s="400"/>
      <c r="D2435" s="233"/>
      <c r="E2435" s="405"/>
      <c r="F2435" s="405"/>
      <c r="G2435" s="405"/>
      <c r="H2435" s="408">
        <f>ROUND(+E2435+F2435+G2435,4)</f>
        <v>0</v>
      </c>
      <c r="I2435" s="234"/>
      <c r="J2435" s="411"/>
      <c r="K2435" s="411"/>
      <c r="L2435" s="414">
        <v>0.1</v>
      </c>
      <c r="M2435" s="414">
        <f>ROUND(+L2435*C2435,4)</f>
        <v>0</v>
      </c>
      <c r="N2435" s="414"/>
      <c r="O2435" s="414"/>
      <c r="P2435" s="414"/>
      <c r="Q2435" s="419">
        <f>ROUND(+N2435+O2435+P2435,4)</f>
        <v>0</v>
      </c>
      <c r="R2435" s="419">
        <f>ROUND(IF(+Q2435-H2435&lt;=0,0,Q2435-H2435),4)</f>
        <v>0</v>
      </c>
      <c r="S2435" s="423">
        <v>0.5</v>
      </c>
      <c r="T2435" s="419">
        <f>ROUND(+(R2435*C2435)*S2435,4)</f>
        <v>0</v>
      </c>
      <c r="U2435" s="419">
        <f>ROUND(+J2435+M2435+T2435,4)</f>
        <v>0</v>
      </c>
      <c r="V2435" s="235"/>
    </row>
    <row r="2436" spans="1:22" ht="15.75" x14ac:dyDescent="0.25">
      <c r="A2436" s="231"/>
      <c r="B2436" s="232"/>
      <c r="C2436" s="400"/>
      <c r="D2436" s="233"/>
      <c r="E2436" s="405"/>
      <c r="F2436" s="405"/>
      <c r="G2436" s="405"/>
      <c r="H2436" s="408">
        <f>ROUND(+E2436+F2436+G2436,4)</f>
        <v>0</v>
      </c>
      <c r="I2436" s="234"/>
      <c r="J2436" s="411"/>
      <c r="K2436" s="411"/>
      <c r="L2436" s="414">
        <v>0.1</v>
      </c>
      <c r="M2436" s="414">
        <f>ROUND(+L2436*C2436,4)</f>
        <v>0</v>
      </c>
      <c r="N2436" s="414"/>
      <c r="O2436" s="414"/>
      <c r="P2436" s="414"/>
      <c r="Q2436" s="419">
        <f>ROUND(+N2436+O2436+P2436,4)</f>
        <v>0</v>
      </c>
      <c r="R2436" s="419">
        <f>ROUND(IF(+Q2436-H2436&lt;=0,0,Q2436-H2436),4)</f>
        <v>0</v>
      </c>
      <c r="S2436" s="423">
        <v>0.5</v>
      </c>
      <c r="T2436" s="419">
        <f>ROUND(+(R2436*C2436)*S2436,4)</f>
        <v>0</v>
      </c>
      <c r="U2436" s="419">
        <f>ROUND(+J2436+M2436+T2436,4)</f>
        <v>0</v>
      </c>
      <c r="V2436" s="235"/>
    </row>
    <row r="2437" spans="1:22" ht="15.75" x14ac:dyDescent="0.25">
      <c r="A2437" s="231"/>
      <c r="B2437" s="232"/>
      <c r="C2437" s="400"/>
      <c r="D2437" s="233"/>
      <c r="E2437" s="405"/>
      <c r="F2437" s="405"/>
      <c r="G2437" s="405"/>
      <c r="H2437" s="408">
        <f>ROUND(+E2437+F2437+G2437,4)</f>
        <v>0</v>
      </c>
      <c r="I2437" s="234"/>
      <c r="J2437" s="411"/>
      <c r="K2437" s="411"/>
      <c r="L2437" s="414">
        <v>0.1</v>
      </c>
      <c r="M2437" s="414">
        <f>ROUND(+L2437*C2437,4)</f>
        <v>0</v>
      </c>
      <c r="N2437" s="414"/>
      <c r="O2437" s="414"/>
      <c r="P2437" s="414"/>
      <c r="Q2437" s="419">
        <f>ROUND(+N2437+O2437+P2437,4)</f>
        <v>0</v>
      </c>
      <c r="R2437" s="419">
        <f>ROUND(IF(+Q2437-H2437&lt;=0,0,Q2437-H2437),4)</f>
        <v>0</v>
      </c>
      <c r="S2437" s="423">
        <v>0.5</v>
      </c>
      <c r="T2437" s="419">
        <f>ROUND(+(R2437*C2437)*S2437,4)</f>
        <v>0</v>
      </c>
      <c r="U2437" s="419">
        <f>ROUND(+J2437+M2437+T2437,4)</f>
        <v>0</v>
      </c>
      <c r="V2437" s="235"/>
    </row>
    <row r="2438" spans="1:22" ht="15.75" x14ac:dyDescent="0.25">
      <c r="A2438" s="231"/>
      <c r="B2438" s="232"/>
      <c r="C2438" s="400"/>
      <c r="D2438" s="233"/>
      <c r="E2438" s="405"/>
      <c r="F2438" s="405"/>
      <c r="G2438" s="405"/>
      <c r="H2438" s="408">
        <f>ROUND(+E2438+F2438+G2438,4)</f>
        <v>0</v>
      </c>
      <c r="I2438" s="234"/>
      <c r="J2438" s="411"/>
      <c r="K2438" s="411"/>
      <c r="L2438" s="414">
        <v>0.1</v>
      </c>
      <c r="M2438" s="414">
        <f>ROUND(+L2438*C2438,4)</f>
        <v>0</v>
      </c>
      <c r="N2438" s="414"/>
      <c r="O2438" s="414"/>
      <c r="P2438" s="414"/>
      <c r="Q2438" s="419">
        <f>ROUND(+N2438+O2438+P2438,4)</f>
        <v>0</v>
      </c>
      <c r="R2438" s="419">
        <f>ROUND(IF(+Q2438-H2438&lt;=0,0,Q2438-H2438),4)</f>
        <v>0</v>
      </c>
      <c r="S2438" s="423">
        <v>0.5</v>
      </c>
      <c r="T2438" s="419">
        <f>ROUND(+(R2438*C2438)*S2438,4)</f>
        <v>0</v>
      </c>
      <c r="U2438" s="419">
        <f>ROUND(+J2438+M2438+T2438,4)</f>
        <v>0</v>
      </c>
      <c r="V2438" s="235"/>
    </row>
    <row r="2439" spans="1:22" ht="15.75" x14ac:dyDescent="0.25">
      <c r="A2439" s="231"/>
      <c r="B2439" s="232"/>
      <c r="C2439" s="400"/>
      <c r="D2439" s="233"/>
      <c r="E2439" s="405"/>
      <c r="F2439" s="405"/>
      <c r="G2439" s="405"/>
      <c r="H2439" s="408">
        <f>ROUND(+E2439+F2439+G2439,4)</f>
        <v>0</v>
      </c>
      <c r="I2439" s="234"/>
      <c r="J2439" s="411"/>
      <c r="K2439" s="411"/>
      <c r="L2439" s="414">
        <v>0.1</v>
      </c>
      <c r="M2439" s="414">
        <f>ROUND(+L2439*C2439,4)</f>
        <v>0</v>
      </c>
      <c r="N2439" s="414"/>
      <c r="O2439" s="414"/>
      <c r="P2439" s="414"/>
      <c r="Q2439" s="419">
        <f>ROUND(+N2439+O2439+P2439,4)</f>
        <v>0</v>
      </c>
      <c r="R2439" s="419">
        <f>ROUND(IF(+Q2439-H2439&lt;=0,0,Q2439-H2439),4)</f>
        <v>0</v>
      </c>
      <c r="S2439" s="423">
        <v>0.5</v>
      </c>
      <c r="T2439" s="419">
        <f>ROUND(+(R2439*C2439)*S2439,4)</f>
        <v>0</v>
      </c>
      <c r="U2439" s="419">
        <f>ROUND(+J2439+M2439+T2439,4)</f>
        <v>0</v>
      </c>
      <c r="V2439" s="235"/>
    </row>
    <row r="2440" spans="1:22" ht="15.75" x14ac:dyDescent="0.25">
      <c r="A2440" s="231"/>
      <c r="B2440" s="232"/>
      <c r="C2440" s="400"/>
      <c r="D2440" s="233"/>
      <c r="E2440" s="405"/>
      <c r="F2440" s="405"/>
      <c r="G2440" s="405"/>
      <c r="H2440" s="408">
        <f>ROUND(+E2440+F2440+G2440,4)</f>
        <v>0</v>
      </c>
      <c r="I2440" s="234"/>
      <c r="J2440" s="411"/>
      <c r="K2440" s="411"/>
      <c r="L2440" s="414">
        <v>0.1</v>
      </c>
      <c r="M2440" s="414">
        <f>ROUND(+L2440*C2440,4)</f>
        <v>0</v>
      </c>
      <c r="N2440" s="414"/>
      <c r="O2440" s="414"/>
      <c r="P2440" s="414"/>
      <c r="Q2440" s="419">
        <f>ROUND(+N2440+O2440+P2440,4)</f>
        <v>0</v>
      </c>
      <c r="R2440" s="419">
        <f>ROUND(IF(+Q2440-H2440&lt;=0,0,Q2440-H2440),4)</f>
        <v>0</v>
      </c>
      <c r="S2440" s="423">
        <v>0.5</v>
      </c>
      <c r="T2440" s="419">
        <f>ROUND(+(R2440*C2440)*S2440,4)</f>
        <v>0</v>
      </c>
      <c r="U2440" s="419">
        <f>ROUND(+J2440+M2440+T2440,4)</f>
        <v>0</v>
      </c>
      <c r="V2440" s="235"/>
    </row>
    <row r="2441" spans="1:22" ht="15.75" x14ac:dyDescent="0.25">
      <c r="A2441" s="231"/>
      <c r="B2441" s="232"/>
      <c r="C2441" s="400"/>
      <c r="D2441" s="233"/>
      <c r="E2441" s="405"/>
      <c r="F2441" s="405"/>
      <c r="G2441" s="405"/>
      <c r="H2441" s="408">
        <f>ROUND(+E2441+F2441+G2441,4)</f>
        <v>0</v>
      </c>
      <c r="I2441" s="234"/>
      <c r="J2441" s="411"/>
      <c r="K2441" s="411"/>
      <c r="L2441" s="414">
        <v>0.1</v>
      </c>
      <c r="M2441" s="414">
        <f>ROUND(+L2441*C2441,4)</f>
        <v>0</v>
      </c>
      <c r="N2441" s="414"/>
      <c r="O2441" s="414"/>
      <c r="P2441" s="414"/>
      <c r="Q2441" s="419">
        <f>ROUND(+N2441+O2441+P2441,4)</f>
        <v>0</v>
      </c>
      <c r="R2441" s="419">
        <f>ROUND(IF(+Q2441-H2441&lt;=0,0,Q2441-H2441),4)</f>
        <v>0</v>
      </c>
      <c r="S2441" s="423">
        <v>0.5</v>
      </c>
      <c r="T2441" s="419">
        <f>ROUND(+(R2441*C2441)*S2441,4)</f>
        <v>0</v>
      </c>
      <c r="U2441" s="419">
        <f>ROUND(+J2441+M2441+T2441,4)</f>
        <v>0</v>
      </c>
      <c r="V2441" s="235"/>
    </row>
    <row r="2442" spans="1:22" ht="15.75" x14ac:dyDescent="0.25">
      <c r="A2442" s="231"/>
      <c r="B2442" s="232"/>
      <c r="C2442" s="400"/>
      <c r="D2442" s="233"/>
      <c r="E2442" s="405"/>
      <c r="F2442" s="405"/>
      <c r="G2442" s="405"/>
      <c r="H2442" s="408">
        <f>ROUND(+E2442+F2442+G2442,4)</f>
        <v>0</v>
      </c>
      <c r="I2442" s="234"/>
      <c r="J2442" s="411"/>
      <c r="K2442" s="411"/>
      <c r="L2442" s="414">
        <v>0.1</v>
      </c>
      <c r="M2442" s="414">
        <f>ROUND(+L2442*C2442,4)</f>
        <v>0</v>
      </c>
      <c r="N2442" s="414"/>
      <c r="O2442" s="414"/>
      <c r="P2442" s="414"/>
      <c r="Q2442" s="419">
        <f>ROUND(+N2442+O2442+P2442,4)</f>
        <v>0</v>
      </c>
      <c r="R2442" s="419">
        <f>ROUND(IF(+Q2442-H2442&lt;=0,0,Q2442-H2442),4)</f>
        <v>0</v>
      </c>
      <c r="S2442" s="423">
        <v>0.5</v>
      </c>
      <c r="T2442" s="419">
        <f>ROUND(+(R2442*C2442)*S2442,4)</f>
        <v>0</v>
      </c>
      <c r="U2442" s="419">
        <f>ROUND(+J2442+M2442+T2442,4)</f>
        <v>0</v>
      </c>
      <c r="V2442" s="235"/>
    </row>
    <row r="2443" spans="1:22" ht="15.75" x14ac:dyDescent="0.25">
      <c r="A2443" s="231"/>
      <c r="B2443" s="232"/>
      <c r="C2443" s="400"/>
      <c r="D2443" s="233"/>
      <c r="E2443" s="405"/>
      <c r="F2443" s="405"/>
      <c r="G2443" s="405"/>
      <c r="H2443" s="408">
        <f>ROUND(+E2443+F2443+G2443,4)</f>
        <v>0</v>
      </c>
      <c r="I2443" s="234"/>
      <c r="J2443" s="411"/>
      <c r="K2443" s="411"/>
      <c r="L2443" s="414">
        <v>0.1</v>
      </c>
      <c r="M2443" s="414">
        <f>ROUND(+L2443*C2443,4)</f>
        <v>0</v>
      </c>
      <c r="N2443" s="414"/>
      <c r="O2443" s="414"/>
      <c r="P2443" s="414"/>
      <c r="Q2443" s="419">
        <f>ROUND(+N2443+O2443+P2443,4)</f>
        <v>0</v>
      </c>
      <c r="R2443" s="419">
        <f>ROUND(IF(+Q2443-H2443&lt;=0,0,Q2443-H2443),4)</f>
        <v>0</v>
      </c>
      <c r="S2443" s="423">
        <v>0.5</v>
      </c>
      <c r="T2443" s="419">
        <f>ROUND(+(R2443*C2443)*S2443,4)</f>
        <v>0</v>
      </c>
      <c r="U2443" s="419">
        <f>ROUND(+J2443+M2443+T2443,4)</f>
        <v>0</v>
      </c>
      <c r="V2443" s="235"/>
    </row>
    <row r="2444" spans="1:22" ht="15.75" x14ac:dyDescent="0.25">
      <c r="A2444" s="231"/>
      <c r="B2444" s="232"/>
      <c r="C2444" s="400"/>
      <c r="D2444" s="233"/>
      <c r="E2444" s="405"/>
      <c r="F2444" s="405"/>
      <c r="G2444" s="405"/>
      <c r="H2444" s="408">
        <f>ROUND(+E2444+F2444+G2444,4)</f>
        <v>0</v>
      </c>
      <c r="I2444" s="234"/>
      <c r="J2444" s="411"/>
      <c r="K2444" s="411"/>
      <c r="L2444" s="414">
        <v>0.1</v>
      </c>
      <c r="M2444" s="414">
        <f>ROUND(+L2444*C2444,4)</f>
        <v>0</v>
      </c>
      <c r="N2444" s="414"/>
      <c r="O2444" s="414"/>
      <c r="P2444" s="414"/>
      <c r="Q2444" s="419">
        <f>ROUND(+N2444+O2444+P2444,4)</f>
        <v>0</v>
      </c>
      <c r="R2444" s="419">
        <f>ROUND(IF(+Q2444-H2444&lt;=0,0,Q2444-H2444),4)</f>
        <v>0</v>
      </c>
      <c r="S2444" s="423">
        <v>0.5</v>
      </c>
      <c r="T2444" s="419">
        <f>ROUND(+(R2444*C2444)*S2444,4)</f>
        <v>0</v>
      </c>
      <c r="U2444" s="419">
        <f>ROUND(+J2444+M2444+T2444,4)</f>
        <v>0</v>
      </c>
      <c r="V2444" s="235"/>
    </row>
    <row r="2445" spans="1:22" ht="15.75" x14ac:dyDescent="0.25">
      <c r="A2445" s="231"/>
      <c r="B2445" s="232"/>
      <c r="C2445" s="400"/>
      <c r="D2445" s="233"/>
      <c r="E2445" s="405"/>
      <c r="F2445" s="405"/>
      <c r="G2445" s="405"/>
      <c r="H2445" s="408">
        <f>ROUND(+E2445+F2445+G2445,4)</f>
        <v>0</v>
      </c>
      <c r="I2445" s="234"/>
      <c r="J2445" s="411"/>
      <c r="K2445" s="411"/>
      <c r="L2445" s="414">
        <v>0.1</v>
      </c>
      <c r="M2445" s="414">
        <f>ROUND(+L2445*C2445,4)</f>
        <v>0</v>
      </c>
      <c r="N2445" s="414"/>
      <c r="O2445" s="414"/>
      <c r="P2445" s="414"/>
      <c r="Q2445" s="419">
        <f>ROUND(+N2445+O2445+P2445,4)</f>
        <v>0</v>
      </c>
      <c r="R2445" s="419">
        <f>ROUND(IF(+Q2445-H2445&lt;=0,0,Q2445-H2445),4)</f>
        <v>0</v>
      </c>
      <c r="S2445" s="423">
        <v>0.5</v>
      </c>
      <c r="T2445" s="419">
        <f>ROUND(+(R2445*C2445)*S2445,4)</f>
        <v>0</v>
      </c>
      <c r="U2445" s="419">
        <f>ROUND(+J2445+M2445+T2445,4)</f>
        <v>0</v>
      </c>
      <c r="V2445" s="235"/>
    </row>
    <row r="2446" spans="1:22" ht="15.75" x14ac:dyDescent="0.25">
      <c r="A2446" s="231"/>
      <c r="B2446" s="232"/>
      <c r="C2446" s="400"/>
      <c r="D2446" s="233"/>
      <c r="E2446" s="405"/>
      <c r="F2446" s="405"/>
      <c r="G2446" s="405"/>
      <c r="H2446" s="408">
        <f>ROUND(+E2446+F2446+G2446,4)</f>
        <v>0</v>
      </c>
      <c r="I2446" s="234"/>
      <c r="J2446" s="411"/>
      <c r="K2446" s="411"/>
      <c r="L2446" s="414">
        <v>0.1</v>
      </c>
      <c r="M2446" s="414">
        <f>ROUND(+L2446*C2446,4)</f>
        <v>0</v>
      </c>
      <c r="N2446" s="414"/>
      <c r="O2446" s="414"/>
      <c r="P2446" s="414"/>
      <c r="Q2446" s="419">
        <f>ROUND(+N2446+O2446+P2446,4)</f>
        <v>0</v>
      </c>
      <c r="R2446" s="419">
        <f>ROUND(IF(+Q2446-H2446&lt;=0,0,Q2446-H2446),4)</f>
        <v>0</v>
      </c>
      <c r="S2446" s="423">
        <v>0.5</v>
      </c>
      <c r="T2446" s="419">
        <f>ROUND(+(R2446*C2446)*S2446,4)</f>
        <v>0</v>
      </c>
      <c r="U2446" s="419">
        <f>ROUND(+J2446+M2446+T2446,4)</f>
        <v>0</v>
      </c>
      <c r="V2446" s="235"/>
    </row>
    <row r="2447" spans="1:22" ht="15.75" x14ac:dyDescent="0.25">
      <c r="A2447" s="231"/>
      <c r="B2447" s="232"/>
      <c r="C2447" s="400"/>
      <c r="D2447" s="233"/>
      <c r="E2447" s="405"/>
      <c r="F2447" s="405"/>
      <c r="G2447" s="405"/>
      <c r="H2447" s="408">
        <f>ROUND(+E2447+F2447+G2447,4)</f>
        <v>0</v>
      </c>
      <c r="I2447" s="234"/>
      <c r="J2447" s="411"/>
      <c r="K2447" s="411"/>
      <c r="L2447" s="414">
        <v>0.1</v>
      </c>
      <c r="M2447" s="414">
        <f>ROUND(+L2447*C2447,4)</f>
        <v>0</v>
      </c>
      <c r="N2447" s="414"/>
      <c r="O2447" s="414"/>
      <c r="P2447" s="414"/>
      <c r="Q2447" s="419">
        <f>ROUND(+N2447+O2447+P2447,4)</f>
        <v>0</v>
      </c>
      <c r="R2447" s="419">
        <f>ROUND(IF(+Q2447-H2447&lt;=0,0,Q2447-H2447),4)</f>
        <v>0</v>
      </c>
      <c r="S2447" s="423">
        <v>0.5</v>
      </c>
      <c r="T2447" s="419">
        <f>ROUND(+(R2447*C2447)*S2447,4)</f>
        <v>0</v>
      </c>
      <c r="U2447" s="419">
        <f>ROUND(+J2447+M2447+T2447,4)</f>
        <v>0</v>
      </c>
      <c r="V2447" s="235"/>
    </row>
    <row r="2448" spans="1:22" ht="15.75" x14ac:dyDescent="0.25">
      <c r="A2448" s="231"/>
      <c r="B2448" s="232"/>
      <c r="C2448" s="400"/>
      <c r="D2448" s="233"/>
      <c r="E2448" s="405"/>
      <c r="F2448" s="405"/>
      <c r="G2448" s="405"/>
      <c r="H2448" s="408">
        <f>ROUND(+E2448+F2448+G2448,4)</f>
        <v>0</v>
      </c>
      <c r="I2448" s="234"/>
      <c r="J2448" s="411"/>
      <c r="K2448" s="411"/>
      <c r="L2448" s="414">
        <v>0.1</v>
      </c>
      <c r="M2448" s="414">
        <f>ROUND(+L2448*C2448,4)</f>
        <v>0</v>
      </c>
      <c r="N2448" s="414"/>
      <c r="O2448" s="414"/>
      <c r="P2448" s="414"/>
      <c r="Q2448" s="419">
        <f>ROUND(+N2448+O2448+P2448,4)</f>
        <v>0</v>
      </c>
      <c r="R2448" s="419">
        <f>ROUND(IF(+Q2448-H2448&lt;=0,0,Q2448-H2448),4)</f>
        <v>0</v>
      </c>
      <c r="S2448" s="423">
        <v>0.5</v>
      </c>
      <c r="T2448" s="419">
        <f>ROUND(+(R2448*C2448)*S2448,4)</f>
        <v>0</v>
      </c>
      <c r="U2448" s="419">
        <f>ROUND(+J2448+M2448+T2448,4)</f>
        <v>0</v>
      </c>
      <c r="V2448" s="235"/>
    </row>
    <row r="2449" spans="1:22" ht="15.75" x14ac:dyDescent="0.25">
      <c r="A2449" s="231"/>
      <c r="B2449" s="232"/>
      <c r="C2449" s="400"/>
      <c r="D2449" s="233"/>
      <c r="E2449" s="405"/>
      <c r="F2449" s="405"/>
      <c r="G2449" s="405"/>
      <c r="H2449" s="408">
        <f>ROUND(+E2449+F2449+G2449,4)</f>
        <v>0</v>
      </c>
      <c r="I2449" s="234"/>
      <c r="J2449" s="411"/>
      <c r="K2449" s="411"/>
      <c r="L2449" s="414">
        <v>0.1</v>
      </c>
      <c r="M2449" s="414">
        <f>ROUND(+L2449*C2449,4)</f>
        <v>0</v>
      </c>
      <c r="N2449" s="414"/>
      <c r="O2449" s="414"/>
      <c r="P2449" s="414"/>
      <c r="Q2449" s="419">
        <f>ROUND(+N2449+O2449+P2449,4)</f>
        <v>0</v>
      </c>
      <c r="R2449" s="419">
        <f>ROUND(IF(+Q2449-H2449&lt;=0,0,Q2449-H2449),4)</f>
        <v>0</v>
      </c>
      <c r="S2449" s="423">
        <v>0.5</v>
      </c>
      <c r="T2449" s="419">
        <f>ROUND(+(R2449*C2449)*S2449,4)</f>
        <v>0</v>
      </c>
      <c r="U2449" s="419">
        <f>ROUND(+J2449+M2449+T2449,4)</f>
        <v>0</v>
      </c>
      <c r="V2449" s="235"/>
    </row>
    <row r="2450" spans="1:22" ht="15.75" x14ac:dyDescent="0.25">
      <c r="A2450" s="231"/>
      <c r="B2450" s="232"/>
      <c r="C2450" s="400"/>
      <c r="D2450" s="233"/>
      <c r="E2450" s="405"/>
      <c r="F2450" s="405"/>
      <c r="G2450" s="405"/>
      <c r="H2450" s="408">
        <f>ROUND(+E2450+F2450+G2450,4)</f>
        <v>0</v>
      </c>
      <c r="I2450" s="234"/>
      <c r="J2450" s="411"/>
      <c r="K2450" s="411"/>
      <c r="L2450" s="414">
        <v>0.1</v>
      </c>
      <c r="M2450" s="414">
        <f>ROUND(+L2450*C2450,4)</f>
        <v>0</v>
      </c>
      <c r="N2450" s="414"/>
      <c r="O2450" s="414"/>
      <c r="P2450" s="414"/>
      <c r="Q2450" s="419">
        <f>ROUND(+N2450+O2450+P2450,4)</f>
        <v>0</v>
      </c>
      <c r="R2450" s="419">
        <f>ROUND(IF(+Q2450-H2450&lt;=0,0,Q2450-H2450),4)</f>
        <v>0</v>
      </c>
      <c r="S2450" s="423">
        <v>0.5</v>
      </c>
      <c r="T2450" s="419">
        <f>ROUND(+(R2450*C2450)*S2450,4)</f>
        <v>0</v>
      </c>
      <c r="U2450" s="419">
        <f>ROUND(+J2450+M2450+T2450,4)</f>
        <v>0</v>
      </c>
      <c r="V2450" s="235"/>
    </row>
    <row r="2451" spans="1:22" ht="15.75" x14ac:dyDescent="0.25">
      <c r="A2451" s="231"/>
      <c r="B2451" s="232"/>
      <c r="C2451" s="400"/>
      <c r="D2451" s="233"/>
      <c r="E2451" s="405"/>
      <c r="F2451" s="405"/>
      <c r="G2451" s="405"/>
      <c r="H2451" s="408">
        <f>ROUND(+E2451+F2451+G2451,4)</f>
        <v>0</v>
      </c>
      <c r="I2451" s="234"/>
      <c r="J2451" s="411"/>
      <c r="K2451" s="411"/>
      <c r="L2451" s="414">
        <v>0.1</v>
      </c>
      <c r="M2451" s="414">
        <f>ROUND(+L2451*C2451,4)</f>
        <v>0</v>
      </c>
      <c r="N2451" s="414"/>
      <c r="O2451" s="414"/>
      <c r="P2451" s="414"/>
      <c r="Q2451" s="419">
        <f>ROUND(+N2451+O2451+P2451,4)</f>
        <v>0</v>
      </c>
      <c r="R2451" s="419">
        <f>ROUND(IF(+Q2451-H2451&lt;=0,0,Q2451-H2451),4)</f>
        <v>0</v>
      </c>
      <c r="S2451" s="423">
        <v>0.5</v>
      </c>
      <c r="T2451" s="419">
        <f>ROUND(+(R2451*C2451)*S2451,4)</f>
        <v>0</v>
      </c>
      <c r="U2451" s="419">
        <f>ROUND(+J2451+M2451+T2451,4)</f>
        <v>0</v>
      </c>
      <c r="V2451" s="235"/>
    </row>
    <row r="2452" spans="1:22" ht="15.75" x14ac:dyDescent="0.25">
      <c r="A2452" s="231"/>
      <c r="B2452" s="232"/>
      <c r="C2452" s="400"/>
      <c r="D2452" s="233"/>
      <c r="E2452" s="405"/>
      <c r="F2452" s="405"/>
      <c r="G2452" s="405"/>
      <c r="H2452" s="408">
        <f>ROUND(+E2452+F2452+G2452,4)</f>
        <v>0</v>
      </c>
      <c r="I2452" s="234"/>
      <c r="J2452" s="411"/>
      <c r="K2452" s="411"/>
      <c r="L2452" s="414">
        <v>0.1</v>
      </c>
      <c r="M2452" s="414">
        <f>ROUND(+L2452*C2452,4)</f>
        <v>0</v>
      </c>
      <c r="N2452" s="414"/>
      <c r="O2452" s="414"/>
      <c r="P2452" s="414"/>
      <c r="Q2452" s="419">
        <f>ROUND(+N2452+O2452+P2452,4)</f>
        <v>0</v>
      </c>
      <c r="R2452" s="419">
        <f>ROUND(IF(+Q2452-H2452&lt;=0,0,Q2452-H2452),4)</f>
        <v>0</v>
      </c>
      <c r="S2452" s="423">
        <v>0.5</v>
      </c>
      <c r="T2452" s="419">
        <f>ROUND(+(R2452*C2452)*S2452,4)</f>
        <v>0</v>
      </c>
      <c r="U2452" s="419">
        <f>ROUND(+J2452+M2452+T2452,4)</f>
        <v>0</v>
      </c>
      <c r="V2452" s="235"/>
    </row>
    <row r="2453" spans="1:22" ht="15.75" x14ac:dyDescent="0.25">
      <c r="A2453" s="231"/>
      <c r="B2453" s="232"/>
      <c r="C2453" s="400"/>
      <c r="D2453" s="233"/>
      <c r="E2453" s="405"/>
      <c r="F2453" s="405"/>
      <c r="G2453" s="405"/>
      <c r="H2453" s="408">
        <f>ROUND(+E2453+F2453+G2453,4)</f>
        <v>0</v>
      </c>
      <c r="I2453" s="234"/>
      <c r="J2453" s="411"/>
      <c r="K2453" s="411"/>
      <c r="L2453" s="414">
        <v>0.1</v>
      </c>
      <c r="M2453" s="414">
        <f>ROUND(+L2453*C2453,4)</f>
        <v>0</v>
      </c>
      <c r="N2453" s="414"/>
      <c r="O2453" s="414"/>
      <c r="P2453" s="414"/>
      <c r="Q2453" s="419">
        <f>ROUND(+N2453+O2453+P2453,4)</f>
        <v>0</v>
      </c>
      <c r="R2453" s="419">
        <f>ROUND(IF(+Q2453-H2453&lt;=0,0,Q2453-H2453),4)</f>
        <v>0</v>
      </c>
      <c r="S2453" s="423">
        <v>0.5</v>
      </c>
      <c r="T2453" s="419">
        <f>ROUND(+(R2453*C2453)*S2453,4)</f>
        <v>0</v>
      </c>
      <c r="U2453" s="419">
        <f>ROUND(+J2453+M2453+T2453,4)</f>
        <v>0</v>
      </c>
      <c r="V2453" s="235"/>
    </row>
    <row r="2454" spans="1:22" ht="15.75" x14ac:dyDescent="0.25">
      <c r="A2454" s="231"/>
      <c r="B2454" s="232"/>
      <c r="C2454" s="400"/>
      <c r="D2454" s="233"/>
      <c r="E2454" s="405"/>
      <c r="F2454" s="405"/>
      <c r="G2454" s="405"/>
      <c r="H2454" s="408">
        <f>ROUND(+E2454+F2454+G2454,4)</f>
        <v>0</v>
      </c>
      <c r="I2454" s="234"/>
      <c r="J2454" s="411"/>
      <c r="K2454" s="411"/>
      <c r="L2454" s="414">
        <v>0.1</v>
      </c>
      <c r="M2454" s="414">
        <f>ROUND(+L2454*C2454,4)</f>
        <v>0</v>
      </c>
      <c r="N2454" s="414"/>
      <c r="O2454" s="414"/>
      <c r="P2454" s="414"/>
      <c r="Q2454" s="419">
        <f>ROUND(+N2454+O2454+P2454,4)</f>
        <v>0</v>
      </c>
      <c r="R2454" s="419">
        <f>ROUND(IF(+Q2454-H2454&lt;=0,0,Q2454-H2454),4)</f>
        <v>0</v>
      </c>
      <c r="S2454" s="423">
        <v>0.5</v>
      </c>
      <c r="T2454" s="419">
        <f>ROUND(+(R2454*C2454)*S2454,4)</f>
        <v>0</v>
      </c>
      <c r="U2454" s="419">
        <f>ROUND(+J2454+M2454+T2454,4)</f>
        <v>0</v>
      </c>
      <c r="V2454" s="235"/>
    </row>
    <row r="2455" spans="1:22" ht="15.75" x14ac:dyDescent="0.25">
      <c r="A2455" s="231"/>
      <c r="B2455" s="232"/>
      <c r="C2455" s="400"/>
      <c r="D2455" s="233"/>
      <c r="E2455" s="405"/>
      <c r="F2455" s="405"/>
      <c r="G2455" s="405"/>
      <c r="H2455" s="408">
        <f>ROUND(+E2455+F2455+G2455,4)</f>
        <v>0</v>
      </c>
      <c r="I2455" s="234"/>
      <c r="J2455" s="411"/>
      <c r="K2455" s="411"/>
      <c r="L2455" s="414">
        <v>0.1</v>
      </c>
      <c r="M2455" s="414">
        <f>ROUND(+L2455*C2455,4)</f>
        <v>0</v>
      </c>
      <c r="N2455" s="414"/>
      <c r="O2455" s="414"/>
      <c r="P2455" s="414"/>
      <c r="Q2455" s="419">
        <f>ROUND(+N2455+O2455+P2455,4)</f>
        <v>0</v>
      </c>
      <c r="R2455" s="419">
        <f>ROUND(IF(+Q2455-H2455&lt;=0,0,Q2455-H2455),4)</f>
        <v>0</v>
      </c>
      <c r="S2455" s="423">
        <v>0.5</v>
      </c>
      <c r="T2455" s="419">
        <f>ROUND(+(R2455*C2455)*S2455,4)</f>
        <v>0</v>
      </c>
      <c r="U2455" s="419">
        <f>ROUND(+J2455+M2455+T2455,4)</f>
        <v>0</v>
      </c>
      <c r="V2455" s="235"/>
    </row>
    <row r="2456" spans="1:22" ht="15.75" x14ac:dyDescent="0.25">
      <c r="A2456" s="231"/>
      <c r="B2456" s="232"/>
      <c r="C2456" s="400"/>
      <c r="D2456" s="233"/>
      <c r="E2456" s="405"/>
      <c r="F2456" s="405"/>
      <c r="G2456" s="405"/>
      <c r="H2456" s="408">
        <f>ROUND(+E2456+F2456+G2456,4)</f>
        <v>0</v>
      </c>
      <c r="I2456" s="234"/>
      <c r="J2456" s="411"/>
      <c r="K2456" s="411"/>
      <c r="L2456" s="414">
        <v>0.1</v>
      </c>
      <c r="M2456" s="414">
        <f>ROUND(+L2456*C2456,4)</f>
        <v>0</v>
      </c>
      <c r="N2456" s="414"/>
      <c r="O2456" s="414"/>
      <c r="P2456" s="414"/>
      <c r="Q2456" s="419">
        <f>ROUND(+N2456+O2456+P2456,4)</f>
        <v>0</v>
      </c>
      <c r="R2456" s="419">
        <f>ROUND(IF(+Q2456-H2456&lt;=0,0,Q2456-H2456),4)</f>
        <v>0</v>
      </c>
      <c r="S2456" s="423">
        <v>0.5</v>
      </c>
      <c r="T2456" s="419">
        <f>ROUND(+(R2456*C2456)*S2456,4)</f>
        <v>0</v>
      </c>
      <c r="U2456" s="419">
        <f>ROUND(+J2456+M2456+T2456,4)</f>
        <v>0</v>
      </c>
      <c r="V2456" s="235"/>
    </row>
    <row r="2457" spans="1:22" ht="15.75" x14ac:dyDescent="0.25">
      <c r="A2457" s="231"/>
      <c r="B2457" s="232"/>
      <c r="C2457" s="400"/>
      <c r="D2457" s="233"/>
      <c r="E2457" s="405"/>
      <c r="F2457" s="405"/>
      <c r="G2457" s="405"/>
      <c r="H2457" s="408">
        <f>ROUND(+E2457+F2457+G2457,4)</f>
        <v>0</v>
      </c>
      <c r="I2457" s="234"/>
      <c r="J2457" s="411"/>
      <c r="K2457" s="411"/>
      <c r="L2457" s="414">
        <v>0.1</v>
      </c>
      <c r="M2457" s="414">
        <f>ROUND(+L2457*C2457,4)</f>
        <v>0</v>
      </c>
      <c r="N2457" s="414"/>
      <c r="O2457" s="414"/>
      <c r="P2457" s="414"/>
      <c r="Q2457" s="419">
        <f>ROUND(+N2457+O2457+P2457,4)</f>
        <v>0</v>
      </c>
      <c r="R2457" s="419">
        <f>ROUND(IF(+Q2457-H2457&lt;=0,0,Q2457-H2457),4)</f>
        <v>0</v>
      </c>
      <c r="S2457" s="423">
        <v>0.5</v>
      </c>
      <c r="T2457" s="419">
        <f>ROUND(+(R2457*C2457)*S2457,4)</f>
        <v>0</v>
      </c>
      <c r="U2457" s="419">
        <f>ROUND(+J2457+M2457+T2457,4)</f>
        <v>0</v>
      </c>
      <c r="V2457" s="235"/>
    </row>
    <row r="2458" spans="1:22" ht="15.75" x14ac:dyDescent="0.25">
      <c r="A2458" s="231"/>
      <c r="B2458" s="232"/>
      <c r="C2458" s="400"/>
      <c r="D2458" s="233"/>
      <c r="E2458" s="405"/>
      <c r="F2458" s="405"/>
      <c r="G2458" s="405"/>
      <c r="H2458" s="408">
        <f>ROUND(+E2458+F2458+G2458,4)</f>
        <v>0</v>
      </c>
      <c r="I2458" s="234"/>
      <c r="J2458" s="411"/>
      <c r="K2458" s="411"/>
      <c r="L2458" s="414">
        <v>0.1</v>
      </c>
      <c r="M2458" s="414">
        <f>ROUND(+L2458*C2458,4)</f>
        <v>0</v>
      </c>
      <c r="N2458" s="414"/>
      <c r="O2458" s="414"/>
      <c r="P2458" s="414"/>
      <c r="Q2458" s="419">
        <f>ROUND(+N2458+O2458+P2458,4)</f>
        <v>0</v>
      </c>
      <c r="R2458" s="419">
        <f>ROUND(IF(+Q2458-H2458&lt;=0,0,Q2458-H2458),4)</f>
        <v>0</v>
      </c>
      <c r="S2458" s="423">
        <v>0.5</v>
      </c>
      <c r="T2458" s="419">
        <f>ROUND(+(R2458*C2458)*S2458,4)</f>
        <v>0</v>
      </c>
      <c r="U2458" s="419">
        <f>ROUND(+J2458+M2458+T2458,4)</f>
        <v>0</v>
      </c>
      <c r="V2458" s="235"/>
    </row>
    <row r="2459" spans="1:22" ht="15.75" x14ac:dyDescent="0.25">
      <c r="A2459" s="231"/>
      <c r="B2459" s="232"/>
      <c r="C2459" s="400"/>
      <c r="D2459" s="233"/>
      <c r="E2459" s="405"/>
      <c r="F2459" s="405"/>
      <c r="G2459" s="405"/>
      <c r="H2459" s="408">
        <f>ROUND(+E2459+F2459+G2459,4)</f>
        <v>0</v>
      </c>
      <c r="I2459" s="234"/>
      <c r="J2459" s="411"/>
      <c r="K2459" s="411"/>
      <c r="L2459" s="414">
        <v>0.1</v>
      </c>
      <c r="M2459" s="414">
        <f>ROUND(+L2459*C2459,4)</f>
        <v>0</v>
      </c>
      <c r="N2459" s="414"/>
      <c r="O2459" s="414"/>
      <c r="P2459" s="414"/>
      <c r="Q2459" s="419">
        <f>ROUND(+N2459+O2459+P2459,4)</f>
        <v>0</v>
      </c>
      <c r="R2459" s="419">
        <f>ROUND(IF(+Q2459-H2459&lt;=0,0,Q2459-H2459),4)</f>
        <v>0</v>
      </c>
      <c r="S2459" s="423">
        <v>0.5</v>
      </c>
      <c r="T2459" s="419">
        <f>ROUND(+(R2459*C2459)*S2459,4)</f>
        <v>0</v>
      </c>
      <c r="U2459" s="419">
        <f>ROUND(+J2459+M2459+T2459,4)</f>
        <v>0</v>
      </c>
      <c r="V2459" s="235"/>
    </row>
    <row r="2460" spans="1:22" ht="15.75" x14ac:dyDescent="0.25">
      <c r="A2460" s="231"/>
      <c r="B2460" s="232"/>
      <c r="C2460" s="400"/>
      <c r="D2460" s="233"/>
      <c r="E2460" s="405"/>
      <c r="F2460" s="405"/>
      <c r="G2460" s="405"/>
      <c r="H2460" s="408">
        <f>ROUND(+E2460+F2460+G2460,4)</f>
        <v>0</v>
      </c>
      <c r="I2460" s="234"/>
      <c r="J2460" s="411"/>
      <c r="K2460" s="411"/>
      <c r="L2460" s="414">
        <v>0.1</v>
      </c>
      <c r="M2460" s="414">
        <f>ROUND(+L2460*C2460,4)</f>
        <v>0</v>
      </c>
      <c r="N2460" s="414"/>
      <c r="O2460" s="414"/>
      <c r="P2460" s="414"/>
      <c r="Q2460" s="419">
        <f>ROUND(+N2460+O2460+P2460,4)</f>
        <v>0</v>
      </c>
      <c r="R2460" s="419">
        <f>ROUND(IF(+Q2460-H2460&lt;=0,0,Q2460-H2460),4)</f>
        <v>0</v>
      </c>
      <c r="S2460" s="423">
        <v>0.5</v>
      </c>
      <c r="T2460" s="419">
        <f>ROUND(+(R2460*C2460)*S2460,4)</f>
        <v>0</v>
      </c>
      <c r="U2460" s="419">
        <f>ROUND(+J2460+M2460+T2460,4)</f>
        <v>0</v>
      </c>
      <c r="V2460" s="235"/>
    </row>
    <row r="2461" spans="1:22" ht="15.75" x14ac:dyDescent="0.25">
      <c r="A2461" s="231"/>
      <c r="B2461" s="232"/>
      <c r="C2461" s="400"/>
      <c r="D2461" s="233"/>
      <c r="E2461" s="405"/>
      <c r="F2461" s="405"/>
      <c r="G2461" s="405"/>
      <c r="H2461" s="408">
        <f>ROUND(+E2461+F2461+G2461,4)</f>
        <v>0</v>
      </c>
      <c r="I2461" s="234"/>
      <c r="J2461" s="411"/>
      <c r="K2461" s="411"/>
      <c r="L2461" s="414">
        <v>0.1</v>
      </c>
      <c r="M2461" s="414">
        <f>ROUND(+L2461*C2461,4)</f>
        <v>0</v>
      </c>
      <c r="N2461" s="414"/>
      <c r="O2461" s="414"/>
      <c r="P2461" s="414"/>
      <c r="Q2461" s="419">
        <f>ROUND(+N2461+O2461+P2461,4)</f>
        <v>0</v>
      </c>
      <c r="R2461" s="419">
        <f>ROUND(IF(+Q2461-H2461&lt;=0,0,Q2461-H2461),4)</f>
        <v>0</v>
      </c>
      <c r="S2461" s="423">
        <v>0.5</v>
      </c>
      <c r="T2461" s="419">
        <f>ROUND(+(R2461*C2461)*S2461,4)</f>
        <v>0</v>
      </c>
      <c r="U2461" s="419">
        <f>ROUND(+J2461+M2461+T2461,4)</f>
        <v>0</v>
      </c>
      <c r="V2461" s="235"/>
    </row>
    <row r="2462" spans="1:22" ht="15.75" x14ac:dyDescent="0.25">
      <c r="A2462" s="231"/>
      <c r="B2462" s="232"/>
      <c r="C2462" s="400"/>
      <c r="D2462" s="233"/>
      <c r="E2462" s="405"/>
      <c r="F2462" s="405"/>
      <c r="G2462" s="405"/>
      <c r="H2462" s="408">
        <f>ROUND(+E2462+F2462+G2462,4)</f>
        <v>0</v>
      </c>
      <c r="I2462" s="234"/>
      <c r="J2462" s="411"/>
      <c r="K2462" s="411"/>
      <c r="L2462" s="414">
        <v>0.1</v>
      </c>
      <c r="M2462" s="414">
        <f>ROUND(+L2462*C2462,4)</f>
        <v>0</v>
      </c>
      <c r="N2462" s="414"/>
      <c r="O2462" s="414"/>
      <c r="P2462" s="414"/>
      <c r="Q2462" s="419">
        <f>ROUND(+N2462+O2462+P2462,4)</f>
        <v>0</v>
      </c>
      <c r="R2462" s="419">
        <f>ROUND(IF(+Q2462-H2462&lt;=0,0,Q2462-H2462),4)</f>
        <v>0</v>
      </c>
      <c r="S2462" s="423">
        <v>0.5</v>
      </c>
      <c r="T2462" s="419">
        <f>ROUND(+(R2462*C2462)*S2462,4)</f>
        <v>0</v>
      </c>
      <c r="U2462" s="419">
        <f>ROUND(+J2462+M2462+T2462,4)</f>
        <v>0</v>
      </c>
      <c r="V2462" s="235"/>
    </row>
    <row r="2463" spans="1:22" ht="15.75" x14ac:dyDescent="0.25">
      <c r="A2463" s="231"/>
      <c r="B2463" s="232"/>
      <c r="C2463" s="400"/>
      <c r="D2463" s="233"/>
      <c r="E2463" s="405"/>
      <c r="F2463" s="405"/>
      <c r="G2463" s="405"/>
      <c r="H2463" s="408">
        <f>ROUND(+E2463+F2463+G2463,4)</f>
        <v>0</v>
      </c>
      <c r="I2463" s="234"/>
      <c r="J2463" s="411"/>
      <c r="K2463" s="411"/>
      <c r="L2463" s="414">
        <v>0.1</v>
      </c>
      <c r="M2463" s="414">
        <f>ROUND(+L2463*C2463,4)</f>
        <v>0</v>
      </c>
      <c r="N2463" s="414"/>
      <c r="O2463" s="414"/>
      <c r="P2463" s="414"/>
      <c r="Q2463" s="419">
        <f>ROUND(+N2463+O2463+P2463,4)</f>
        <v>0</v>
      </c>
      <c r="R2463" s="419">
        <f>ROUND(IF(+Q2463-H2463&lt;=0,0,Q2463-H2463),4)</f>
        <v>0</v>
      </c>
      <c r="S2463" s="423">
        <v>0.5</v>
      </c>
      <c r="T2463" s="419">
        <f>ROUND(+(R2463*C2463)*S2463,4)</f>
        <v>0</v>
      </c>
      <c r="U2463" s="419">
        <f>ROUND(+J2463+M2463+T2463,4)</f>
        <v>0</v>
      </c>
      <c r="V2463" s="235"/>
    </row>
    <row r="2464" spans="1:22" ht="15.75" x14ac:dyDescent="0.25">
      <c r="A2464" s="231"/>
      <c r="B2464" s="232"/>
      <c r="C2464" s="400"/>
      <c r="D2464" s="233"/>
      <c r="E2464" s="405"/>
      <c r="F2464" s="405"/>
      <c r="G2464" s="405"/>
      <c r="H2464" s="408">
        <f>ROUND(+E2464+F2464+G2464,4)</f>
        <v>0</v>
      </c>
      <c r="I2464" s="234"/>
      <c r="J2464" s="411"/>
      <c r="K2464" s="411"/>
      <c r="L2464" s="414">
        <v>0.1</v>
      </c>
      <c r="M2464" s="414">
        <f>ROUND(+L2464*C2464,4)</f>
        <v>0</v>
      </c>
      <c r="N2464" s="414"/>
      <c r="O2464" s="414"/>
      <c r="P2464" s="414"/>
      <c r="Q2464" s="419">
        <f>ROUND(+N2464+O2464+P2464,4)</f>
        <v>0</v>
      </c>
      <c r="R2464" s="419">
        <f>ROUND(IF(+Q2464-H2464&lt;=0,0,Q2464-H2464),4)</f>
        <v>0</v>
      </c>
      <c r="S2464" s="423">
        <v>0.5</v>
      </c>
      <c r="T2464" s="419">
        <f>ROUND(+(R2464*C2464)*S2464,4)</f>
        <v>0</v>
      </c>
      <c r="U2464" s="419">
        <f>ROUND(+J2464+M2464+T2464,4)</f>
        <v>0</v>
      </c>
      <c r="V2464" s="235"/>
    </row>
    <row r="2465" spans="1:22" ht="15.75" x14ac:dyDescent="0.25">
      <c r="A2465" s="231"/>
      <c r="B2465" s="232"/>
      <c r="C2465" s="400"/>
      <c r="D2465" s="233"/>
      <c r="E2465" s="405"/>
      <c r="F2465" s="405"/>
      <c r="G2465" s="405"/>
      <c r="H2465" s="408">
        <f>ROUND(+E2465+F2465+G2465,4)</f>
        <v>0</v>
      </c>
      <c r="I2465" s="234"/>
      <c r="J2465" s="411"/>
      <c r="K2465" s="411"/>
      <c r="L2465" s="414">
        <v>0.1</v>
      </c>
      <c r="M2465" s="414">
        <f>ROUND(+L2465*C2465,4)</f>
        <v>0</v>
      </c>
      <c r="N2465" s="414"/>
      <c r="O2465" s="414"/>
      <c r="P2465" s="414"/>
      <c r="Q2465" s="419">
        <f>ROUND(+N2465+O2465+P2465,4)</f>
        <v>0</v>
      </c>
      <c r="R2465" s="419">
        <f>ROUND(IF(+Q2465-H2465&lt;=0,0,Q2465-H2465),4)</f>
        <v>0</v>
      </c>
      <c r="S2465" s="423">
        <v>0.5</v>
      </c>
      <c r="T2465" s="419">
        <f>ROUND(+(R2465*C2465)*S2465,4)</f>
        <v>0</v>
      </c>
      <c r="U2465" s="419">
        <f>ROUND(+J2465+M2465+T2465,4)</f>
        <v>0</v>
      </c>
      <c r="V2465" s="235"/>
    </row>
    <row r="2466" spans="1:22" ht="15.75" x14ac:dyDescent="0.25">
      <c r="A2466" s="231"/>
      <c r="B2466" s="232"/>
      <c r="C2466" s="400"/>
      <c r="D2466" s="233"/>
      <c r="E2466" s="405"/>
      <c r="F2466" s="405"/>
      <c r="G2466" s="405"/>
      <c r="H2466" s="408">
        <f>ROUND(+E2466+F2466+G2466,4)</f>
        <v>0</v>
      </c>
      <c r="I2466" s="234"/>
      <c r="J2466" s="411"/>
      <c r="K2466" s="411"/>
      <c r="L2466" s="414">
        <v>0.1</v>
      </c>
      <c r="M2466" s="414">
        <f>ROUND(+L2466*C2466,4)</f>
        <v>0</v>
      </c>
      <c r="N2466" s="414"/>
      <c r="O2466" s="414"/>
      <c r="P2466" s="414"/>
      <c r="Q2466" s="419">
        <f>ROUND(+N2466+O2466+P2466,4)</f>
        <v>0</v>
      </c>
      <c r="R2466" s="419">
        <f>ROUND(IF(+Q2466-H2466&lt;=0,0,Q2466-H2466),4)</f>
        <v>0</v>
      </c>
      <c r="S2466" s="423">
        <v>0.5</v>
      </c>
      <c r="T2466" s="419">
        <f>ROUND(+(R2466*C2466)*S2466,4)</f>
        <v>0</v>
      </c>
      <c r="U2466" s="419">
        <f>ROUND(+J2466+M2466+T2466,4)</f>
        <v>0</v>
      </c>
      <c r="V2466" s="235"/>
    </row>
    <row r="2467" spans="1:22" ht="15.75" x14ac:dyDescent="0.25">
      <c r="A2467" s="231"/>
      <c r="B2467" s="232"/>
      <c r="C2467" s="400"/>
      <c r="D2467" s="233"/>
      <c r="E2467" s="405"/>
      <c r="F2467" s="405"/>
      <c r="G2467" s="405"/>
      <c r="H2467" s="408">
        <f>ROUND(+E2467+F2467+G2467,4)</f>
        <v>0</v>
      </c>
      <c r="I2467" s="234"/>
      <c r="J2467" s="411"/>
      <c r="K2467" s="411"/>
      <c r="L2467" s="414">
        <v>0.1</v>
      </c>
      <c r="M2467" s="414">
        <f>ROUND(+L2467*C2467,4)</f>
        <v>0</v>
      </c>
      <c r="N2467" s="414"/>
      <c r="O2467" s="414"/>
      <c r="P2467" s="414"/>
      <c r="Q2467" s="419">
        <f>ROUND(+N2467+O2467+P2467,4)</f>
        <v>0</v>
      </c>
      <c r="R2467" s="419">
        <f>ROUND(IF(+Q2467-H2467&lt;=0,0,Q2467-H2467),4)</f>
        <v>0</v>
      </c>
      <c r="S2467" s="423">
        <v>0.5</v>
      </c>
      <c r="T2467" s="419">
        <f>ROUND(+(R2467*C2467)*S2467,4)</f>
        <v>0</v>
      </c>
      <c r="U2467" s="419">
        <f>ROUND(+J2467+M2467+T2467,4)</f>
        <v>0</v>
      </c>
      <c r="V2467" s="235"/>
    </row>
    <row r="2468" spans="1:22" ht="15.75" x14ac:dyDescent="0.25">
      <c r="A2468" s="231"/>
      <c r="B2468" s="232"/>
      <c r="C2468" s="400"/>
      <c r="D2468" s="233"/>
      <c r="E2468" s="405"/>
      <c r="F2468" s="405"/>
      <c r="G2468" s="405"/>
      <c r="H2468" s="408">
        <f>ROUND(+E2468+F2468+G2468,4)</f>
        <v>0</v>
      </c>
      <c r="I2468" s="234"/>
      <c r="J2468" s="411"/>
      <c r="K2468" s="411"/>
      <c r="L2468" s="414">
        <v>0.1</v>
      </c>
      <c r="M2468" s="414">
        <f>ROUND(+L2468*C2468,4)</f>
        <v>0</v>
      </c>
      <c r="N2468" s="414"/>
      <c r="O2468" s="414"/>
      <c r="P2468" s="414"/>
      <c r="Q2468" s="419">
        <f>ROUND(+N2468+O2468+P2468,4)</f>
        <v>0</v>
      </c>
      <c r="R2468" s="419">
        <f>ROUND(IF(+Q2468-H2468&lt;=0,0,Q2468-H2468),4)</f>
        <v>0</v>
      </c>
      <c r="S2468" s="423">
        <v>0.5</v>
      </c>
      <c r="T2468" s="419">
        <f>ROUND(+(R2468*C2468)*S2468,4)</f>
        <v>0</v>
      </c>
      <c r="U2468" s="419">
        <f>ROUND(+J2468+M2468+T2468,4)</f>
        <v>0</v>
      </c>
      <c r="V2468" s="235"/>
    </row>
    <row r="2469" spans="1:22" ht="15.75" x14ac:dyDescent="0.25">
      <c r="A2469" s="231"/>
      <c r="B2469" s="232"/>
      <c r="C2469" s="400"/>
      <c r="D2469" s="233"/>
      <c r="E2469" s="405"/>
      <c r="F2469" s="405"/>
      <c r="G2469" s="405"/>
      <c r="H2469" s="408">
        <f>ROUND(+E2469+F2469+G2469,4)</f>
        <v>0</v>
      </c>
      <c r="I2469" s="234"/>
      <c r="J2469" s="411"/>
      <c r="K2469" s="411"/>
      <c r="L2469" s="414">
        <v>0.1</v>
      </c>
      <c r="M2469" s="414">
        <f>ROUND(+L2469*C2469,4)</f>
        <v>0</v>
      </c>
      <c r="N2469" s="414"/>
      <c r="O2469" s="414"/>
      <c r="P2469" s="414"/>
      <c r="Q2469" s="419">
        <f>ROUND(+N2469+O2469+P2469,4)</f>
        <v>0</v>
      </c>
      <c r="R2469" s="419">
        <f>ROUND(IF(+Q2469-H2469&lt;=0,0,Q2469-H2469),4)</f>
        <v>0</v>
      </c>
      <c r="S2469" s="423">
        <v>0.5</v>
      </c>
      <c r="T2469" s="419">
        <f>ROUND(+(R2469*C2469)*S2469,4)</f>
        <v>0</v>
      </c>
      <c r="U2469" s="419">
        <f>ROUND(+J2469+M2469+T2469,4)</f>
        <v>0</v>
      </c>
      <c r="V2469" s="235"/>
    </row>
    <row r="2470" spans="1:22" ht="15.75" x14ac:dyDescent="0.25">
      <c r="A2470" s="231"/>
      <c r="B2470" s="232"/>
      <c r="C2470" s="400"/>
      <c r="D2470" s="233"/>
      <c r="E2470" s="405"/>
      <c r="F2470" s="405"/>
      <c r="G2470" s="405"/>
      <c r="H2470" s="408">
        <f>ROUND(+E2470+F2470+G2470,4)</f>
        <v>0</v>
      </c>
      <c r="I2470" s="234"/>
      <c r="J2470" s="411"/>
      <c r="K2470" s="411"/>
      <c r="L2470" s="414">
        <v>0.1</v>
      </c>
      <c r="M2470" s="414">
        <f>ROUND(+L2470*C2470,4)</f>
        <v>0</v>
      </c>
      <c r="N2470" s="414"/>
      <c r="O2470" s="414"/>
      <c r="P2470" s="414"/>
      <c r="Q2470" s="419">
        <f>ROUND(+N2470+O2470+P2470,4)</f>
        <v>0</v>
      </c>
      <c r="R2470" s="419">
        <f>ROUND(IF(+Q2470-H2470&lt;=0,0,Q2470-H2470),4)</f>
        <v>0</v>
      </c>
      <c r="S2470" s="423">
        <v>0.5</v>
      </c>
      <c r="T2470" s="419">
        <f>ROUND(+(R2470*C2470)*S2470,4)</f>
        <v>0</v>
      </c>
      <c r="U2470" s="419">
        <f>ROUND(+J2470+M2470+T2470,4)</f>
        <v>0</v>
      </c>
      <c r="V2470" s="235"/>
    </row>
    <row r="2471" spans="1:22" ht="15.75" x14ac:dyDescent="0.25">
      <c r="A2471" s="231"/>
      <c r="B2471" s="232"/>
      <c r="C2471" s="400"/>
      <c r="D2471" s="233"/>
      <c r="E2471" s="405"/>
      <c r="F2471" s="405"/>
      <c r="G2471" s="405"/>
      <c r="H2471" s="408">
        <f>ROUND(+E2471+F2471+G2471,4)</f>
        <v>0</v>
      </c>
      <c r="I2471" s="234"/>
      <c r="J2471" s="411"/>
      <c r="K2471" s="411"/>
      <c r="L2471" s="414">
        <v>0.1</v>
      </c>
      <c r="M2471" s="414">
        <f>ROUND(+L2471*C2471,4)</f>
        <v>0</v>
      </c>
      <c r="N2471" s="414"/>
      <c r="O2471" s="414"/>
      <c r="P2471" s="414"/>
      <c r="Q2471" s="419">
        <f>ROUND(+N2471+O2471+P2471,4)</f>
        <v>0</v>
      </c>
      <c r="R2471" s="419">
        <f>ROUND(IF(+Q2471-H2471&lt;=0,0,Q2471-H2471),4)</f>
        <v>0</v>
      </c>
      <c r="S2471" s="423">
        <v>0.5</v>
      </c>
      <c r="T2471" s="419">
        <f>ROUND(+(R2471*C2471)*S2471,4)</f>
        <v>0</v>
      </c>
      <c r="U2471" s="419">
        <f>ROUND(+J2471+M2471+T2471,4)</f>
        <v>0</v>
      </c>
      <c r="V2471" s="235"/>
    </row>
    <row r="2472" spans="1:22" ht="15.75" x14ac:dyDescent="0.25">
      <c r="A2472" s="231"/>
      <c r="B2472" s="232"/>
      <c r="C2472" s="400"/>
      <c r="D2472" s="233"/>
      <c r="E2472" s="405"/>
      <c r="F2472" s="405"/>
      <c r="G2472" s="405"/>
      <c r="H2472" s="408">
        <f>ROUND(+E2472+F2472+G2472,4)</f>
        <v>0</v>
      </c>
      <c r="I2472" s="234"/>
      <c r="J2472" s="411"/>
      <c r="K2472" s="411"/>
      <c r="L2472" s="414">
        <v>0.1</v>
      </c>
      <c r="M2472" s="414">
        <f>ROUND(+L2472*C2472,4)</f>
        <v>0</v>
      </c>
      <c r="N2472" s="414"/>
      <c r="O2472" s="414"/>
      <c r="P2472" s="414"/>
      <c r="Q2472" s="419">
        <f>ROUND(+N2472+O2472+P2472,4)</f>
        <v>0</v>
      </c>
      <c r="R2472" s="419">
        <f>ROUND(IF(+Q2472-H2472&lt;=0,0,Q2472-H2472),4)</f>
        <v>0</v>
      </c>
      <c r="S2472" s="423">
        <v>0.5</v>
      </c>
      <c r="T2472" s="419">
        <f>ROUND(+(R2472*C2472)*S2472,4)</f>
        <v>0</v>
      </c>
      <c r="U2472" s="419">
        <f>ROUND(+J2472+M2472+T2472,4)</f>
        <v>0</v>
      </c>
      <c r="V2472" s="235"/>
    </row>
    <row r="2473" spans="1:22" ht="15.75" x14ac:dyDescent="0.25">
      <c r="A2473" s="231"/>
      <c r="B2473" s="232"/>
      <c r="C2473" s="400"/>
      <c r="D2473" s="233"/>
      <c r="E2473" s="405"/>
      <c r="F2473" s="405"/>
      <c r="G2473" s="405"/>
      <c r="H2473" s="408">
        <f>ROUND(+E2473+F2473+G2473,4)</f>
        <v>0</v>
      </c>
      <c r="I2473" s="234"/>
      <c r="J2473" s="411"/>
      <c r="K2473" s="411"/>
      <c r="L2473" s="414">
        <v>0.1</v>
      </c>
      <c r="M2473" s="414">
        <f>ROUND(+L2473*C2473,4)</f>
        <v>0</v>
      </c>
      <c r="N2473" s="414"/>
      <c r="O2473" s="414"/>
      <c r="P2473" s="414"/>
      <c r="Q2473" s="419">
        <f>ROUND(+N2473+O2473+P2473,4)</f>
        <v>0</v>
      </c>
      <c r="R2473" s="419">
        <f>ROUND(IF(+Q2473-H2473&lt;=0,0,Q2473-H2473),4)</f>
        <v>0</v>
      </c>
      <c r="S2473" s="423">
        <v>0.5</v>
      </c>
      <c r="T2473" s="419">
        <f>ROUND(+(R2473*C2473)*S2473,4)</f>
        <v>0</v>
      </c>
      <c r="U2473" s="419">
        <f>ROUND(+J2473+M2473+T2473,4)</f>
        <v>0</v>
      </c>
      <c r="V2473" s="235"/>
    </row>
    <row r="2474" spans="1:22" ht="15.75" x14ac:dyDescent="0.25">
      <c r="A2474" s="231"/>
      <c r="B2474" s="232"/>
      <c r="C2474" s="400"/>
      <c r="D2474" s="233"/>
      <c r="E2474" s="405"/>
      <c r="F2474" s="405"/>
      <c r="G2474" s="405"/>
      <c r="H2474" s="408">
        <f>ROUND(+E2474+F2474+G2474,4)</f>
        <v>0</v>
      </c>
      <c r="I2474" s="234"/>
      <c r="J2474" s="411"/>
      <c r="K2474" s="411"/>
      <c r="L2474" s="414">
        <v>0.1</v>
      </c>
      <c r="M2474" s="414">
        <f>ROUND(+L2474*C2474,4)</f>
        <v>0</v>
      </c>
      <c r="N2474" s="414"/>
      <c r="O2474" s="414"/>
      <c r="P2474" s="414"/>
      <c r="Q2474" s="419">
        <f>ROUND(+N2474+O2474+P2474,4)</f>
        <v>0</v>
      </c>
      <c r="R2474" s="419">
        <f>ROUND(IF(+Q2474-H2474&lt;=0,0,Q2474-H2474),4)</f>
        <v>0</v>
      </c>
      <c r="S2474" s="423">
        <v>0.5</v>
      </c>
      <c r="T2474" s="419">
        <f>ROUND(+(R2474*C2474)*S2474,4)</f>
        <v>0</v>
      </c>
      <c r="U2474" s="419">
        <f>ROUND(+J2474+M2474+T2474,4)</f>
        <v>0</v>
      </c>
      <c r="V2474" s="235"/>
    </row>
    <row r="2475" spans="1:22" ht="15.75" x14ac:dyDescent="0.25">
      <c r="A2475" s="231"/>
      <c r="B2475" s="232"/>
      <c r="C2475" s="400"/>
      <c r="D2475" s="233"/>
      <c r="E2475" s="405"/>
      <c r="F2475" s="405"/>
      <c r="G2475" s="405"/>
      <c r="H2475" s="408">
        <f>ROUND(+E2475+F2475+G2475,4)</f>
        <v>0</v>
      </c>
      <c r="I2475" s="234"/>
      <c r="J2475" s="411"/>
      <c r="K2475" s="411"/>
      <c r="L2475" s="414">
        <v>0.1</v>
      </c>
      <c r="M2475" s="414">
        <f>ROUND(+L2475*C2475,4)</f>
        <v>0</v>
      </c>
      <c r="N2475" s="414"/>
      <c r="O2475" s="414"/>
      <c r="P2475" s="414"/>
      <c r="Q2475" s="419">
        <f>ROUND(+N2475+O2475+P2475,4)</f>
        <v>0</v>
      </c>
      <c r="R2475" s="419">
        <f>ROUND(IF(+Q2475-H2475&lt;=0,0,Q2475-H2475),4)</f>
        <v>0</v>
      </c>
      <c r="S2475" s="423">
        <v>0.5</v>
      </c>
      <c r="T2475" s="419">
        <f>ROUND(+(R2475*C2475)*S2475,4)</f>
        <v>0</v>
      </c>
      <c r="U2475" s="419">
        <f>ROUND(+J2475+M2475+T2475,4)</f>
        <v>0</v>
      </c>
      <c r="V2475" s="235"/>
    </row>
    <row r="2476" spans="1:22" ht="15.75" x14ac:dyDescent="0.25">
      <c r="A2476" s="231"/>
      <c r="B2476" s="232"/>
      <c r="C2476" s="400"/>
      <c r="D2476" s="233"/>
      <c r="E2476" s="405"/>
      <c r="F2476" s="405"/>
      <c r="G2476" s="405"/>
      <c r="H2476" s="408">
        <f>ROUND(+E2476+F2476+G2476,4)</f>
        <v>0</v>
      </c>
      <c r="I2476" s="234"/>
      <c r="J2476" s="411"/>
      <c r="K2476" s="411"/>
      <c r="L2476" s="414">
        <v>0.1</v>
      </c>
      <c r="M2476" s="414">
        <f>ROUND(+L2476*C2476,4)</f>
        <v>0</v>
      </c>
      <c r="N2476" s="414"/>
      <c r="O2476" s="414"/>
      <c r="P2476" s="414"/>
      <c r="Q2476" s="419">
        <f>ROUND(+N2476+O2476+P2476,4)</f>
        <v>0</v>
      </c>
      <c r="R2476" s="419">
        <f>ROUND(IF(+Q2476-H2476&lt;=0,0,Q2476-H2476),4)</f>
        <v>0</v>
      </c>
      <c r="S2476" s="423">
        <v>0.5</v>
      </c>
      <c r="T2476" s="419">
        <f>ROUND(+(R2476*C2476)*S2476,4)</f>
        <v>0</v>
      </c>
      <c r="U2476" s="419">
        <f>ROUND(+J2476+M2476+T2476,4)</f>
        <v>0</v>
      </c>
      <c r="V2476" s="235"/>
    </row>
    <row r="2477" spans="1:22" ht="15.75" x14ac:dyDescent="0.25">
      <c r="A2477" s="231"/>
      <c r="B2477" s="232"/>
      <c r="C2477" s="400"/>
      <c r="D2477" s="233"/>
      <c r="E2477" s="405"/>
      <c r="F2477" s="405"/>
      <c r="G2477" s="405"/>
      <c r="H2477" s="408">
        <f>ROUND(+E2477+F2477+G2477,4)</f>
        <v>0</v>
      </c>
      <c r="I2477" s="234"/>
      <c r="J2477" s="411"/>
      <c r="K2477" s="411"/>
      <c r="L2477" s="414">
        <v>0.1</v>
      </c>
      <c r="M2477" s="414">
        <f>ROUND(+L2477*C2477,4)</f>
        <v>0</v>
      </c>
      <c r="N2477" s="414"/>
      <c r="O2477" s="414"/>
      <c r="P2477" s="414"/>
      <c r="Q2477" s="419">
        <f>ROUND(+N2477+O2477+P2477,4)</f>
        <v>0</v>
      </c>
      <c r="R2477" s="419">
        <f>ROUND(IF(+Q2477-H2477&lt;=0,0,Q2477-H2477),4)</f>
        <v>0</v>
      </c>
      <c r="S2477" s="423">
        <v>0.5</v>
      </c>
      <c r="T2477" s="419">
        <f>ROUND(+(R2477*C2477)*S2477,4)</f>
        <v>0</v>
      </c>
      <c r="U2477" s="419">
        <f>ROUND(+J2477+M2477+T2477,4)</f>
        <v>0</v>
      </c>
      <c r="V2477" s="235"/>
    </row>
    <row r="2478" spans="1:22" ht="15.75" x14ac:dyDescent="0.25">
      <c r="A2478" s="231"/>
      <c r="B2478" s="232"/>
      <c r="C2478" s="400"/>
      <c r="D2478" s="233"/>
      <c r="E2478" s="405"/>
      <c r="F2478" s="405"/>
      <c r="G2478" s="405"/>
      <c r="H2478" s="408">
        <f>ROUND(+E2478+F2478+G2478,4)</f>
        <v>0</v>
      </c>
      <c r="I2478" s="234"/>
      <c r="J2478" s="411"/>
      <c r="K2478" s="411"/>
      <c r="L2478" s="414">
        <v>0.1</v>
      </c>
      <c r="M2478" s="414">
        <f>ROUND(+L2478*C2478,4)</f>
        <v>0</v>
      </c>
      <c r="N2478" s="414"/>
      <c r="O2478" s="414"/>
      <c r="P2478" s="414"/>
      <c r="Q2478" s="419">
        <f>ROUND(+N2478+O2478+P2478,4)</f>
        <v>0</v>
      </c>
      <c r="R2478" s="419">
        <f>ROUND(IF(+Q2478-H2478&lt;=0,0,Q2478-H2478),4)</f>
        <v>0</v>
      </c>
      <c r="S2478" s="423">
        <v>0.5</v>
      </c>
      <c r="T2478" s="419">
        <f>ROUND(+(R2478*C2478)*S2478,4)</f>
        <v>0</v>
      </c>
      <c r="U2478" s="419">
        <f>ROUND(+J2478+M2478+T2478,4)</f>
        <v>0</v>
      </c>
      <c r="V2478" s="235"/>
    </row>
    <row r="2479" spans="1:22" ht="15.75" x14ac:dyDescent="0.25">
      <c r="A2479" s="231"/>
      <c r="B2479" s="232"/>
      <c r="C2479" s="400"/>
      <c r="D2479" s="233"/>
      <c r="E2479" s="405"/>
      <c r="F2479" s="405"/>
      <c r="G2479" s="405"/>
      <c r="H2479" s="408">
        <f>ROUND(+E2479+F2479+G2479,4)</f>
        <v>0</v>
      </c>
      <c r="I2479" s="234"/>
      <c r="J2479" s="411"/>
      <c r="K2479" s="411"/>
      <c r="L2479" s="414">
        <v>0.1</v>
      </c>
      <c r="M2479" s="414">
        <f>ROUND(+L2479*C2479,4)</f>
        <v>0</v>
      </c>
      <c r="N2479" s="414"/>
      <c r="O2479" s="414"/>
      <c r="P2479" s="414"/>
      <c r="Q2479" s="419">
        <f>ROUND(+N2479+O2479+P2479,4)</f>
        <v>0</v>
      </c>
      <c r="R2479" s="419">
        <f>ROUND(IF(+Q2479-H2479&lt;=0,0,Q2479-H2479),4)</f>
        <v>0</v>
      </c>
      <c r="S2479" s="423">
        <v>0.5</v>
      </c>
      <c r="T2479" s="419">
        <f>ROUND(+(R2479*C2479)*S2479,4)</f>
        <v>0</v>
      </c>
      <c r="U2479" s="419">
        <f>ROUND(+J2479+M2479+T2479,4)</f>
        <v>0</v>
      </c>
      <c r="V2479" s="235"/>
    </row>
    <row r="2480" spans="1:22" ht="15.75" x14ac:dyDescent="0.25">
      <c r="A2480" s="231"/>
      <c r="B2480" s="232"/>
      <c r="C2480" s="400"/>
      <c r="D2480" s="233"/>
      <c r="E2480" s="405"/>
      <c r="F2480" s="405"/>
      <c r="G2480" s="405"/>
      <c r="H2480" s="408">
        <f>ROUND(+E2480+F2480+G2480,4)</f>
        <v>0</v>
      </c>
      <c r="I2480" s="234"/>
      <c r="J2480" s="411"/>
      <c r="K2480" s="411"/>
      <c r="L2480" s="414">
        <v>0.1</v>
      </c>
      <c r="M2480" s="414">
        <f>ROUND(+L2480*C2480,4)</f>
        <v>0</v>
      </c>
      <c r="N2480" s="414"/>
      <c r="O2480" s="414"/>
      <c r="P2480" s="414"/>
      <c r="Q2480" s="419">
        <f>ROUND(+N2480+O2480+P2480,4)</f>
        <v>0</v>
      </c>
      <c r="R2480" s="419">
        <f>ROUND(IF(+Q2480-H2480&lt;=0,0,Q2480-H2480),4)</f>
        <v>0</v>
      </c>
      <c r="S2480" s="423">
        <v>0.5</v>
      </c>
      <c r="T2480" s="419">
        <f>ROUND(+(R2480*C2480)*S2480,4)</f>
        <v>0</v>
      </c>
      <c r="U2480" s="419">
        <f>ROUND(+J2480+M2480+T2480,4)</f>
        <v>0</v>
      </c>
      <c r="V2480" s="235"/>
    </row>
    <row r="2481" spans="1:22" ht="15.75" x14ac:dyDescent="0.25">
      <c r="A2481" s="231"/>
      <c r="B2481" s="232"/>
      <c r="C2481" s="400"/>
      <c r="D2481" s="233"/>
      <c r="E2481" s="405"/>
      <c r="F2481" s="405"/>
      <c r="G2481" s="405"/>
      <c r="H2481" s="408">
        <f>ROUND(+E2481+F2481+G2481,4)</f>
        <v>0</v>
      </c>
      <c r="I2481" s="234"/>
      <c r="J2481" s="411"/>
      <c r="K2481" s="411"/>
      <c r="L2481" s="414">
        <v>0.1</v>
      </c>
      <c r="M2481" s="414">
        <f>ROUND(+L2481*C2481,4)</f>
        <v>0</v>
      </c>
      <c r="N2481" s="414"/>
      <c r="O2481" s="414"/>
      <c r="P2481" s="414"/>
      <c r="Q2481" s="419">
        <f>ROUND(+N2481+O2481+P2481,4)</f>
        <v>0</v>
      </c>
      <c r="R2481" s="419">
        <f>ROUND(IF(+Q2481-H2481&lt;=0,0,Q2481-H2481),4)</f>
        <v>0</v>
      </c>
      <c r="S2481" s="423">
        <v>0.5</v>
      </c>
      <c r="T2481" s="419">
        <f>ROUND(+(R2481*C2481)*S2481,4)</f>
        <v>0</v>
      </c>
      <c r="U2481" s="419">
        <f>ROUND(+J2481+M2481+T2481,4)</f>
        <v>0</v>
      </c>
      <c r="V2481" s="235"/>
    </row>
    <row r="2482" spans="1:22" ht="15.75" x14ac:dyDescent="0.25">
      <c r="A2482" s="231"/>
      <c r="B2482" s="232"/>
      <c r="C2482" s="400"/>
      <c r="D2482" s="233"/>
      <c r="E2482" s="405"/>
      <c r="F2482" s="405"/>
      <c r="G2482" s="405"/>
      <c r="H2482" s="408">
        <f>ROUND(+E2482+F2482+G2482,4)</f>
        <v>0</v>
      </c>
      <c r="I2482" s="234"/>
      <c r="J2482" s="411"/>
      <c r="K2482" s="411"/>
      <c r="L2482" s="414">
        <v>0.1</v>
      </c>
      <c r="M2482" s="414">
        <f>ROUND(+L2482*C2482,4)</f>
        <v>0</v>
      </c>
      <c r="N2482" s="414"/>
      <c r="O2482" s="414"/>
      <c r="P2482" s="414"/>
      <c r="Q2482" s="419">
        <f>ROUND(+N2482+O2482+P2482,4)</f>
        <v>0</v>
      </c>
      <c r="R2482" s="419">
        <f>ROUND(IF(+Q2482-H2482&lt;=0,0,Q2482-H2482),4)</f>
        <v>0</v>
      </c>
      <c r="S2482" s="423">
        <v>0.5</v>
      </c>
      <c r="T2482" s="419">
        <f>ROUND(+(R2482*C2482)*S2482,4)</f>
        <v>0</v>
      </c>
      <c r="U2482" s="419">
        <f>ROUND(+J2482+M2482+T2482,4)</f>
        <v>0</v>
      </c>
      <c r="V2482" s="235"/>
    </row>
    <row r="2483" spans="1:22" ht="15.75" x14ac:dyDescent="0.25">
      <c r="A2483" s="231"/>
      <c r="B2483" s="232"/>
      <c r="C2483" s="400"/>
      <c r="D2483" s="233"/>
      <c r="E2483" s="405"/>
      <c r="F2483" s="405"/>
      <c r="G2483" s="405"/>
      <c r="H2483" s="408">
        <f>ROUND(+E2483+F2483+G2483,4)</f>
        <v>0</v>
      </c>
      <c r="I2483" s="234"/>
      <c r="J2483" s="411"/>
      <c r="K2483" s="411"/>
      <c r="L2483" s="414">
        <v>0.1</v>
      </c>
      <c r="M2483" s="414">
        <f>ROUND(+L2483*C2483,4)</f>
        <v>0</v>
      </c>
      <c r="N2483" s="414"/>
      <c r="O2483" s="414"/>
      <c r="P2483" s="414"/>
      <c r="Q2483" s="419">
        <f>ROUND(+N2483+O2483+P2483,4)</f>
        <v>0</v>
      </c>
      <c r="R2483" s="419">
        <f>ROUND(IF(+Q2483-H2483&lt;=0,0,Q2483-H2483),4)</f>
        <v>0</v>
      </c>
      <c r="S2483" s="423">
        <v>0.5</v>
      </c>
      <c r="T2483" s="419">
        <f>ROUND(+(R2483*C2483)*S2483,4)</f>
        <v>0</v>
      </c>
      <c r="U2483" s="419">
        <f>ROUND(+J2483+M2483+T2483,4)</f>
        <v>0</v>
      </c>
      <c r="V2483" s="235"/>
    </row>
    <row r="2484" spans="1:22" ht="15.75" x14ac:dyDescent="0.25">
      <c r="A2484" s="231"/>
      <c r="B2484" s="232"/>
      <c r="C2484" s="400"/>
      <c r="D2484" s="233"/>
      <c r="E2484" s="405"/>
      <c r="F2484" s="405"/>
      <c r="G2484" s="405"/>
      <c r="H2484" s="408">
        <f>ROUND(+E2484+F2484+G2484,4)</f>
        <v>0</v>
      </c>
      <c r="I2484" s="234"/>
      <c r="J2484" s="411"/>
      <c r="K2484" s="411"/>
      <c r="L2484" s="414">
        <v>0.1</v>
      </c>
      <c r="M2484" s="414">
        <f>ROUND(+L2484*C2484,4)</f>
        <v>0</v>
      </c>
      <c r="N2484" s="414"/>
      <c r="O2484" s="414"/>
      <c r="P2484" s="414"/>
      <c r="Q2484" s="419">
        <f>ROUND(+N2484+O2484+P2484,4)</f>
        <v>0</v>
      </c>
      <c r="R2484" s="419">
        <f>ROUND(IF(+Q2484-H2484&lt;=0,0,Q2484-H2484),4)</f>
        <v>0</v>
      </c>
      <c r="S2484" s="423">
        <v>0.5</v>
      </c>
      <c r="T2484" s="419">
        <f>ROUND(+(R2484*C2484)*S2484,4)</f>
        <v>0</v>
      </c>
      <c r="U2484" s="419">
        <f>ROUND(+J2484+M2484+T2484,4)</f>
        <v>0</v>
      </c>
      <c r="V2484" s="235"/>
    </row>
    <row r="2485" spans="1:22" ht="15.75" x14ac:dyDescent="0.25">
      <c r="A2485" s="231"/>
      <c r="B2485" s="232"/>
      <c r="C2485" s="400"/>
      <c r="D2485" s="233"/>
      <c r="E2485" s="405"/>
      <c r="F2485" s="405"/>
      <c r="G2485" s="405"/>
      <c r="H2485" s="408">
        <f>ROUND(+E2485+F2485+G2485,4)</f>
        <v>0</v>
      </c>
      <c r="I2485" s="234"/>
      <c r="J2485" s="411"/>
      <c r="K2485" s="411"/>
      <c r="L2485" s="414">
        <v>0.1</v>
      </c>
      <c r="M2485" s="414">
        <f>ROUND(+L2485*C2485,4)</f>
        <v>0</v>
      </c>
      <c r="N2485" s="414"/>
      <c r="O2485" s="414"/>
      <c r="P2485" s="414"/>
      <c r="Q2485" s="419">
        <f>ROUND(+N2485+O2485+P2485,4)</f>
        <v>0</v>
      </c>
      <c r="R2485" s="419">
        <f>ROUND(IF(+Q2485-H2485&lt;=0,0,Q2485-H2485),4)</f>
        <v>0</v>
      </c>
      <c r="S2485" s="423">
        <v>0.5</v>
      </c>
      <c r="T2485" s="419">
        <f>ROUND(+(R2485*C2485)*S2485,4)</f>
        <v>0</v>
      </c>
      <c r="U2485" s="419">
        <f>ROUND(+J2485+M2485+T2485,4)</f>
        <v>0</v>
      </c>
      <c r="V2485" s="235"/>
    </row>
    <row r="2486" spans="1:22" ht="15.75" x14ac:dyDescent="0.25">
      <c r="A2486" s="231"/>
      <c r="B2486" s="232"/>
      <c r="C2486" s="400"/>
      <c r="D2486" s="233"/>
      <c r="E2486" s="405"/>
      <c r="F2486" s="405"/>
      <c r="G2486" s="405"/>
      <c r="H2486" s="408">
        <f>ROUND(+E2486+F2486+G2486,4)</f>
        <v>0</v>
      </c>
      <c r="I2486" s="234"/>
      <c r="J2486" s="411"/>
      <c r="K2486" s="411"/>
      <c r="L2486" s="414">
        <v>0.1</v>
      </c>
      <c r="M2486" s="414">
        <f>ROUND(+L2486*C2486,4)</f>
        <v>0</v>
      </c>
      <c r="N2486" s="414"/>
      <c r="O2486" s="414"/>
      <c r="P2486" s="414"/>
      <c r="Q2486" s="419">
        <f>ROUND(+N2486+O2486+P2486,4)</f>
        <v>0</v>
      </c>
      <c r="R2486" s="419">
        <f>ROUND(IF(+Q2486-H2486&lt;=0,0,Q2486-H2486),4)</f>
        <v>0</v>
      </c>
      <c r="S2486" s="423">
        <v>0.5</v>
      </c>
      <c r="T2486" s="419">
        <f>ROUND(+(R2486*C2486)*S2486,4)</f>
        <v>0</v>
      </c>
      <c r="U2486" s="419">
        <f>ROUND(+J2486+M2486+T2486,4)</f>
        <v>0</v>
      </c>
      <c r="V2486" s="235"/>
    </row>
    <row r="2487" spans="1:22" ht="15.75" x14ac:dyDescent="0.25">
      <c r="A2487" s="231"/>
      <c r="B2487" s="232"/>
      <c r="C2487" s="400"/>
      <c r="D2487" s="233"/>
      <c r="E2487" s="405"/>
      <c r="F2487" s="405"/>
      <c r="G2487" s="405"/>
      <c r="H2487" s="408">
        <f>ROUND(+E2487+F2487+G2487,4)</f>
        <v>0</v>
      </c>
      <c r="I2487" s="234"/>
      <c r="J2487" s="411"/>
      <c r="K2487" s="411"/>
      <c r="L2487" s="414">
        <v>0.1</v>
      </c>
      <c r="M2487" s="414">
        <f>ROUND(+L2487*C2487,4)</f>
        <v>0</v>
      </c>
      <c r="N2487" s="414"/>
      <c r="O2487" s="414"/>
      <c r="P2487" s="414"/>
      <c r="Q2487" s="419">
        <f>ROUND(+N2487+O2487+P2487,4)</f>
        <v>0</v>
      </c>
      <c r="R2487" s="419">
        <f>ROUND(IF(+Q2487-H2487&lt;=0,0,Q2487-H2487),4)</f>
        <v>0</v>
      </c>
      <c r="S2487" s="423">
        <v>0.5</v>
      </c>
      <c r="T2487" s="419">
        <f>ROUND(+(R2487*C2487)*S2487,4)</f>
        <v>0</v>
      </c>
      <c r="U2487" s="419">
        <f>ROUND(+J2487+M2487+T2487,4)</f>
        <v>0</v>
      </c>
      <c r="V2487" s="235"/>
    </row>
    <row r="2488" spans="1:22" ht="15.75" x14ac:dyDescent="0.25">
      <c r="A2488" s="231"/>
      <c r="B2488" s="232"/>
      <c r="C2488" s="400"/>
      <c r="D2488" s="233"/>
      <c r="E2488" s="405"/>
      <c r="F2488" s="405"/>
      <c r="G2488" s="405"/>
      <c r="H2488" s="408">
        <f>ROUND(+E2488+F2488+G2488,4)</f>
        <v>0</v>
      </c>
      <c r="I2488" s="234"/>
      <c r="J2488" s="411"/>
      <c r="K2488" s="411"/>
      <c r="L2488" s="414">
        <v>0.1</v>
      </c>
      <c r="M2488" s="414">
        <f>ROUND(+L2488*C2488,4)</f>
        <v>0</v>
      </c>
      <c r="N2488" s="414"/>
      <c r="O2488" s="414"/>
      <c r="P2488" s="414"/>
      <c r="Q2488" s="419">
        <f>ROUND(+N2488+O2488+P2488,4)</f>
        <v>0</v>
      </c>
      <c r="R2488" s="419">
        <f>ROUND(IF(+Q2488-H2488&lt;=0,0,Q2488-H2488),4)</f>
        <v>0</v>
      </c>
      <c r="S2488" s="423">
        <v>0.5</v>
      </c>
      <c r="T2488" s="419">
        <f>ROUND(+(R2488*C2488)*S2488,4)</f>
        <v>0</v>
      </c>
      <c r="U2488" s="419">
        <f>ROUND(+J2488+M2488+T2488,4)</f>
        <v>0</v>
      </c>
      <c r="V2488" s="235"/>
    </row>
    <row r="2489" spans="1:22" ht="15.75" x14ac:dyDescent="0.25">
      <c r="A2489" s="231"/>
      <c r="B2489" s="232"/>
      <c r="C2489" s="400"/>
      <c r="D2489" s="233"/>
      <c r="E2489" s="405"/>
      <c r="F2489" s="405"/>
      <c r="G2489" s="405"/>
      <c r="H2489" s="408">
        <f>ROUND(+E2489+F2489+G2489,4)</f>
        <v>0</v>
      </c>
      <c r="I2489" s="234"/>
      <c r="J2489" s="411"/>
      <c r="K2489" s="411"/>
      <c r="L2489" s="414">
        <v>0.1</v>
      </c>
      <c r="M2489" s="414">
        <f>ROUND(+L2489*C2489,4)</f>
        <v>0</v>
      </c>
      <c r="N2489" s="414"/>
      <c r="O2489" s="414"/>
      <c r="P2489" s="414"/>
      <c r="Q2489" s="419">
        <f>ROUND(+N2489+O2489+P2489,4)</f>
        <v>0</v>
      </c>
      <c r="R2489" s="419">
        <f>ROUND(IF(+Q2489-H2489&lt;=0,0,Q2489-H2489),4)</f>
        <v>0</v>
      </c>
      <c r="S2489" s="423">
        <v>0.5</v>
      </c>
      <c r="T2489" s="419">
        <f>ROUND(+(R2489*C2489)*S2489,4)</f>
        <v>0</v>
      </c>
      <c r="U2489" s="419">
        <f>ROUND(+J2489+M2489+T2489,4)</f>
        <v>0</v>
      </c>
      <c r="V2489" s="235"/>
    </row>
    <row r="2490" spans="1:22" ht="15.75" x14ac:dyDescent="0.25">
      <c r="A2490" s="231"/>
      <c r="B2490" s="232"/>
      <c r="C2490" s="400"/>
      <c r="D2490" s="233"/>
      <c r="E2490" s="405"/>
      <c r="F2490" s="405"/>
      <c r="G2490" s="405"/>
      <c r="H2490" s="408">
        <f>ROUND(+E2490+F2490+G2490,4)</f>
        <v>0</v>
      </c>
      <c r="I2490" s="234"/>
      <c r="J2490" s="411"/>
      <c r="K2490" s="411"/>
      <c r="L2490" s="414">
        <v>0.1</v>
      </c>
      <c r="M2490" s="414">
        <f>ROUND(+L2490*C2490,4)</f>
        <v>0</v>
      </c>
      <c r="N2490" s="414"/>
      <c r="O2490" s="414"/>
      <c r="P2490" s="414"/>
      <c r="Q2490" s="419">
        <f>ROUND(+N2490+O2490+P2490,4)</f>
        <v>0</v>
      </c>
      <c r="R2490" s="419">
        <f>ROUND(IF(+Q2490-H2490&lt;=0,0,Q2490-H2490),4)</f>
        <v>0</v>
      </c>
      <c r="S2490" s="423">
        <v>0.5</v>
      </c>
      <c r="T2490" s="419">
        <f>ROUND(+(R2490*C2490)*S2490,4)</f>
        <v>0</v>
      </c>
      <c r="U2490" s="419">
        <f>ROUND(+J2490+M2490+T2490,4)</f>
        <v>0</v>
      </c>
      <c r="V2490" s="235"/>
    </row>
    <row r="2491" spans="1:22" ht="15.75" x14ac:dyDescent="0.25">
      <c r="A2491" s="231"/>
      <c r="B2491" s="232"/>
      <c r="C2491" s="400"/>
      <c r="D2491" s="233"/>
      <c r="E2491" s="405"/>
      <c r="F2491" s="405"/>
      <c r="G2491" s="405"/>
      <c r="H2491" s="408">
        <f>ROUND(+E2491+F2491+G2491,4)</f>
        <v>0</v>
      </c>
      <c r="I2491" s="234"/>
      <c r="J2491" s="411"/>
      <c r="K2491" s="411"/>
      <c r="L2491" s="414">
        <v>0.1</v>
      </c>
      <c r="M2491" s="414">
        <f>ROUND(+L2491*C2491,4)</f>
        <v>0</v>
      </c>
      <c r="N2491" s="414"/>
      <c r="O2491" s="414"/>
      <c r="P2491" s="414"/>
      <c r="Q2491" s="419">
        <f>ROUND(+N2491+O2491+P2491,4)</f>
        <v>0</v>
      </c>
      <c r="R2491" s="419">
        <f>ROUND(IF(+Q2491-H2491&lt;=0,0,Q2491-H2491),4)</f>
        <v>0</v>
      </c>
      <c r="S2491" s="423">
        <v>0.5</v>
      </c>
      <c r="T2491" s="419">
        <f>ROUND(+(R2491*C2491)*S2491,4)</f>
        <v>0</v>
      </c>
      <c r="U2491" s="419">
        <f>ROUND(+J2491+M2491+T2491,4)</f>
        <v>0</v>
      </c>
      <c r="V2491" s="235"/>
    </row>
    <row r="2492" spans="1:22" ht="15.75" x14ac:dyDescent="0.25">
      <c r="A2492" s="231"/>
      <c r="B2492" s="232"/>
      <c r="C2492" s="400"/>
      <c r="D2492" s="233"/>
      <c r="E2492" s="405"/>
      <c r="F2492" s="405"/>
      <c r="G2492" s="405"/>
      <c r="H2492" s="408">
        <f>ROUND(+E2492+F2492+G2492,4)</f>
        <v>0</v>
      </c>
      <c r="I2492" s="234"/>
      <c r="J2492" s="411"/>
      <c r="K2492" s="411"/>
      <c r="L2492" s="414">
        <v>0.1</v>
      </c>
      <c r="M2492" s="414">
        <f>ROUND(+L2492*C2492,4)</f>
        <v>0</v>
      </c>
      <c r="N2492" s="414"/>
      <c r="O2492" s="414"/>
      <c r="P2492" s="414"/>
      <c r="Q2492" s="419">
        <f>ROUND(+N2492+O2492+P2492,4)</f>
        <v>0</v>
      </c>
      <c r="R2492" s="419">
        <f>ROUND(IF(+Q2492-H2492&lt;=0,0,Q2492-H2492),4)</f>
        <v>0</v>
      </c>
      <c r="S2492" s="423">
        <v>0.5</v>
      </c>
      <c r="T2492" s="419">
        <f>ROUND(+(R2492*C2492)*S2492,4)</f>
        <v>0</v>
      </c>
      <c r="U2492" s="419">
        <f>ROUND(+J2492+M2492+T2492,4)</f>
        <v>0</v>
      </c>
      <c r="V2492" s="235"/>
    </row>
    <row r="2493" spans="1:22" ht="15.75" x14ac:dyDescent="0.25">
      <c r="A2493" s="231"/>
      <c r="B2493" s="232"/>
      <c r="C2493" s="400"/>
      <c r="D2493" s="233"/>
      <c r="E2493" s="405"/>
      <c r="F2493" s="405"/>
      <c r="G2493" s="405"/>
      <c r="H2493" s="408">
        <f>ROUND(+E2493+F2493+G2493,4)</f>
        <v>0</v>
      </c>
      <c r="I2493" s="234"/>
      <c r="J2493" s="411"/>
      <c r="K2493" s="411"/>
      <c r="L2493" s="414">
        <v>0.1</v>
      </c>
      <c r="M2493" s="414">
        <f>ROUND(+L2493*C2493,4)</f>
        <v>0</v>
      </c>
      <c r="N2493" s="414"/>
      <c r="O2493" s="414"/>
      <c r="P2493" s="414"/>
      <c r="Q2493" s="419">
        <f>ROUND(+N2493+O2493+P2493,4)</f>
        <v>0</v>
      </c>
      <c r="R2493" s="419">
        <f>ROUND(IF(+Q2493-H2493&lt;=0,0,Q2493-H2493),4)</f>
        <v>0</v>
      </c>
      <c r="S2493" s="423">
        <v>0.5</v>
      </c>
      <c r="T2493" s="419">
        <f>ROUND(+(R2493*C2493)*S2493,4)</f>
        <v>0</v>
      </c>
      <c r="U2493" s="419">
        <f>ROUND(+J2493+M2493+T2493,4)</f>
        <v>0</v>
      </c>
      <c r="V2493" s="235"/>
    </row>
    <row r="2494" spans="1:22" ht="15.75" x14ac:dyDescent="0.25">
      <c r="A2494" s="231"/>
      <c r="B2494" s="232"/>
      <c r="C2494" s="400"/>
      <c r="D2494" s="233"/>
      <c r="E2494" s="405"/>
      <c r="F2494" s="405"/>
      <c r="G2494" s="405"/>
      <c r="H2494" s="408">
        <f>ROUND(+E2494+F2494+G2494,4)</f>
        <v>0</v>
      </c>
      <c r="I2494" s="234"/>
      <c r="J2494" s="411"/>
      <c r="K2494" s="411"/>
      <c r="L2494" s="414">
        <v>0.1</v>
      </c>
      <c r="M2494" s="414">
        <f>ROUND(+L2494*C2494,4)</f>
        <v>0</v>
      </c>
      <c r="N2494" s="414"/>
      <c r="O2494" s="414"/>
      <c r="P2494" s="414"/>
      <c r="Q2494" s="419">
        <f>ROUND(+N2494+O2494+P2494,4)</f>
        <v>0</v>
      </c>
      <c r="R2494" s="419">
        <f>ROUND(IF(+Q2494-H2494&lt;=0,0,Q2494-H2494),4)</f>
        <v>0</v>
      </c>
      <c r="S2494" s="423">
        <v>0.5</v>
      </c>
      <c r="T2494" s="419">
        <f>ROUND(+(R2494*C2494)*S2494,4)</f>
        <v>0</v>
      </c>
      <c r="U2494" s="419">
        <f>ROUND(+J2494+M2494+T2494,4)</f>
        <v>0</v>
      </c>
      <c r="V2494" s="235"/>
    </row>
    <row r="2495" spans="1:22" ht="15.75" x14ac:dyDescent="0.25">
      <c r="A2495" s="231"/>
      <c r="B2495" s="232"/>
      <c r="C2495" s="400"/>
      <c r="D2495" s="233"/>
      <c r="E2495" s="405"/>
      <c r="F2495" s="405"/>
      <c r="G2495" s="405"/>
      <c r="H2495" s="408">
        <f>ROUND(+E2495+F2495+G2495,4)</f>
        <v>0</v>
      </c>
      <c r="I2495" s="234"/>
      <c r="J2495" s="411"/>
      <c r="K2495" s="411"/>
      <c r="L2495" s="414">
        <v>0.1</v>
      </c>
      <c r="M2495" s="414">
        <f>ROUND(+L2495*C2495,4)</f>
        <v>0</v>
      </c>
      <c r="N2495" s="414"/>
      <c r="O2495" s="414"/>
      <c r="P2495" s="414"/>
      <c r="Q2495" s="419">
        <f>ROUND(+N2495+O2495+P2495,4)</f>
        <v>0</v>
      </c>
      <c r="R2495" s="419">
        <f>ROUND(IF(+Q2495-H2495&lt;=0,0,Q2495-H2495),4)</f>
        <v>0</v>
      </c>
      <c r="S2495" s="423">
        <v>0.5</v>
      </c>
      <c r="T2495" s="419">
        <f>ROUND(+(R2495*C2495)*S2495,4)</f>
        <v>0</v>
      </c>
      <c r="U2495" s="419">
        <f>ROUND(+J2495+M2495+T2495,4)</f>
        <v>0</v>
      </c>
      <c r="V2495" s="235"/>
    </row>
    <row r="2496" spans="1:22" ht="15.75" x14ac:dyDescent="0.25">
      <c r="A2496" s="231"/>
      <c r="B2496" s="232"/>
      <c r="C2496" s="400"/>
      <c r="D2496" s="233"/>
      <c r="E2496" s="405"/>
      <c r="F2496" s="405"/>
      <c r="G2496" s="405"/>
      <c r="H2496" s="408">
        <f>ROUND(+E2496+F2496+G2496,4)</f>
        <v>0</v>
      </c>
      <c r="I2496" s="234"/>
      <c r="J2496" s="411"/>
      <c r="K2496" s="411"/>
      <c r="L2496" s="414">
        <v>0.1</v>
      </c>
      <c r="M2496" s="414">
        <f>ROUND(+L2496*C2496,4)</f>
        <v>0</v>
      </c>
      <c r="N2496" s="414"/>
      <c r="O2496" s="414"/>
      <c r="P2496" s="414"/>
      <c r="Q2496" s="419">
        <f>ROUND(+N2496+O2496+P2496,4)</f>
        <v>0</v>
      </c>
      <c r="R2496" s="419">
        <f>ROUND(IF(+Q2496-H2496&lt;=0,0,Q2496-H2496),4)</f>
        <v>0</v>
      </c>
      <c r="S2496" s="423">
        <v>0.5</v>
      </c>
      <c r="T2496" s="419">
        <f>ROUND(+(R2496*C2496)*S2496,4)</f>
        <v>0</v>
      </c>
      <c r="U2496" s="419">
        <f>ROUND(+J2496+M2496+T2496,4)</f>
        <v>0</v>
      </c>
      <c r="V2496" s="235"/>
    </row>
    <row r="2497" spans="1:22" ht="15.75" x14ac:dyDescent="0.25">
      <c r="A2497" s="231"/>
      <c r="B2497" s="232"/>
      <c r="C2497" s="400"/>
      <c r="D2497" s="233"/>
      <c r="E2497" s="405"/>
      <c r="F2497" s="405"/>
      <c r="G2497" s="405"/>
      <c r="H2497" s="408">
        <f>ROUND(+E2497+F2497+G2497,4)</f>
        <v>0</v>
      </c>
      <c r="I2497" s="234"/>
      <c r="J2497" s="411"/>
      <c r="K2497" s="411"/>
      <c r="L2497" s="414">
        <v>0.1</v>
      </c>
      <c r="M2497" s="414">
        <f>ROUND(+L2497*C2497,4)</f>
        <v>0</v>
      </c>
      <c r="N2497" s="414"/>
      <c r="O2497" s="414"/>
      <c r="P2497" s="414"/>
      <c r="Q2497" s="419">
        <f>ROUND(+N2497+O2497+P2497,4)</f>
        <v>0</v>
      </c>
      <c r="R2497" s="419">
        <f>ROUND(IF(+Q2497-H2497&lt;=0,0,Q2497-H2497),4)</f>
        <v>0</v>
      </c>
      <c r="S2497" s="423">
        <v>0.5</v>
      </c>
      <c r="T2497" s="419">
        <f>ROUND(+(R2497*C2497)*S2497,4)</f>
        <v>0</v>
      </c>
      <c r="U2497" s="419">
        <f>ROUND(+J2497+M2497+T2497,4)</f>
        <v>0</v>
      </c>
      <c r="V2497" s="235"/>
    </row>
    <row r="2498" spans="1:22" ht="15.75" x14ac:dyDescent="0.25">
      <c r="A2498" s="231"/>
      <c r="B2498" s="232"/>
      <c r="C2498" s="400"/>
      <c r="D2498" s="233"/>
      <c r="E2498" s="405"/>
      <c r="F2498" s="405"/>
      <c r="G2498" s="405"/>
      <c r="H2498" s="408">
        <f>ROUND(+E2498+F2498+G2498,4)</f>
        <v>0</v>
      </c>
      <c r="I2498" s="234"/>
      <c r="J2498" s="411"/>
      <c r="K2498" s="411"/>
      <c r="L2498" s="414">
        <v>0.1</v>
      </c>
      <c r="M2498" s="414">
        <f>ROUND(+L2498*C2498,4)</f>
        <v>0</v>
      </c>
      <c r="N2498" s="414"/>
      <c r="O2498" s="414"/>
      <c r="P2498" s="414"/>
      <c r="Q2498" s="419">
        <f>ROUND(+N2498+O2498+P2498,4)</f>
        <v>0</v>
      </c>
      <c r="R2498" s="419">
        <f>ROUND(IF(+Q2498-H2498&lt;=0,0,Q2498-H2498),4)</f>
        <v>0</v>
      </c>
      <c r="S2498" s="423">
        <v>0.5</v>
      </c>
      <c r="T2498" s="419">
        <f>ROUND(+(R2498*C2498)*S2498,4)</f>
        <v>0</v>
      </c>
      <c r="U2498" s="419">
        <f>ROUND(+J2498+M2498+T2498,4)</f>
        <v>0</v>
      </c>
      <c r="V2498" s="235"/>
    </row>
    <row r="2499" spans="1:22" ht="15.75" x14ac:dyDescent="0.25">
      <c r="A2499" s="231"/>
      <c r="B2499" s="232"/>
      <c r="C2499" s="400"/>
      <c r="D2499" s="233"/>
      <c r="E2499" s="405"/>
      <c r="F2499" s="405"/>
      <c r="G2499" s="405"/>
      <c r="H2499" s="408">
        <f>ROUND(+E2499+F2499+G2499,4)</f>
        <v>0</v>
      </c>
      <c r="I2499" s="234"/>
      <c r="J2499" s="411"/>
      <c r="K2499" s="411"/>
      <c r="L2499" s="414">
        <v>0.1</v>
      </c>
      <c r="M2499" s="414">
        <f>ROUND(+L2499*C2499,4)</f>
        <v>0</v>
      </c>
      <c r="N2499" s="414"/>
      <c r="O2499" s="414"/>
      <c r="P2499" s="414"/>
      <c r="Q2499" s="419">
        <f>ROUND(+N2499+O2499+P2499,4)</f>
        <v>0</v>
      </c>
      <c r="R2499" s="419">
        <f>ROUND(IF(+Q2499-H2499&lt;=0,0,Q2499-H2499),4)</f>
        <v>0</v>
      </c>
      <c r="S2499" s="423">
        <v>0.5</v>
      </c>
      <c r="T2499" s="419">
        <f>ROUND(+(R2499*C2499)*S2499,4)</f>
        <v>0</v>
      </c>
      <c r="U2499" s="419">
        <f>ROUND(+J2499+M2499+T2499,4)</f>
        <v>0</v>
      </c>
      <c r="V2499" s="235"/>
    </row>
    <row r="2500" spans="1:22" ht="15.75" x14ac:dyDescent="0.25">
      <c r="A2500" s="231"/>
      <c r="B2500" s="232"/>
      <c r="C2500" s="400"/>
      <c r="D2500" s="233"/>
      <c r="E2500" s="405"/>
      <c r="F2500" s="405"/>
      <c r="G2500" s="405"/>
      <c r="H2500" s="408">
        <f>ROUND(+E2500+F2500+G2500,4)</f>
        <v>0</v>
      </c>
      <c r="I2500" s="234"/>
      <c r="J2500" s="411"/>
      <c r="K2500" s="411"/>
      <c r="L2500" s="414">
        <v>0.1</v>
      </c>
      <c r="M2500" s="414">
        <f>ROUND(+L2500*C2500,4)</f>
        <v>0</v>
      </c>
      <c r="N2500" s="414"/>
      <c r="O2500" s="414"/>
      <c r="P2500" s="414"/>
      <c r="Q2500" s="419">
        <f>ROUND(+N2500+O2500+P2500,4)</f>
        <v>0</v>
      </c>
      <c r="R2500" s="419">
        <f>ROUND(IF(+Q2500-H2500&lt;=0,0,Q2500-H2500),4)</f>
        <v>0</v>
      </c>
      <c r="S2500" s="423">
        <v>0.5</v>
      </c>
      <c r="T2500" s="419">
        <f>ROUND(+(R2500*C2500)*S2500,4)</f>
        <v>0</v>
      </c>
      <c r="U2500" s="419">
        <f>ROUND(+J2500+M2500+T2500,4)</f>
        <v>0</v>
      </c>
      <c r="V2500" s="235"/>
    </row>
    <row r="2501" spans="1:22" ht="15.75" x14ac:dyDescent="0.25">
      <c r="A2501" s="231"/>
      <c r="B2501" s="232"/>
      <c r="C2501" s="400"/>
      <c r="D2501" s="233"/>
      <c r="E2501" s="405"/>
      <c r="F2501" s="405"/>
      <c r="G2501" s="405"/>
      <c r="H2501" s="408">
        <f>ROUND(+E2501+F2501+G2501,4)</f>
        <v>0</v>
      </c>
      <c r="I2501" s="234"/>
      <c r="J2501" s="411"/>
      <c r="K2501" s="411"/>
      <c r="L2501" s="414">
        <v>0.1</v>
      </c>
      <c r="M2501" s="414">
        <f>ROUND(+L2501*C2501,4)</f>
        <v>0</v>
      </c>
      <c r="N2501" s="414"/>
      <c r="O2501" s="414"/>
      <c r="P2501" s="414"/>
      <c r="Q2501" s="419">
        <f>ROUND(+N2501+O2501+P2501,4)</f>
        <v>0</v>
      </c>
      <c r="R2501" s="419">
        <f>ROUND(IF(+Q2501-H2501&lt;=0,0,Q2501-H2501),4)</f>
        <v>0</v>
      </c>
      <c r="S2501" s="423">
        <v>0.5</v>
      </c>
      <c r="T2501" s="419">
        <f>ROUND(+(R2501*C2501)*S2501,4)</f>
        <v>0</v>
      </c>
      <c r="U2501" s="419">
        <f>ROUND(+J2501+M2501+T2501,4)</f>
        <v>0</v>
      </c>
      <c r="V2501" s="235"/>
    </row>
    <row r="2502" spans="1:22" ht="15.75" x14ac:dyDescent="0.25">
      <c r="A2502" s="231"/>
      <c r="B2502" s="232"/>
      <c r="C2502" s="400"/>
      <c r="D2502" s="233"/>
      <c r="E2502" s="405"/>
      <c r="F2502" s="405"/>
      <c r="G2502" s="405"/>
      <c r="H2502" s="408">
        <f>ROUND(+E2502+F2502+G2502,4)</f>
        <v>0</v>
      </c>
      <c r="I2502" s="234"/>
      <c r="J2502" s="411"/>
      <c r="K2502" s="411"/>
      <c r="L2502" s="414">
        <v>0.1</v>
      </c>
      <c r="M2502" s="414">
        <f>ROUND(+L2502*C2502,4)</f>
        <v>0</v>
      </c>
      <c r="N2502" s="414"/>
      <c r="O2502" s="414"/>
      <c r="P2502" s="414"/>
      <c r="Q2502" s="419">
        <f>ROUND(+N2502+O2502+P2502,4)</f>
        <v>0</v>
      </c>
      <c r="R2502" s="419">
        <f>ROUND(IF(+Q2502-H2502&lt;=0,0,Q2502-H2502),4)</f>
        <v>0</v>
      </c>
      <c r="S2502" s="423">
        <v>0.5</v>
      </c>
      <c r="T2502" s="419">
        <f>ROUND(+(R2502*C2502)*S2502,4)</f>
        <v>0</v>
      </c>
      <c r="U2502" s="419">
        <f>ROUND(+J2502+M2502+T2502,4)</f>
        <v>0</v>
      </c>
      <c r="V2502" s="235"/>
    </row>
    <row r="2503" spans="1:22" ht="15.75" x14ac:dyDescent="0.25">
      <c r="A2503" s="231"/>
      <c r="B2503" s="232"/>
      <c r="C2503" s="400"/>
      <c r="D2503" s="233"/>
      <c r="E2503" s="405"/>
      <c r="F2503" s="405"/>
      <c r="G2503" s="405"/>
      <c r="H2503" s="408">
        <f>ROUND(+E2503+F2503+G2503,4)</f>
        <v>0</v>
      </c>
      <c r="I2503" s="234"/>
      <c r="J2503" s="411"/>
      <c r="K2503" s="411"/>
      <c r="L2503" s="414">
        <v>0.1</v>
      </c>
      <c r="M2503" s="414">
        <f>ROUND(+L2503*C2503,4)</f>
        <v>0</v>
      </c>
      <c r="N2503" s="414"/>
      <c r="O2503" s="414"/>
      <c r="P2503" s="414"/>
      <c r="Q2503" s="419">
        <f>ROUND(+N2503+O2503+P2503,4)</f>
        <v>0</v>
      </c>
      <c r="R2503" s="419">
        <f>ROUND(IF(+Q2503-H2503&lt;=0,0,Q2503-H2503),4)</f>
        <v>0</v>
      </c>
      <c r="S2503" s="423">
        <v>0.5</v>
      </c>
      <c r="T2503" s="419">
        <f>ROUND(+(R2503*C2503)*S2503,4)</f>
        <v>0</v>
      </c>
      <c r="U2503" s="419">
        <f>ROUND(+J2503+M2503+T2503,4)</f>
        <v>0</v>
      </c>
      <c r="V2503" s="235"/>
    </row>
    <row r="2504" spans="1:22" ht="15.75" x14ac:dyDescent="0.25">
      <c r="A2504" s="231"/>
      <c r="B2504" s="232"/>
      <c r="C2504" s="400"/>
      <c r="D2504" s="233"/>
      <c r="E2504" s="405"/>
      <c r="F2504" s="405"/>
      <c r="G2504" s="405"/>
      <c r="H2504" s="408">
        <f>ROUND(+E2504+F2504+G2504,4)</f>
        <v>0</v>
      </c>
      <c r="I2504" s="234"/>
      <c r="J2504" s="411"/>
      <c r="K2504" s="411"/>
      <c r="L2504" s="414">
        <v>0.1</v>
      </c>
      <c r="M2504" s="414">
        <f>ROUND(+L2504*C2504,4)</f>
        <v>0</v>
      </c>
      <c r="N2504" s="414"/>
      <c r="O2504" s="414"/>
      <c r="P2504" s="414"/>
      <c r="Q2504" s="419">
        <f>ROUND(+N2504+O2504+P2504,4)</f>
        <v>0</v>
      </c>
      <c r="R2504" s="419">
        <f>ROUND(IF(+Q2504-H2504&lt;=0,0,Q2504-H2504),4)</f>
        <v>0</v>
      </c>
      <c r="S2504" s="423">
        <v>0.5</v>
      </c>
      <c r="T2504" s="419">
        <f>ROUND(+(R2504*C2504)*S2504,4)</f>
        <v>0</v>
      </c>
      <c r="U2504" s="419">
        <f>ROUND(+J2504+M2504+T2504,4)</f>
        <v>0</v>
      </c>
      <c r="V2504" s="235"/>
    </row>
    <row r="2505" spans="1:22" ht="15.75" x14ac:dyDescent="0.25">
      <c r="A2505" s="231"/>
      <c r="B2505" s="232"/>
      <c r="C2505" s="400"/>
      <c r="D2505" s="233"/>
      <c r="E2505" s="405"/>
      <c r="F2505" s="405"/>
      <c r="G2505" s="405"/>
      <c r="H2505" s="408">
        <f>ROUND(+E2505+F2505+G2505,4)</f>
        <v>0</v>
      </c>
      <c r="I2505" s="234"/>
      <c r="J2505" s="411"/>
      <c r="K2505" s="411"/>
      <c r="L2505" s="414">
        <v>0.1</v>
      </c>
      <c r="M2505" s="414">
        <f>ROUND(+L2505*C2505,4)</f>
        <v>0</v>
      </c>
      <c r="N2505" s="414"/>
      <c r="O2505" s="414"/>
      <c r="P2505" s="414"/>
      <c r="Q2505" s="419">
        <f>ROUND(+N2505+O2505+P2505,4)</f>
        <v>0</v>
      </c>
      <c r="R2505" s="419">
        <f>ROUND(IF(+Q2505-H2505&lt;=0,0,Q2505-H2505),4)</f>
        <v>0</v>
      </c>
      <c r="S2505" s="423">
        <v>0.5</v>
      </c>
      <c r="T2505" s="419">
        <f>ROUND(+(R2505*C2505)*S2505,4)</f>
        <v>0</v>
      </c>
      <c r="U2505" s="419">
        <f>ROUND(+J2505+M2505+T2505,4)</f>
        <v>0</v>
      </c>
      <c r="V2505" s="235"/>
    </row>
    <row r="2506" spans="1:22" ht="15.75" x14ac:dyDescent="0.25">
      <c r="A2506" s="231"/>
      <c r="B2506" s="232"/>
      <c r="C2506" s="400"/>
      <c r="D2506" s="233"/>
      <c r="E2506" s="405"/>
      <c r="F2506" s="405"/>
      <c r="G2506" s="405"/>
      <c r="H2506" s="408">
        <f>ROUND(+E2506+F2506+G2506,4)</f>
        <v>0</v>
      </c>
      <c r="I2506" s="234"/>
      <c r="J2506" s="411"/>
      <c r="K2506" s="411"/>
      <c r="L2506" s="414">
        <v>0.1</v>
      </c>
      <c r="M2506" s="414">
        <f>ROUND(+L2506*C2506,4)</f>
        <v>0</v>
      </c>
      <c r="N2506" s="414"/>
      <c r="O2506" s="414"/>
      <c r="P2506" s="414"/>
      <c r="Q2506" s="419">
        <f>ROUND(+N2506+O2506+P2506,4)</f>
        <v>0</v>
      </c>
      <c r="R2506" s="419">
        <f>ROUND(IF(+Q2506-H2506&lt;=0,0,Q2506-H2506),4)</f>
        <v>0</v>
      </c>
      <c r="S2506" s="423">
        <v>0.5</v>
      </c>
      <c r="T2506" s="419">
        <f>ROUND(+(R2506*C2506)*S2506,4)</f>
        <v>0</v>
      </c>
      <c r="U2506" s="419">
        <f>ROUND(+J2506+M2506+T2506,4)</f>
        <v>0</v>
      </c>
      <c r="V2506" s="235"/>
    </row>
    <row r="2507" spans="1:22" ht="15.75" x14ac:dyDescent="0.25">
      <c r="A2507" s="231"/>
      <c r="B2507" s="232"/>
      <c r="C2507" s="400"/>
      <c r="D2507" s="233"/>
      <c r="E2507" s="405"/>
      <c r="F2507" s="405"/>
      <c r="G2507" s="405"/>
      <c r="H2507" s="408">
        <f>ROUND(+E2507+F2507+G2507,4)</f>
        <v>0</v>
      </c>
      <c r="I2507" s="234"/>
      <c r="J2507" s="411"/>
      <c r="K2507" s="411"/>
      <c r="L2507" s="414">
        <v>0.1</v>
      </c>
      <c r="M2507" s="414">
        <f>ROUND(+L2507*C2507,4)</f>
        <v>0</v>
      </c>
      <c r="N2507" s="414"/>
      <c r="O2507" s="414"/>
      <c r="P2507" s="414"/>
      <c r="Q2507" s="419">
        <f>ROUND(+N2507+O2507+P2507,4)</f>
        <v>0</v>
      </c>
      <c r="R2507" s="419">
        <f>ROUND(IF(+Q2507-H2507&lt;=0,0,Q2507-H2507),4)</f>
        <v>0</v>
      </c>
      <c r="S2507" s="423">
        <v>0.5</v>
      </c>
      <c r="T2507" s="419">
        <f>ROUND(+(R2507*C2507)*S2507,4)</f>
        <v>0</v>
      </c>
      <c r="U2507" s="419">
        <f>ROUND(+J2507+M2507+T2507,4)</f>
        <v>0</v>
      </c>
      <c r="V2507" s="235"/>
    </row>
    <row r="2508" spans="1:22" ht="15.75" x14ac:dyDescent="0.25">
      <c r="A2508" s="231"/>
      <c r="B2508" s="232"/>
      <c r="C2508" s="400"/>
      <c r="D2508" s="233"/>
      <c r="E2508" s="405"/>
      <c r="F2508" s="405"/>
      <c r="G2508" s="405"/>
      <c r="H2508" s="408">
        <f>ROUND(+E2508+F2508+G2508,4)</f>
        <v>0</v>
      </c>
      <c r="I2508" s="234"/>
      <c r="J2508" s="411"/>
      <c r="K2508" s="411"/>
      <c r="L2508" s="414">
        <v>0.1</v>
      </c>
      <c r="M2508" s="414">
        <f>ROUND(+L2508*C2508,4)</f>
        <v>0</v>
      </c>
      <c r="N2508" s="414"/>
      <c r="O2508" s="414"/>
      <c r="P2508" s="414"/>
      <c r="Q2508" s="419">
        <f>ROUND(+N2508+O2508+P2508,4)</f>
        <v>0</v>
      </c>
      <c r="R2508" s="419">
        <f>ROUND(IF(+Q2508-H2508&lt;=0,0,Q2508-H2508),4)</f>
        <v>0</v>
      </c>
      <c r="S2508" s="423">
        <v>0.5</v>
      </c>
      <c r="T2508" s="419">
        <f>ROUND(+(R2508*C2508)*S2508,4)</f>
        <v>0</v>
      </c>
      <c r="U2508" s="419">
        <f>ROUND(+J2508+M2508+T2508,4)</f>
        <v>0</v>
      </c>
      <c r="V2508" s="235"/>
    </row>
    <row r="2509" spans="1:22" ht="15.75" x14ac:dyDescent="0.25">
      <c r="A2509" s="231"/>
      <c r="B2509" s="232"/>
      <c r="C2509" s="400"/>
      <c r="D2509" s="233"/>
      <c r="E2509" s="405"/>
      <c r="F2509" s="405"/>
      <c r="G2509" s="405"/>
      <c r="H2509" s="408">
        <f>ROUND(+E2509+F2509+G2509,4)</f>
        <v>0</v>
      </c>
      <c r="I2509" s="234"/>
      <c r="J2509" s="411"/>
      <c r="K2509" s="411"/>
      <c r="L2509" s="414">
        <v>0.1</v>
      </c>
      <c r="M2509" s="414">
        <f>ROUND(+L2509*C2509,4)</f>
        <v>0</v>
      </c>
      <c r="N2509" s="414"/>
      <c r="O2509" s="414"/>
      <c r="P2509" s="414"/>
      <c r="Q2509" s="419">
        <f>ROUND(+N2509+O2509+P2509,4)</f>
        <v>0</v>
      </c>
      <c r="R2509" s="419">
        <f>ROUND(IF(+Q2509-H2509&lt;=0,0,Q2509-H2509),4)</f>
        <v>0</v>
      </c>
      <c r="S2509" s="423">
        <v>0.5</v>
      </c>
      <c r="T2509" s="419">
        <f>ROUND(+(R2509*C2509)*S2509,4)</f>
        <v>0</v>
      </c>
      <c r="U2509" s="419">
        <f>ROUND(+J2509+M2509+T2509,4)</f>
        <v>0</v>
      </c>
      <c r="V2509" s="235"/>
    </row>
    <row r="2510" spans="1:22" ht="15.75" x14ac:dyDescent="0.25">
      <c r="A2510" s="231"/>
      <c r="B2510" s="232"/>
      <c r="C2510" s="400"/>
      <c r="D2510" s="233"/>
      <c r="E2510" s="405"/>
      <c r="F2510" s="405"/>
      <c r="G2510" s="405"/>
      <c r="H2510" s="408">
        <f>ROUND(+E2510+F2510+G2510,4)</f>
        <v>0</v>
      </c>
      <c r="I2510" s="234"/>
      <c r="J2510" s="411"/>
      <c r="K2510" s="411"/>
      <c r="L2510" s="414">
        <v>0.1</v>
      </c>
      <c r="M2510" s="414">
        <f>ROUND(+L2510*C2510,4)</f>
        <v>0</v>
      </c>
      <c r="N2510" s="414"/>
      <c r="O2510" s="414"/>
      <c r="P2510" s="414"/>
      <c r="Q2510" s="419">
        <f>ROUND(+N2510+O2510+P2510,4)</f>
        <v>0</v>
      </c>
      <c r="R2510" s="419">
        <f>ROUND(IF(+Q2510-H2510&lt;=0,0,Q2510-H2510),4)</f>
        <v>0</v>
      </c>
      <c r="S2510" s="423">
        <v>0.5</v>
      </c>
      <c r="T2510" s="419">
        <f>ROUND(+(R2510*C2510)*S2510,4)</f>
        <v>0</v>
      </c>
      <c r="U2510" s="419">
        <f>ROUND(+J2510+M2510+T2510,4)</f>
        <v>0</v>
      </c>
      <c r="V2510" s="235"/>
    </row>
    <row r="2511" spans="1:22" ht="15.75" x14ac:dyDescent="0.25">
      <c r="A2511" s="231"/>
      <c r="B2511" s="232"/>
      <c r="C2511" s="400"/>
      <c r="D2511" s="233"/>
      <c r="E2511" s="405"/>
      <c r="F2511" s="405"/>
      <c r="G2511" s="405"/>
      <c r="H2511" s="408">
        <f>ROUND(+E2511+F2511+G2511,4)</f>
        <v>0</v>
      </c>
      <c r="I2511" s="234"/>
      <c r="J2511" s="411"/>
      <c r="K2511" s="411"/>
      <c r="L2511" s="414">
        <v>0.1</v>
      </c>
      <c r="M2511" s="414">
        <f>ROUND(+L2511*C2511,4)</f>
        <v>0</v>
      </c>
      <c r="N2511" s="414"/>
      <c r="O2511" s="414"/>
      <c r="P2511" s="414"/>
      <c r="Q2511" s="419">
        <f>ROUND(+N2511+O2511+P2511,4)</f>
        <v>0</v>
      </c>
      <c r="R2511" s="419">
        <f>ROUND(IF(+Q2511-H2511&lt;=0,0,Q2511-H2511),4)</f>
        <v>0</v>
      </c>
      <c r="S2511" s="423">
        <v>0.5</v>
      </c>
      <c r="T2511" s="419">
        <f>ROUND(+(R2511*C2511)*S2511,4)</f>
        <v>0</v>
      </c>
      <c r="U2511" s="419">
        <f>ROUND(+J2511+M2511+T2511,4)</f>
        <v>0</v>
      </c>
      <c r="V2511" s="235"/>
    </row>
    <row r="2512" spans="1:22" ht="15.75" x14ac:dyDescent="0.25">
      <c r="A2512" s="231"/>
      <c r="B2512" s="232"/>
      <c r="C2512" s="400"/>
      <c r="D2512" s="233"/>
      <c r="E2512" s="405"/>
      <c r="F2512" s="405"/>
      <c r="G2512" s="405"/>
      <c r="H2512" s="408">
        <f>ROUND(+E2512+F2512+G2512,4)</f>
        <v>0</v>
      </c>
      <c r="I2512" s="234"/>
      <c r="J2512" s="411"/>
      <c r="K2512" s="411"/>
      <c r="L2512" s="414">
        <v>0.1</v>
      </c>
      <c r="M2512" s="414">
        <f>ROUND(+L2512*C2512,4)</f>
        <v>0</v>
      </c>
      <c r="N2512" s="414"/>
      <c r="O2512" s="414"/>
      <c r="P2512" s="414"/>
      <c r="Q2512" s="419">
        <f>ROUND(+N2512+O2512+P2512,4)</f>
        <v>0</v>
      </c>
      <c r="R2512" s="419">
        <f>ROUND(IF(+Q2512-H2512&lt;=0,0,Q2512-H2512),4)</f>
        <v>0</v>
      </c>
      <c r="S2512" s="423">
        <v>0.5</v>
      </c>
      <c r="T2512" s="419">
        <f>ROUND(+(R2512*C2512)*S2512,4)</f>
        <v>0</v>
      </c>
      <c r="U2512" s="419">
        <f>ROUND(+J2512+M2512+T2512,4)</f>
        <v>0</v>
      </c>
      <c r="V2512" s="235"/>
    </row>
    <row r="2513" spans="1:22" ht="15.75" x14ac:dyDescent="0.25">
      <c r="A2513" s="231"/>
      <c r="B2513" s="232"/>
      <c r="C2513" s="400"/>
      <c r="D2513" s="233"/>
      <c r="E2513" s="405"/>
      <c r="F2513" s="405"/>
      <c r="G2513" s="405"/>
      <c r="H2513" s="408">
        <f>ROUND(+E2513+F2513+G2513,4)</f>
        <v>0</v>
      </c>
      <c r="I2513" s="234"/>
      <c r="J2513" s="411"/>
      <c r="K2513" s="411"/>
      <c r="L2513" s="414">
        <v>0.1</v>
      </c>
      <c r="M2513" s="414">
        <f>ROUND(+L2513*C2513,4)</f>
        <v>0</v>
      </c>
      <c r="N2513" s="414"/>
      <c r="O2513" s="414"/>
      <c r="P2513" s="414"/>
      <c r="Q2513" s="419">
        <f>ROUND(+N2513+O2513+P2513,4)</f>
        <v>0</v>
      </c>
      <c r="R2513" s="419">
        <f>ROUND(IF(+Q2513-H2513&lt;=0,0,Q2513-H2513),4)</f>
        <v>0</v>
      </c>
      <c r="S2513" s="423">
        <v>0.5</v>
      </c>
      <c r="T2513" s="419">
        <f>ROUND(+(R2513*C2513)*S2513,4)</f>
        <v>0</v>
      </c>
      <c r="U2513" s="419">
        <f>ROUND(+J2513+M2513+T2513,4)</f>
        <v>0</v>
      </c>
      <c r="V2513" s="235"/>
    </row>
    <row r="2514" spans="1:22" ht="15.75" x14ac:dyDescent="0.25">
      <c r="A2514" s="231"/>
      <c r="B2514" s="232"/>
      <c r="C2514" s="400"/>
      <c r="D2514" s="233"/>
      <c r="E2514" s="405"/>
      <c r="F2514" s="405"/>
      <c r="G2514" s="405"/>
      <c r="H2514" s="408">
        <f>ROUND(+E2514+F2514+G2514,4)</f>
        <v>0</v>
      </c>
      <c r="I2514" s="234"/>
      <c r="J2514" s="411"/>
      <c r="K2514" s="411"/>
      <c r="L2514" s="414">
        <v>0.1</v>
      </c>
      <c r="M2514" s="414">
        <f>ROUND(+L2514*C2514,4)</f>
        <v>0</v>
      </c>
      <c r="N2514" s="414"/>
      <c r="O2514" s="414"/>
      <c r="P2514" s="414"/>
      <c r="Q2514" s="419">
        <f>ROUND(+N2514+O2514+P2514,4)</f>
        <v>0</v>
      </c>
      <c r="R2514" s="419">
        <f>ROUND(IF(+Q2514-H2514&lt;=0,0,Q2514-H2514),4)</f>
        <v>0</v>
      </c>
      <c r="S2514" s="423">
        <v>0.5</v>
      </c>
      <c r="T2514" s="419">
        <f>ROUND(+(R2514*C2514)*S2514,4)</f>
        <v>0</v>
      </c>
      <c r="U2514" s="419">
        <f>ROUND(+J2514+M2514+T2514,4)</f>
        <v>0</v>
      </c>
      <c r="V2514" s="235"/>
    </row>
    <row r="2515" spans="1:22" ht="15.75" x14ac:dyDescent="0.25">
      <c r="A2515" s="231"/>
      <c r="B2515" s="232"/>
      <c r="C2515" s="400"/>
      <c r="D2515" s="233"/>
      <c r="E2515" s="405"/>
      <c r="F2515" s="405"/>
      <c r="G2515" s="405"/>
      <c r="H2515" s="408">
        <f>ROUND(+E2515+F2515+G2515,4)</f>
        <v>0</v>
      </c>
      <c r="I2515" s="234"/>
      <c r="J2515" s="411"/>
      <c r="K2515" s="411"/>
      <c r="L2515" s="414">
        <v>0.1</v>
      </c>
      <c r="M2515" s="414">
        <f>ROUND(+L2515*C2515,4)</f>
        <v>0</v>
      </c>
      <c r="N2515" s="414"/>
      <c r="O2515" s="414"/>
      <c r="P2515" s="414"/>
      <c r="Q2515" s="419">
        <f>ROUND(+N2515+O2515+P2515,4)</f>
        <v>0</v>
      </c>
      <c r="R2515" s="419">
        <f>ROUND(IF(+Q2515-H2515&lt;=0,0,Q2515-H2515),4)</f>
        <v>0</v>
      </c>
      <c r="S2515" s="423">
        <v>0.5</v>
      </c>
      <c r="T2515" s="419">
        <f>ROUND(+(R2515*C2515)*S2515,4)</f>
        <v>0</v>
      </c>
      <c r="U2515" s="419">
        <f>ROUND(+J2515+M2515+T2515,4)</f>
        <v>0</v>
      </c>
      <c r="V2515" s="235"/>
    </row>
    <row r="2516" spans="1:22" ht="15.75" x14ac:dyDescent="0.25">
      <c r="A2516" s="231"/>
      <c r="B2516" s="232"/>
      <c r="C2516" s="400"/>
      <c r="D2516" s="233"/>
      <c r="E2516" s="405"/>
      <c r="F2516" s="405"/>
      <c r="G2516" s="405"/>
      <c r="H2516" s="408">
        <f>ROUND(+E2516+F2516+G2516,4)</f>
        <v>0</v>
      </c>
      <c r="I2516" s="234"/>
      <c r="J2516" s="411"/>
      <c r="K2516" s="411"/>
      <c r="L2516" s="414">
        <v>0.1</v>
      </c>
      <c r="M2516" s="414">
        <f>ROUND(+L2516*C2516,4)</f>
        <v>0</v>
      </c>
      <c r="N2516" s="414"/>
      <c r="O2516" s="414"/>
      <c r="P2516" s="414"/>
      <c r="Q2516" s="419">
        <f>ROUND(+N2516+O2516+P2516,4)</f>
        <v>0</v>
      </c>
      <c r="R2516" s="419">
        <f>ROUND(IF(+Q2516-H2516&lt;=0,0,Q2516-H2516),4)</f>
        <v>0</v>
      </c>
      <c r="S2516" s="423">
        <v>0.5</v>
      </c>
      <c r="T2516" s="419">
        <f>ROUND(+(R2516*C2516)*S2516,4)</f>
        <v>0</v>
      </c>
      <c r="U2516" s="419">
        <f>ROUND(+J2516+M2516+T2516,4)</f>
        <v>0</v>
      </c>
      <c r="V2516" s="235"/>
    </row>
    <row r="2517" spans="1:22" ht="15.75" x14ac:dyDescent="0.25">
      <c r="A2517" s="231"/>
      <c r="B2517" s="232"/>
      <c r="C2517" s="400"/>
      <c r="D2517" s="233"/>
      <c r="E2517" s="405"/>
      <c r="F2517" s="405"/>
      <c r="G2517" s="405"/>
      <c r="H2517" s="408">
        <f>ROUND(+E2517+F2517+G2517,4)</f>
        <v>0</v>
      </c>
      <c r="I2517" s="234"/>
      <c r="J2517" s="411"/>
      <c r="K2517" s="411"/>
      <c r="L2517" s="414">
        <v>0.1</v>
      </c>
      <c r="M2517" s="414">
        <f>ROUND(+L2517*C2517,4)</f>
        <v>0</v>
      </c>
      <c r="N2517" s="414"/>
      <c r="O2517" s="414"/>
      <c r="P2517" s="414"/>
      <c r="Q2517" s="419">
        <f>ROUND(+N2517+O2517+P2517,4)</f>
        <v>0</v>
      </c>
      <c r="R2517" s="419">
        <f>ROUND(IF(+Q2517-H2517&lt;=0,0,Q2517-H2517),4)</f>
        <v>0</v>
      </c>
      <c r="S2517" s="423">
        <v>0.5</v>
      </c>
      <c r="T2517" s="419">
        <f>ROUND(+(R2517*C2517)*S2517,4)</f>
        <v>0</v>
      </c>
      <c r="U2517" s="419">
        <f>ROUND(+J2517+M2517+T2517,4)</f>
        <v>0</v>
      </c>
      <c r="V2517" s="235"/>
    </row>
    <row r="2518" spans="1:22" ht="15.75" x14ac:dyDescent="0.25">
      <c r="A2518" s="231"/>
      <c r="B2518" s="232"/>
      <c r="C2518" s="400"/>
      <c r="D2518" s="233"/>
      <c r="E2518" s="405"/>
      <c r="F2518" s="405"/>
      <c r="G2518" s="405"/>
      <c r="H2518" s="408">
        <f>ROUND(+E2518+F2518+G2518,4)</f>
        <v>0</v>
      </c>
      <c r="I2518" s="234"/>
      <c r="J2518" s="411"/>
      <c r="K2518" s="411"/>
      <c r="L2518" s="414">
        <v>0.1</v>
      </c>
      <c r="M2518" s="414">
        <f>ROUND(+L2518*C2518,4)</f>
        <v>0</v>
      </c>
      <c r="N2518" s="414"/>
      <c r="O2518" s="414"/>
      <c r="P2518" s="414"/>
      <c r="Q2518" s="419">
        <f>ROUND(+N2518+O2518+P2518,4)</f>
        <v>0</v>
      </c>
      <c r="R2518" s="419">
        <f>ROUND(IF(+Q2518-H2518&lt;=0,0,Q2518-H2518),4)</f>
        <v>0</v>
      </c>
      <c r="S2518" s="423">
        <v>0.5</v>
      </c>
      <c r="T2518" s="419">
        <f>ROUND(+(R2518*C2518)*S2518,4)</f>
        <v>0</v>
      </c>
      <c r="U2518" s="419">
        <f>ROUND(+J2518+M2518+T2518,4)</f>
        <v>0</v>
      </c>
      <c r="V2518" s="235"/>
    </row>
    <row r="2519" spans="1:22" ht="15.75" x14ac:dyDescent="0.25">
      <c r="A2519" s="231"/>
      <c r="B2519" s="232"/>
      <c r="C2519" s="400"/>
      <c r="D2519" s="233"/>
      <c r="E2519" s="405"/>
      <c r="F2519" s="405"/>
      <c r="G2519" s="405"/>
      <c r="H2519" s="408">
        <f>ROUND(+E2519+F2519+G2519,4)</f>
        <v>0</v>
      </c>
      <c r="I2519" s="234"/>
      <c r="J2519" s="411"/>
      <c r="K2519" s="411"/>
      <c r="L2519" s="414">
        <v>0.1</v>
      </c>
      <c r="M2519" s="414">
        <f>ROUND(+L2519*C2519,4)</f>
        <v>0</v>
      </c>
      <c r="N2519" s="414"/>
      <c r="O2519" s="414"/>
      <c r="P2519" s="414"/>
      <c r="Q2519" s="419">
        <f>ROUND(+N2519+O2519+P2519,4)</f>
        <v>0</v>
      </c>
      <c r="R2519" s="419">
        <f>ROUND(IF(+Q2519-H2519&lt;=0,0,Q2519-H2519),4)</f>
        <v>0</v>
      </c>
      <c r="S2519" s="423">
        <v>0.5</v>
      </c>
      <c r="T2519" s="419">
        <f>ROUND(+(R2519*C2519)*S2519,4)</f>
        <v>0</v>
      </c>
      <c r="U2519" s="419">
        <f>ROUND(+J2519+M2519+T2519,4)</f>
        <v>0</v>
      </c>
      <c r="V2519" s="235"/>
    </row>
    <row r="2520" spans="1:22" ht="15.75" x14ac:dyDescent="0.25">
      <c r="A2520" s="231"/>
      <c r="B2520" s="232"/>
      <c r="C2520" s="400"/>
      <c r="D2520" s="233"/>
      <c r="E2520" s="405"/>
      <c r="F2520" s="405"/>
      <c r="G2520" s="405"/>
      <c r="H2520" s="408">
        <f>ROUND(+E2520+F2520+G2520,4)</f>
        <v>0</v>
      </c>
      <c r="I2520" s="234"/>
      <c r="J2520" s="411"/>
      <c r="K2520" s="411"/>
      <c r="L2520" s="414">
        <v>0.1</v>
      </c>
      <c r="M2520" s="414">
        <f>ROUND(+L2520*C2520,4)</f>
        <v>0</v>
      </c>
      <c r="N2520" s="414"/>
      <c r="O2520" s="414"/>
      <c r="P2520" s="414"/>
      <c r="Q2520" s="419">
        <f>ROUND(+N2520+O2520+P2520,4)</f>
        <v>0</v>
      </c>
      <c r="R2520" s="419">
        <f>ROUND(IF(+Q2520-H2520&lt;=0,0,Q2520-H2520),4)</f>
        <v>0</v>
      </c>
      <c r="S2520" s="423">
        <v>0.5</v>
      </c>
      <c r="T2520" s="419">
        <f>ROUND(+(R2520*C2520)*S2520,4)</f>
        <v>0</v>
      </c>
      <c r="U2520" s="419">
        <f>ROUND(+J2520+M2520+T2520,4)</f>
        <v>0</v>
      </c>
      <c r="V2520" s="235"/>
    </row>
    <row r="2521" spans="1:22" ht="15.75" x14ac:dyDescent="0.25">
      <c r="A2521" s="231"/>
      <c r="B2521" s="232"/>
      <c r="C2521" s="400"/>
      <c r="D2521" s="233"/>
      <c r="E2521" s="405"/>
      <c r="F2521" s="405"/>
      <c r="G2521" s="405"/>
      <c r="H2521" s="408">
        <f>ROUND(+E2521+F2521+G2521,4)</f>
        <v>0</v>
      </c>
      <c r="I2521" s="234"/>
      <c r="J2521" s="411"/>
      <c r="K2521" s="411"/>
      <c r="L2521" s="414">
        <v>0.1</v>
      </c>
      <c r="M2521" s="414">
        <f>ROUND(+L2521*C2521,4)</f>
        <v>0</v>
      </c>
      <c r="N2521" s="414"/>
      <c r="O2521" s="414"/>
      <c r="P2521" s="414"/>
      <c r="Q2521" s="419">
        <f>ROUND(+N2521+O2521+P2521,4)</f>
        <v>0</v>
      </c>
      <c r="R2521" s="419">
        <f>ROUND(IF(+Q2521-H2521&lt;=0,0,Q2521-H2521),4)</f>
        <v>0</v>
      </c>
      <c r="S2521" s="423">
        <v>0.5</v>
      </c>
      <c r="T2521" s="419">
        <f>ROUND(+(R2521*C2521)*S2521,4)</f>
        <v>0</v>
      </c>
      <c r="U2521" s="419">
        <f>ROUND(+J2521+M2521+T2521,4)</f>
        <v>0</v>
      </c>
      <c r="V2521" s="235"/>
    </row>
    <row r="2522" spans="1:22" ht="15.75" x14ac:dyDescent="0.25">
      <c r="A2522" s="231"/>
      <c r="B2522" s="232"/>
      <c r="C2522" s="400"/>
      <c r="D2522" s="233"/>
      <c r="E2522" s="405"/>
      <c r="F2522" s="405"/>
      <c r="G2522" s="405"/>
      <c r="H2522" s="408">
        <f>ROUND(+E2522+F2522+G2522,4)</f>
        <v>0</v>
      </c>
      <c r="I2522" s="234"/>
      <c r="J2522" s="411"/>
      <c r="K2522" s="411"/>
      <c r="L2522" s="414">
        <v>0.1</v>
      </c>
      <c r="M2522" s="414">
        <f>ROUND(+L2522*C2522,4)</f>
        <v>0</v>
      </c>
      <c r="N2522" s="414"/>
      <c r="O2522" s="414"/>
      <c r="P2522" s="414"/>
      <c r="Q2522" s="419">
        <f>ROUND(+N2522+O2522+P2522,4)</f>
        <v>0</v>
      </c>
      <c r="R2522" s="419">
        <f>ROUND(IF(+Q2522-H2522&lt;=0,0,Q2522-H2522),4)</f>
        <v>0</v>
      </c>
      <c r="S2522" s="423">
        <v>0.5</v>
      </c>
      <c r="T2522" s="419">
        <f>ROUND(+(R2522*C2522)*S2522,4)</f>
        <v>0</v>
      </c>
      <c r="U2522" s="419">
        <f>ROUND(+J2522+M2522+T2522,4)</f>
        <v>0</v>
      </c>
      <c r="V2522" s="235"/>
    </row>
    <row r="2523" spans="1:22" ht="15.75" x14ac:dyDescent="0.25">
      <c r="A2523" s="231"/>
      <c r="B2523" s="232"/>
      <c r="C2523" s="400"/>
      <c r="D2523" s="233"/>
      <c r="E2523" s="405"/>
      <c r="F2523" s="405"/>
      <c r="G2523" s="405"/>
      <c r="H2523" s="408">
        <f>ROUND(+E2523+F2523+G2523,4)</f>
        <v>0</v>
      </c>
      <c r="I2523" s="234"/>
      <c r="J2523" s="411"/>
      <c r="K2523" s="411"/>
      <c r="L2523" s="414">
        <v>0.1</v>
      </c>
      <c r="M2523" s="414">
        <f>ROUND(+L2523*C2523,4)</f>
        <v>0</v>
      </c>
      <c r="N2523" s="414"/>
      <c r="O2523" s="414"/>
      <c r="P2523" s="414"/>
      <c r="Q2523" s="419">
        <f>ROUND(+N2523+O2523+P2523,4)</f>
        <v>0</v>
      </c>
      <c r="R2523" s="419">
        <f>ROUND(IF(+Q2523-H2523&lt;=0,0,Q2523-H2523),4)</f>
        <v>0</v>
      </c>
      <c r="S2523" s="423">
        <v>0.5</v>
      </c>
      <c r="T2523" s="419">
        <f>ROUND(+(R2523*C2523)*S2523,4)</f>
        <v>0</v>
      </c>
      <c r="U2523" s="419">
        <f>ROUND(+J2523+M2523+T2523,4)</f>
        <v>0</v>
      </c>
      <c r="V2523" s="235"/>
    </row>
    <row r="2524" spans="1:22" ht="15.75" x14ac:dyDescent="0.25">
      <c r="A2524" s="231"/>
      <c r="B2524" s="232"/>
      <c r="C2524" s="400"/>
      <c r="D2524" s="233"/>
      <c r="E2524" s="405"/>
      <c r="F2524" s="405"/>
      <c r="G2524" s="405"/>
      <c r="H2524" s="408">
        <f>ROUND(+E2524+F2524+G2524,4)</f>
        <v>0</v>
      </c>
      <c r="I2524" s="234"/>
      <c r="J2524" s="411"/>
      <c r="K2524" s="411"/>
      <c r="L2524" s="414">
        <v>0.1</v>
      </c>
      <c r="M2524" s="414">
        <f>ROUND(+L2524*C2524,4)</f>
        <v>0</v>
      </c>
      <c r="N2524" s="414"/>
      <c r="O2524" s="414"/>
      <c r="P2524" s="414"/>
      <c r="Q2524" s="419">
        <f>ROUND(+N2524+O2524+P2524,4)</f>
        <v>0</v>
      </c>
      <c r="R2524" s="419">
        <f>ROUND(IF(+Q2524-H2524&lt;=0,0,Q2524-H2524),4)</f>
        <v>0</v>
      </c>
      <c r="S2524" s="423">
        <v>0.5</v>
      </c>
      <c r="T2524" s="419">
        <f>ROUND(+(R2524*C2524)*S2524,4)</f>
        <v>0</v>
      </c>
      <c r="U2524" s="419">
        <f>ROUND(+J2524+M2524+T2524,4)</f>
        <v>0</v>
      </c>
      <c r="V2524" s="235"/>
    </row>
    <row r="2525" spans="1:22" ht="15.75" x14ac:dyDescent="0.25">
      <c r="A2525" s="231"/>
      <c r="B2525" s="232"/>
      <c r="C2525" s="400"/>
      <c r="D2525" s="233"/>
      <c r="E2525" s="405"/>
      <c r="F2525" s="405"/>
      <c r="G2525" s="405"/>
      <c r="H2525" s="408">
        <f>ROUND(+E2525+F2525+G2525,4)</f>
        <v>0</v>
      </c>
      <c r="I2525" s="234"/>
      <c r="J2525" s="411"/>
      <c r="K2525" s="411"/>
      <c r="L2525" s="414">
        <v>0.1</v>
      </c>
      <c r="M2525" s="414">
        <f>ROUND(+L2525*C2525,4)</f>
        <v>0</v>
      </c>
      <c r="N2525" s="414"/>
      <c r="O2525" s="414"/>
      <c r="P2525" s="414"/>
      <c r="Q2525" s="419">
        <f>ROUND(+N2525+O2525+P2525,4)</f>
        <v>0</v>
      </c>
      <c r="R2525" s="419">
        <f>ROUND(IF(+Q2525-H2525&lt;=0,0,Q2525-H2525),4)</f>
        <v>0</v>
      </c>
      <c r="S2525" s="423">
        <v>0.5</v>
      </c>
      <c r="T2525" s="419">
        <f>ROUND(+(R2525*C2525)*S2525,4)</f>
        <v>0</v>
      </c>
      <c r="U2525" s="419">
        <f>ROUND(+J2525+M2525+T2525,4)</f>
        <v>0</v>
      </c>
      <c r="V2525" s="235"/>
    </row>
    <row r="2526" spans="1:22" ht="15.75" x14ac:dyDescent="0.25">
      <c r="A2526" s="231"/>
      <c r="B2526" s="232"/>
      <c r="C2526" s="400"/>
      <c r="D2526" s="233"/>
      <c r="E2526" s="405"/>
      <c r="F2526" s="405"/>
      <c r="G2526" s="405"/>
      <c r="H2526" s="408">
        <f>ROUND(+E2526+F2526+G2526,4)</f>
        <v>0</v>
      </c>
      <c r="I2526" s="234"/>
      <c r="J2526" s="411"/>
      <c r="K2526" s="411"/>
      <c r="L2526" s="414">
        <v>0.1</v>
      </c>
      <c r="M2526" s="414">
        <f>ROUND(+L2526*C2526,4)</f>
        <v>0</v>
      </c>
      <c r="N2526" s="414"/>
      <c r="O2526" s="414"/>
      <c r="P2526" s="414"/>
      <c r="Q2526" s="419">
        <f>ROUND(+N2526+O2526+P2526,4)</f>
        <v>0</v>
      </c>
      <c r="R2526" s="419">
        <f>ROUND(IF(+Q2526-H2526&lt;=0,0,Q2526-H2526),4)</f>
        <v>0</v>
      </c>
      <c r="S2526" s="423">
        <v>0.5</v>
      </c>
      <c r="T2526" s="419">
        <f>ROUND(+(R2526*C2526)*S2526,4)</f>
        <v>0</v>
      </c>
      <c r="U2526" s="419">
        <f>ROUND(+J2526+M2526+T2526,4)</f>
        <v>0</v>
      </c>
      <c r="V2526" s="235"/>
    </row>
    <row r="2527" spans="1:22" ht="15.75" x14ac:dyDescent="0.25">
      <c r="A2527" s="231"/>
      <c r="B2527" s="232"/>
      <c r="C2527" s="400"/>
      <c r="D2527" s="233"/>
      <c r="E2527" s="405"/>
      <c r="F2527" s="405"/>
      <c r="G2527" s="405"/>
      <c r="H2527" s="408">
        <f>ROUND(+E2527+F2527+G2527,4)</f>
        <v>0</v>
      </c>
      <c r="I2527" s="234"/>
      <c r="J2527" s="411"/>
      <c r="K2527" s="411"/>
      <c r="L2527" s="414">
        <v>0.1</v>
      </c>
      <c r="M2527" s="414">
        <f>ROUND(+L2527*C2527,4)</f>
        <v>0</v>
      </c>
      <c r="N2527" s="414"/>
      <c r="O2527" s="414"/>
      <c r="P2527" s="414"/>
      <c r="Q2527" s="419">
        <f>ROUND(+N2527+O2527+P2527,4)</f>
        <v>0</v>
      </c>
      <c r="R2527" s="419">
        <f>ROUND(IF(+Q2527-H2527&lt;=0,0,Q2527-H2527),4)</f>
        <v>0</v>
      </c>
      <c r="S2527" s="423">
        <v>0.5</v>
      </c>
      <c r="T2527" s="419">
        <f>ROUND(+(R2527*C2527)*S2527,4)</f>
        <v>0</v>
      </c>
      <c r="U2527" s="419">
        <f>ROUND(+J2527+M2527+T2527,4)</f>
        <v>0</v>
      </c>
      <c r="V2527" s="235"/>
    </row>
    <row r="2528" spans="1:22" ht="15.75" x14ac:dyDescent="0.25">
      <c r="A2528" s="231"/>
      <c r="B2528" s="232"/>
      <c r="C2528" s="400"/>
      <c r="D2528" s="233"/>
      <c r="E2528" s="405"/>
      <c r="F2528" s="405"/>
      <c r="G2528" s="405"/>
      <c r="H2528" s="408">
        <f>ROUND(+E2528+F2528+G2528,4)</f>
        <v>0</v>
      </c>
      <c r="I2528" s="234"/>
      <c r="J2528" s="411"/>
      <c r="K2528" s="411"/>
      <c r="L2528" s="414">
        <v>0.1</v>
      </c>
      <c r="M2528" s="414">
        <f>ROUND(+L2528*C2528,4)</f>
        <v>0</v>
      </c>
      <c r="N2528" s="414"/>
      <c r="O2528" s="414"/>
      <c r="P2528" s="414"/>
      <c r="Q2528" s="419">
        <f>ROUND(+N2528+O2528+P2528,4)</f>
        <v>0</v>
      </c>
      <c r="R2528" s="419">
        <f>ROUND(IF(+Q2528-H2528&lt;=0,0,Q2528-H2528),4)</f>
        <v>0</v>
      </c>
      <c r="S2528" s="423">
        <v>0.5</v>
      </c>
      <c r="T2528" s="419">
        <f>ROUND(+(R2528*C2528)*S2528,4)</f>
        <v>0</v>
      </c>
      <c r="U2528" s="419">
        <f>ROUND(+J2528+M2528+T2528,4)</f>
        <v>0</v>
      </c>
      <c r="V2528" s="235"/>
    </row>
    <row r="2529" spans="1:22" ht="15.75" x14ac:dyDescent="0.25">
      <c r="A2529" s="231"/>
      <c r="B2529" s="232"/>
      <c r="C2529" s="400"/>
      <c r="D2529" s="233"/>
      <c r="E2529" s="405"/>
      <c r="F2529" s="405"/>
      <c r="G2529" s="405"/>
      <c r="H2529" s="408">
        <f>ROUND(+E2529+F2529+G2529,4)</f>
        <v>0</v>
      </c>
      <c r="I2529" s="234"/>
      <c r="J2529" s="411"/>
      <c r="K2529" s="411"/>
      <c r="L2529" s="414">
        <v>0.1</v>
      </c>
      <c r="M2529" s="414">
        <f>ROUND(+L2529*C2529,4)</f>
        <v>0</v>
      </c>
      <c r="N2529" s="414"/>
      <c r="O2529" s="414"/>
      <c r="P2529" s="414"/>
      <c r="Q2529" s="419">
        <f>ROUND(+N2529+O2529+P2529,4)</f>
        <v>0</v>
      </c>
      <c r="R2529" s="419">
        <f>ROUND(IF(+Q2529-H2529&lt;=0,0,Q2529-H2529),4)</f>
        <v>0</v>
      </c>
      <c r="S2529" s="423">
        <v>0.5</v>
      </c>
      <c r="T2529" s="419">
        <f>ROUND(+(R2529*C2529)*S2529,4)</f>
        <v>0</v>
      </c>
      <c r="U2529" s="419">
        <f>ROUND(+J2529+M2529+T2529,4)</f>
        <v>0</v>
      </c>
      <c r="V2529" s="235"/>
    </row>
    <row r="2530" spans="1:22" ht="15.75" x14ac:dyDescent="0.25">
      <c r="A2530" s="231"/>
      <c r="B2530" s="232"/>
      <c r="C2530" s="400"/>
      <c r="D2530" s="233"/>
      <c r="E2530" s="405"/>
      <c r="F2530" s="405"/>
      <c r="G2530" s="405"/>
      <c r="H2530" s="408">
        <f>ROUND(+E2530+F2530+G2530,4)</f>
        <v>0</v>
      </c>
      <c r="I2530" s="234"/>
      <c r="J2530" s="411"/>
      <c r="K2530" s="411"/>
      <c r="L2530" s="414">
        <v>0.1</v>
      </c>
      <c r="M2530" s="414">
        <f>ROUND(+L2530*C2530,4)</f>
        <v>0</v>
      </c>
      <c r="N2530" s="414"/>
      <c r="O2530" s="414"/>
      <c r="P2530" s="414"/>
      <c r="Q2530" s="419">
        <f>ROUND(+N2530+O2530+P2530,4)</f>
        <v>0</v>
      </c>
      <c r="R2530" s="419">
        <f>ROUND(IF(+Q2530-H2530&lt;=0,0,Q2530-H2530),4)</f>
        <v>0</v>
      </c>
      <c r="S2530" s="423">
        <v>0.5</v>
      </c>
      <c r="T2530" s="419">
        <f>ROUND(+(R2530*C2530)*S2530,4)</f>
        <v>0</v>
      </c>
      <c r="U2530" s="419">
        <f>ROUND(+J2530+M2530+T2530,4)</f>
        <v>0</v>
      </c>
      <c r="V2530" s="235"/>
    </row>
    <row r="2531" spans="1:22" ht="15.75" x14ac:dyDescent="0.25">
      <c r="A2531" s="231"/>
      <c r="B2531" s="232"/>
      <c r="C2531" s="400"/>
      <c r="D2531" s="233"/>
      <c r="E2531" s="405"/>
      <c r="F2531" s="405"/>
      <c r="G2531" s="405"/>
      <c r="H2531" s="408">
        <f>ROUND(+E2531+F2531+G2531,4)</f>
        <v>0</v>
      </c>
      <c r="I2531" s="234"/>
      <c r="J2531" s="411"/>
      <c r="K2531" s="411"/>
      <c r="L2531" s="414">
        <v>0.1</v>
      </c>
      <c r="M2531" s="414">
        <f>ROUND(+L2531*C2531,4)</f>
        <v>0</v>
      </c>
      <c r="N2531" s="414"/>
      <c r="O2531" s="414"/>
      <c r="P2531" s="414"/>
      <c r="Q2531" s="419">
        <f>ROUND(+N2531+O2531+P2531,4)</f>
        <v>0</v>
      </c>
      <c r="R2531" s="419">
        <f>ROUND(IF(+Q2531-H2531&lt;=0,0,Q2531-H2531),4)</f>
        <v>0</v>
      </c>
      <c r="S2531" s="423">
        <v>0.5</v>
      </c>
      <c r="T2531" s="419">
        <f>ROUND(+(R2531*C2531)*S2531,4)</f>
        <v>0</v>
      </c>
      <c r="U2531" s="419">
        <f>ROUND(+J2531+M2531+T2531,4)</f>
        <v>0</v>
      </c>
      <c r="V2531" s="235"/>
    </row>
    <row r="2532" spans="1:22" ht="15.75" x14ac:dyDescent="0.25">
      <c r="A2532" s="231"/>
      <c r="B2532" s="232"/>
      <c r="C2532" s="400"/>
      <c r="D2532" s="233"/>
      <c r="E2532" s="405"/>
      <c r="F2532" s="405"/>
      <c r="G2532" s="405"/>
      <c r="H2532" s="408">
        <f>ROUND(+E2532+F2532+G2532,4)</f>
        <v>0</v>
      </c>
      <c r="I2532" s="234"/>
      <c r="J2532" s="411"/>
      <c r="K2532" s="411"/>
      <c r="L2532" s="414">
        <v>0.1</v>
      </c>
      <c r="M2532" s="414">
        <f>ROUND(+L2532*C2532,4)</f>
        <v>0</v>
      </c>
      <c r="N2532" s="414"/>
      <c r="O2532" s="414"/>
      <c r="P2532" s="414"/>
      <c r="Q2532" s="419">
        <f>ROUND(+N2532+O2532+P2532,4)</f>
        <v>0</v>
      </c>
      <c r="R2532" s="419">
        <f>ROUND(IF(+Q2532-H2532&lt;=0,0,Q2532-H2532),4)</f>
        <v>0</v>
      </c>
      <c r="S2532" s="423">
        <v>0.5</v>
      </c>
      <c r="T2532" s="419">
        <f>ROUND(+(R2532*C2532)*S2532,4)</f>
        <v>0</v>
      </c>
      <c r="U2532" s="419">
        <f>ROUND(+J2532+M2532+T2532,4)</f>
        <v>0</v>
      </c>
      <c r="V2532" s="235"/>
    </row>
    <row r="2533" spans="1:22" ht="15.75" x14ac:dyDescent="0.25">
      <c r="A2533" s="231"/>
      <c r="B2533" s="232"/>
      <c r="C2533" s="400"/>
      <c r="D2533" s="233"/>
      <c r="E2533" s="405"/>
      <c r="F2533" s="405"/>
      <c r="G2533" s="405"/>
      <c r="H2533" s="408">
        <f>ROUND(+E2533+F2533+G2533,4)</f>
        <v>0</v>
      </c>
      <c r="I2533" s="234"/>
      <c r="J2533" s="411"/>
      <c r="K2533" s="411"/>
      <c r="L2533" s="414">
        <v>0.1</v>
      </c>
      <c r="M2533" s="414">
        <f>ROUND(+L2533*C2533,4)</f>
        <v>0</v>
      </c>
      <c r="N2533" s="414"/>
      <c r="O2533" s="414"/>
      <c r="P2533" s="414"/>
      <c r="Q2533" s="419">
        <f>ROUND(+N2533+O2533+P2533,4)</f>
        <v>0</v>
      </c>
      <c r="R2533" s="419">
        <f>ROUND(IF(+Q2533-H2533&lt;=0,0,Q2533-H2533),4)</f>
        <v>0</v>
      </c>
      <c r="S2533" s="423">
        <v>0.5</v>
      </c>
      <c r="T2533" s="419">
        <f>ROUND(+(R2533*C2533)*S2533,4)</f>
        <v>0</v>
      </c>
      <c r="U2533" s="419">
        <f>ROUND(+J2533+M2533+T2533,4)</f>
        <v>0</v>
      </c>
      <c r="V2533" s="235"/>
    </row>
    <row r="2534" spans="1:22" ht="15.75" x14ac:dyDescent="0.25">
      <c r="A2534" s="231"/>
      <c r="B2534" s="232"/>
      <c r="C2534" s="400"/>
      <c r="D2534" s="233"/>
      <c r="E2534" s="405"/>
      <c r="F2534" s="405"/>
      <c r="G2534" s="405"/>
      <c r="H2534" s="408">
        <f>ROUND(+E2534+F2534+G2534,4)</f>
        <v>0</v>
      </c>
      <c r="I2534" s="234"/>
      <c r="J2534" s="411"/>
      <c r="K2534" s="411"/>
      <c r="L2534" s="414">
        <v>0.1</v>
      </c>
      <c r="M2534" s="414">
        <f>ROUND(+L2534*C2534,4)</f>
        <v>0</v>
      </c>
      <c r="N2534" s="414"/>
      <c r="O2534" s="414"/>
      <c r="P2534" s="414"/>
      <c r="Q2534" s="419">
        <f>ROUND(+N2534+O2534+P2534,4)</f>
        <v>0</v>
      </c>
      <c r="R2534" s="419">
        <f>ROUND(IF(+Q2534-H2534&lt;=0,0,Q2534-H2534),4)</f>
        <v>0</v>
      </c>
      <c r="S2534" s="423">
        <v>0.5</v>
      </c>
      <c r="T2534" s="419">
        <f>ROUND(+(R2534*C2534)*S2534,4)</f>
        <v>0</v>
      </c>
      <c r="U2534" s="419">
        <f>ROUND(+J2534+M2534+T2534,4)</f>
        <v>0</v>
      </c>
      <c r="V2534" s="235"/>
    </row>
    <row r="2535" spans="1:22" ht="15.75" x14ac:dyDescent="0.25">
      <c r="A2535" s="231"/>
      <c r="B2535" s="232"/>
      <c r="C2535" s="400"/>
      <c r="D2535" s="233"/>
      <c r="E2535" s="405"/>
      <c r="F2535" s="405"/>
      <c r="G2535" s="405"/>
      <c r="H2535" s="408">
        <f>ROUND(+E2535+F2535+G2535,4)</f>
        <v>0</v>
      </c>
      <c r="I2535" s="234"/>
      <c r="J2535" s="411"/>
      <c r="K2535" s="411"/>
      <c r="L2535" s="414">
        <v>0.1</v>
      </c>
      <c r="M2535" s="414">
        <f>ROUND(+L2535*C2535,4)</f>
        <v>0</v>
      </c>
      <c r="N2535" s="414"/>
      <c r="O2535" s="414"/>
      <c r="P2535" s="414"/>
      <c r="Q2535" s="419">
        <f>ROUND(+N2535+O2535+P2535,4)</f>
        <v>0</v>
      </c>
      <c r="R2535" s="419">
        <f>ROUND(IF(+Q2535-H2535&lt;=0,0,Q2535-H2535),4)</f>
        <v>0</v>
      </c>
      <c r="S2535" s="423">
        <v>0.5</v>
      </c>
      <c r="T2535" s="419">
        <f>ROUND(+(R2535*C2535)*S2535,4)</f>
        <v>0</v>
      </c>
      <c r="U2535" s="419">
        <f>ROUND(+J2535+M2535+T2535,4)</f>
        <v>0</v>
      </c>
      <c r="V2535" s="235"/>
    </row>
    <row r="2536" spans="1:22" ht="15.75" x14ac:dyDescent="0.25">
      <c r="A2536" s="231"/>
      <c r="B2536" s="232"/>
      <c r="C2536" s="400"/>
      <c r="D2536" s="233"/>
      <c r="E2536" s="405"/>
      <c r="F2536" s="405"/>
      <c r="G2536" s="405"/>
      <c r="H2536" s="408">
        <f>ROUND(+E2536+F2536+G2536,4)</f>
        <v>0</v>
      </c>
      <c r="I2536" s="234"/>
      <c r="J2536" s="411"/>
      <c r="K2536" s="411"/>
      <c r="L2536" s="414">
        <v>0.1</v>
      </c>
      <c r="M2536" s="414">
        <f>ROUND(+L2536*C2536,4)</f>
        <v>0</v>
      </c>
      <c r="N2536" s="414"/>
      <c r="O2536" s="414"/>
      <c r="P2536" s="414"/>
      <c r="Q2536" s="419">
        <f>ROUND(+N2536+O2536+P2536,4)</f>
        <v>0</v>
      </c>
      <c r="R2536" s="419">
        <f>ROUND(IF(+Q2536-H2536&lt;=0,0,Q2536-H2536),4)</f>
        <v>0</v>
      </c>
      <c r="S2536" s="423">
        <v>0.5</v>
      </c>
      <c r="T2536" s="419">
        <f>ROUND(+(R2536*C2536)*S2536,4)</f>
        <v>0</v>
      </c>
      <c r="U2536" s="419">
        <f>ROUND(+J2536+M2536+T2536,4)</f>
        <v>0</v>
      </c>
      <c r="V2536" s="235"/>
    </row>
    <row r="2537" spans="1:22" ht="15.75" x14ac:dyDescent="0.25">
      <c r="A2537" s="231"/>
      <c r="B2537" s="232"/>
      <c r="C2537" s="400"/>
      <c r="D2537" s="233"/>
      <c r="E2537" s="405"/>
      <c r="F2537" s="405"/>
      <c r="G2537" s="405"/>
      <c r="H2537" s="408">
        <f>ROUND(+E2537+F2537+G2537,4)</f>
        <v>0</v>
      </c>
      <c r="I2537" s="234"/>
      <c r="J2537" s="411"/>
      <c r="K2537" s="411"/>
      <c r="L2537" s="414">
        <v>0.1</v>
      </c>
      <c r="M2537" s="414">
        <f>ROUND(+L2537*C2537,4)</f>
        <v>0</v>
      </c>
      <c r="N2537" s="414"/>
      <c r="O2537" s="414"/>
      <c r="P2537" s="414"/>
      <c r="Q2537" s="419">
        <f>ROUND(+N2537+O2537+P2537,4)</f>
        <v>0</v>
      </c>
      <c r="R2537" s="419">
        <f>ROUND(IF(+Q2537-H2537&lt;=0,0,Q2537-H2537),4)</f>
        <v>0</v>
      </c>
      <c r="S2537" s="423">
        <v>0.5</v>
      </c>
      <c r="T2537" s="419">
        <f>ROUND(+(R2537*C2537)*S2537,4)</f>
        <v>0</v>
      </c>
      <c r="U2537" s="419">
        <f>ROUND(+J2537+M2537+T2537,4)</f>
        <v>0</v>
      </c>
      <c r="V2537" s="235"/>
    </row>
    <row r="2538" spans="1:22" ht="15.75" x14ac:dyDescent="0.25">
      <c r="A2538" s="231"/>
      <c r="B2538" s="232"/>
      <c r="C2538" s="400"/>
      <c r="D2538" s="233"/>
      <c r="E2538" s="405"/>
      <c r="F2538" s="405"/>
      <c r="G2538" s="405"/>
      <c r="H2538" s="408">
        <f>ROUND(+E2538+F2538+G2538,4)</f>
        <v>0</v>
      </c>
      <c r="I2538" s="234"/>
      <c r="J2538" s="411"/>
      <c r="K2538" s="411"/>
      <c r="L2538" s="414">
        <v>0.1</v>
      </c>
      <c r="M2538" s="414">
        <f>ROUND(+L2538*C2538,4)</f>
        <v>0</v>
      </c>
      <c r="N2538" s="414"/>
      <c r="O2538" s="414"/>
      <c r="P2538" s="414"/>
      <c r="Q2538" s="419">
        <f>ROUND(+N2538+O2538+P2538,4)</f>
        <v>0</v>
      </c>
      <c r="R2538" s="419">
        <f>ROUND(IF(+Q2538-H2538&lt;=0,0,Q2538-H2538),4)</f>
        <v>0</v>
      </c>
      <c r="S2538" s="423">
        <v>0.5</v>
      </c>
      <c r="T2538" s="419">
        <f>ROUND(+(R2538*C2538)*S2538,4)</f>
        <v>0</v>
      </c>
      <c r="U2538" s="419">
        <f>ROUND(+J2538+M2538+T2538,4)</f>
        <v>0</v>
      </c>
      <c r="V2538" s="235"/>
    </row>
    <row r="2539" spans="1:22" ht="15.75" x14ac:dyDescent="0.25">
      <c r="A2539" s="231"/>
      <c r="B2539" s="232"/>
      <c r="C2539" s="400"/>
      <c r="D2539" s="233"/>
      <c r="E2539" s="405"/>
      <c r="F2539" s="405"/>
      <c r="G2539" s="405"/>
      <c r="H2539" s="408">
        <f>ROUND(+E2539+F2539+G2539,4)</f>
        <v>0</v>
      </c>
      <c r="I2539" s="234"/>
      <c r="J2539" s="411"/>
      <c r="K2539" s="411"/>
      <c r="L2539" s="414">
        <v>0.1</v>
      </c>
      <c r="M2539" s="414">
        <f>ROUND(+L2539*C2539,4)</f>
        <v>0</v>
      </c>
      <c r="N2539" s="414"/>
      <c r="O2539" s="414"/>
      <c r="P2539" s="414"/>
      <c r="Q2539" s="419">
        <f>ROUND(+N2539+O2539+P2539,4)</f>
        <v>0</v>
      </c>
      <c r="R2539" s="419">
        <f>ROUND(IF(+Q2539-H2539&lt;=0,0,Q2539-H2539),4)</f>
        <v>0</v>
      </c>
      <c r="S2539" s="423">
        <v>0.5</v>
      </c>
      <c r="T2539" s="419">
        <f>ROUND(+(R2539*C2539)*S2539,4)</f>
        <v>0</v>
      </c>
      <c r="U2539" s="419">
        <f>ROUND(+J2539+M2539+T2539,4)</f>
        <v>0</v>
      </c>
      <c r="V2539" s="235"/>
    </row>
    <row r="2540" spans="1:22" ht="15.75" x14ac:dyDescent="0.25">
      <c r="A2540" s="231"/>
      <c r="B2540" s="232"/>
      <c r="C2540" s="400"/>
      <c r="D2540" s="233"/>
      <c r="E2540" s="405"/>
      <c r="F2540" s="405"/>
      <c r="G2540" s="405"/>
      <c r="H2540" s="408">
        <f>ROUND(+E2540+F2540+G2540,4)</f>
        <v>0</v>
      </c>
      <c r="I2540" s="234"/>
      <c r="J2540" s="411"/>
      <c r="K2540" s="411"/>
      <c r="L2540" s="414">
        <v>0.1</v>
      </c>
      <c r="M2540" s="414">
        <f>ROUND(+L2540*C2540,4)</f>
        <v>0</v>
      </c>
      <c r="N2540" s="414"/>
      <c r="O2540" s="414"/>
      <c r="P2540" s="414"/>
      <c r="Q2540" s="419">
        <f>ROUND(+N2540+O2540+P2540,4)</f>
        <v>0</v>
      </c>
      <c r="R2540" s="419">
        <f>ROUND(IF(+Q2540-H2540&lt;=0,0,Q2540-H2540),4)</f>
        <v>0</v>
      </c>
      <c r="S2540" s="423">
        <v>0.5</v>
      </c>
      <c r="T2540" s="419">
        <f>ROUND(+(R2540*C2540)*S2540,4)</f>
        <v>0</v>
      </c>
      <c r="U2540" s="419">
        <f>ROUND(+J2540+M2540+T2540,4)</f>
        <v>0</v>
      </c>
      <c r="V2540" s="235"/>
    </row>
    <row r="2541" spans="1:22" ht="15.75" x14ac:dyDescent="0.25">
      <c r="A2541" s="231"/>
      <c r="B2541" s="232"/>
      <c r="C2541" s="400"/>
      <c r="D2541" s="233"/>
      <c r="E2541" s="405"/>
      <c r="F2541" s="405"/>
      <c r="G2541" s="405"/>
      <c r="H2541" s="408">
        <f>ROUND(+E2541+F2541+G2541,4)</f>
        <v>0</v>
      </c>
      <c r="I2541" s="234"/>
      <c r="J2541" s="411"/>
      <c r="K2541" s="411"/>
      <c r="L2541" s="414">
        <v>0.1</v>
      </c>
      <c r="M2541" s="414">
        <f>ROUND(+L2541*C2541,4)</f>
        <v>0</v>
      </c>
      <c r="N2541" s="414"/>
      <c r="O2541" s="414"/>
      <c r="P2541" s="414"/>
      <c r="Q2541" s="419">
        <f>ROUND(+N2541+O2541+P2541,4)</f>
        <v>0</v>
      </c>
      <c r="R2541" s="419">
        <f>ROUND(IF(+Q2541-H2541&lt;=0,0,Q2541-H2541),4)</f>
        <v>0</v>
      </c>
      <c r="S2541" s="423">
        <v>0.5</v>
      </c>
      <c r="T2541" s="419">
        <f>ROUND(+(R2541*C2541)*S2541,4)</f>
        <v>0</v>
      </c>
      <c r="U2541" s="419">
        <f>ROUND(+J2541+M2541+T2541,4)</f>
        <v>0</v>
      </c>
      <c r="V2541" s="235"/>
    </row>
    <row r="2542" spans="1:22" ht="15.75" x14ac:dyDescent="0.25">
      <c r="A2542" s="231"/>
      <c r="B2542" s="232"/>
      <c r="C2542" s="400"/>
      <c r="D2542" s="233"/>
      <c r="E2542" s="405"/>
      <c r="F2542" s="405"/>
      <c r="G2542" s="405"/>
      <c r="H2542" s="408">
        <f>ROUND(+E2542+F2542+G2542,4)</f>
        <v>0</v>
      </c>
      <c r="I2542" s="234"/>
      <c r="J2542" s="411"/>
      <c r="K2542" s="411"/>
      <c r="L2542" s="414">
        <v>0.1</v>
      </c>
      <c r="M2542" s="414">
        <f>ROUND(+L2542*C2542,4)</f>
        <v>0</v>
      </c>
      <c r="N2542" s="414"/>
      <c r="O2542" s="414"/>
      <c r="P2542" s="414"/>
      <c r="Q2542" s="419">
        <f>ROUND(+N2542+O2542+P2542,4)</f>
        <v>0</v>
      </c>
      <c r="R2542" s="419">
        <f>ROUND(IF(+Q2542-H2542&lt;=0,0,Q2542-H2542),4)</f>
        <v>0</v>
      </c>
      <c r="S2542" s="423">
        <v>0.5</v>
      </c>
      <c r="T2542" s="419">
        <f>ROUND(+(R2542*C2542)*S2542,4)</f>
        <v>0</v>
      </c>
      <c r="U2542" s="419">
        <f>ROUND(+J2542+M2542+T2542,4)</f>
        <v>0</v>
      </c>
      <c r="V2542" s="235"/>
    </row>
    <row r="2543" spans="1:22" ht="15.75" x14ac:dyDescent="0.25">
      <c r="A2543" s="231"/>
      <c r="B2543" s="232"/>
      <c r="C2543" s="400"/>
      <c r="D2543" s="233"/>
      <c r="E2543" s="405"/>
      <c r="F2543" s="405"/>
      <c r="G2543" s="405"/>
      <c r="H2543" s="408">
        <f>ROUND(+E2543+F2543+G2543,4)</f>
        <v>0</v>
      </c>
      <c r="I2543" s="234"/>
      <c r="J2543" s="411"/>
      <c r="K2543" s="411"/>
      <c r="L2543" s="414">
        <v>0.1</v>
      </c>
      <c r="M2543" s="414">
        <f>ROUND(+L2543*C2543,4)</f>
        <v>0</v>
      </c>
      <c r="N2543" s="414"/>
      <c r="O2543" s="414"/>
      <c r="P2543" s="414"/>
      <c r="Q2543" s="419">
        <f>ROUND(+N2543+O2543+P2543,4)</f>
        <v>0</v>
      </c>
      <c r="R2543" s="419">
        <f>ROUND(IF(+Q2543-H2543&lt;=0,0,Q2543-H2543),4)</f>
        <v>0</v>
      </c>
      <c r="S2543" s="423">
        <v>0.5</v>
      </c>
      <c r="T2543" s="419">
        <f>ROUND(+(R2543*C2543)*S2543,4)</f>
        <v>0</v>
      </c>
      <c r="U2543" s="419">
        <f>ROUND(+J2543+M2543+T2543,4)</f>
        <v>0</v>
      </c>
      <c r="V2543" s="235"/>
    </row>
    <row r="2544" spans="1:22" ht="15.75" x14ac:dyDescent="0.25">
      <c r="A2544" s="231"/>
      <c r="B2544" s="232"/>
      <c r="C2544" s="400"/>
      <c r="D2544" s="233"/>
      <c r="E2544" s="405"/>
      <c r="F2544" s="405"/>
      <c r="G2544" s="405"/>
      <c r="H2544" s="408">
        <f>ROUND(+E2544+F2544+G2544,4)</f>
        <v>0</v>
      </c>
      <c r="I2544" s="234"/>
      <c r="J2544" s="411"/>
      <c r="K2544" s="411"/>
      <c r="L2544" s="414">
        <v>0.1</v>
      </c>
      <c r="M2544" s="414">
        <f>ROUND(+L2544*C2544,4)</f>
        <v>0</v>
      </c>
      <c r="N2544" s="414"/>
      <c r="O2544" s="414"/>
      <c r="P2544" s="414"/>
      <c r="Q2544" s="419">
        <f>ROUND(+N2544+O2544+P2544,4)</f>
        <v>0</v>
      </c>
      <c r="R2544" s="419">
        <f>ROUND(IF(+Q2544-H2544&lt;=0,0,Q2544-H2544),4)</f>
        <v>0</v>
      </c>
      <c r="S2544" s="423">
        <v>0.5</v>
      </c>
      <c r="T2544" s="419">
        <f>ROUND(+(R2544*C2544)*S2544,4)</f>
        <v>0</v>
      </c>
      <c r="U2544" s="419">
        <f>ROUND(+J2544+M2544+T2544,4)</f>
        <v>0</v>
      </c>
      <c r="V2544" s="235"/>
    </row>
    <row r="2545" spans="1:22" ht="15.75" x14ac:dyDescent="0.25">
      <c r="A2545" s="231"/>
      <c r="B2545" s="232"/>
      <c r="C2545" s="400"/>
      <c r="D2545" s="233"/>
      <c r="E2545" s="405"/>
      <c r="F2545" s="405"/>
      <c r="G2545" s="405"/>
      <c r="H2545" s="408">
        <f>ROUND(+E2545+F2545+G2545,4)</f>
        <v>0</v>
      </c>
      <c r="I2545" s="234"/>
      <c r="J2545" s="411"/>
      <c r="K2545" s="411"/>
      <c r="L2545" s="414">
        <v>0.1</v>
      </c>
      <c r="M2545" s="414">
        <f>ROUND(+L2545*C2545,4)</f>
        <v>0</v>
      </c>
      <c r="N2545" s="414"/>
      <c r="O2545" s="414"/>
      <c r="P2545" s="414"/>
      <c r="Q2545" s="419">
        <f>ROUND(+N2545+O2545+P2545,4)</f>
        <v>0</v>
      </c>
      <c r="R2545" s="419">
        <f>ROUND(IF(+Q2545-H2545&lt;=0,0,Q2545-H2545),4)</f>
        <v>0</v>
      </c>
      <c r="S2545" s="423">
        <v>0.5</v>
      </c>
      <c r="T2545" s="419">
        <f>ROUND(+(R2545*C2545)*S2545,4)</f>
        <v>0</v>
      </c>
      <c r="U2545" s="419">
        <f>ROUND(+J2545+M2545+T2545,4)</f>
        <v>0</v>
      </c>
      <c r="V2545" s="235"/>
    </row>
    <row r="2546" spans="1:22" ht="15.75" x14ac:dyDescent="0.25">
      <c r="A2546" s="231"/>
      <c r="B2546" s="232"/>
      <c r="C2546" s="400"/>
      <c r="D2546" s="233"/>
      <c r="E2546" s="405"/>
      <c r="F2546" s="405"/>
      <c r="G2546" s="405"/>
      <c r="H2546" s="408">
        <f>ROUND(+E2546+F2546+G2546,4)</f>
        <v>0</v>
      </c>
      <c r="I2546" s="234"/>
      <c r="J2546" s="411"/>
      <c r="K2546" s="411"/>
      <c r="L2546" s="414">
        <v>0.1</v>
      </c>
      <c r="M2546" s="414">
        <f>ROUND(+L2546*C2546,4)</f>
        <v>0</v>
      </c>
      <c r="N2546" s="414"/>
      <c r="O2546" s="414"/>
      <c r="P2546" s="414"/>
      <c r="Q2546" s="419">
        <f>ROUND(+N2546+O2546+P2546,4)</f>
        <v>0</v>
      </c>
      <c r="R2546" s="419">
        <f>ROUND(IF(+Q2546-H2546&lt;=0,0,Q2546-H2546),4)</f>
        <v>0</v>
      </c>
      <c r="S2546" s="423">
        <v>0.5</v>
      </c>
      <c r="T2546" s="419">
        <f>ROUND(+(R2546*C2546)*S2546,4)</f>
        <v>0</v>
      </c>
      <c r="U2546" s="419">
        <f>ROUND(+J2546+M2546+T2546,4)</f>
        <v>0</v>
      </c>
      <c r="V2546" s="235"/>
    </row>
    <row r="2547" spans="1:22" ht="15.75" x14ac:dyDescent="0.25">
      <c r="A2547" s="231"/>
      <c r="B2547" s="232"/>
      <c r="C2547" s="400"/>
      <c r="D2547" s="233"/>
      <c r="E2547" s="405"/>
      <c r="F2547" s="405"/>
      <c r="G2547" s="405"/>
      <c r="H2547" s="408">
        <f>ROUND(+E2547+F2547+G2547,4)</f>
        <v>0</v>
      </c>
      <c r="I2547" s="234"/>
      <c r="J2547" s="411"/>
      <c r="K2547" s="411"/>
      <c r="L2547" s="414">
        <v>0.1</v>
      </c>
      <c r="M2547" s="414">
        <f>ROUND(+L2547*C2547,4)</f>
        <v>0</v>
      </c>
      <c r="N2547" s="414"/>
      <c r="O2547" s="414"/>
      <c r="P2547" s="414"/>
      <c r="Q2547" s="419">
        <f>ROUND(+N2547+O2547+P2547,4)</f>
        <v>0</v>
      </c>
      <c r="R2547" s="419">
        <f>ROUND(IF(+Q2547-H2547&lt;=0,0,Q2547-H2547),4)</f>
        <v>0</v>
      </c>
      <c r="S2547" s="423">
        <v>0.5</v>
      </c>
      <c r="T2547" s="419">
        <f>ROUND(+(R2547*C2547)*S2547,4)</f>
        <v>0</v>
      </c>
      <c r="U2547" s="419">
        <f>ROUND(+J2547+M2547+T2547,4)</f>
        <v>0</v>
      </c>
      <c r="V2547" s="235"/>
    </row>
    <row r="2548" spans="1:22" ht="15.75" x14ac:dyDescent="0.25">
      <c r="A2548" s="231"/>
      <c r="B2548" s="232"/>
      <c r="C2548" s="400"/>
      <c r="D2548" s="233"/>
      <c r="E2548" s="405"/>
      <c r="F2548" s="405"/>
      <c r="G2548" s="405"/>
      <c r="H2548" s="408">
        <f>ROUND(+E2548+F2548+G2548,4)</f>
        <v>0</v>
      </c>
      <c r="I2548" s="234"/>
      <c r="J2548" s="411"/>
      <c r="K2548" s="411"/>
      <c r="L2548" s="414">
        <v>0.1</v>
      </c>
      <c r="M2548" s="414">
        <f>ROUND(+L2548*C2548,4)</f>
        <v>0</v>
      </c>
      <c r="N2548" s="414"/>
      <c r="O2548" s="414"/>
      <c r="P2548" s="414"/>
      <c r="Q2548" s="419">
        <f>ROUND(+N2548+O2548+P2548,4)</f>
        <v>0</v>
      </c>
      <c r="R2548" s="419">
        <f>ROUND(IF(+Q2548-H2548&lt;=0,0,Q2548-H2548),4)</f>
        <v>0</v>
      </c>
      <c r="S2548" s="423">
        <v>0.5</v>
      </c>
      <c r="T2548" s="419">
        <f>ROUND(+(R2548*C2548)*S2548,4)</f>
        <v>0</v>
      </c>
      <c r="U2548" s="419">
        <f>ROUND(+J2548+M2548+T2548,4)</f>
        <v>0</v>
      </c>
      <c r="V2548" s="235"/>
    </row>
    <row r="2549" spans="1:22" ht="15.75" x14ac:dyDescent="0.25">
      <c r="A2549" s="231"/>
      <c r="B2549" s="232"/>
      <c r="C2549" s="400"/>
      <c r="D2549" s="233"/>
      <c r="E2549" s="405"/>
      <c r="F2549" s="405"/>
      <c r="G2549" s="405"/>
      <c r="H2549" s="408">
        <f>ROUND(+E2549+F2549+G2549,4)</f>
        <v>0</v>
      </c>
      <c r="I2549" s="234"/>
      <c r="J2549" s="411"/>
      <c r="K2549" s="411"/>
      <c r="L2549" s="414">
        <v>0.1</v>
      </c>
      <c r="M2549" s="414">
        <f>ROUND(+L2549*C2549,4)</f>
        <v>0</v>
      </c>
      <c r="N2549" s="414"/>
      <c r="O2549" s="414"/>
      <c r="P2549" s="414"/>
      <c r="Q2549" s="419">
        <f>ROUND(+N2549+O2549+P2549,4)</f>
        <v>0</v>
      </c>
      <c r="R2549" s="419">
        <f>ROUND(IF(+Q2549-H2549&lt;=0,0,Q2549-H2549),4)</f>
        <v>0</v>
      </c>
      <c r="S2549" s="423">
        <v>0.5</v>
      </c>
      <c r="T2549" s="419">
        <f>ROUND(+(R2549*C2549)*S2549,4)</f>
        <v>0</v>
      </c>
      <c r="U2549" s="419">
        <f>ROUND(+J2549+M2549+T2549,4)</f>
        <v>0</v>
      </c>
      <c r="V2549" s="235"/>
    </row>
    <row r="2550" spans="1:22" ht="15.75" x14ac:dyDescent="0.25">
      <c r="A2550" s="231"/>
      <c r="B2550" s="232"/>
      <c r="C2550" s="400"/>
      <c r="D2550" s="233"/>
      <c r="E2550" s="405"/>
      <c r="F2550" s="405"/>
      <c r="G2550" s="405"/>
      <c r="H2550" s="408">
        <f>ROUND(+E2550+F2550+G2550,4)</f>
        <v>0</v>
      </c>
      <c r="I2550" s="234"/>
      <c r="J2550" s="411"/>
      <c r="K2550" s="411"/>
      <c r="L2550" s="414">
        <v>0.1</v>
      </c>
      <c r="M2550" s="414">
        <f>ROUND(+L2550*C2550,4)</f>
        <v>0</v>
      </c>
      <c r="N2550" s="414"/>
      <c r="O2550" s="414"/>
      <c r="P2550" s="414"/>
      <c r="Q2550" s="419">
        <f>ROUND(+N2550+O2550+P2550,4)</f>
        <v>0</v>
      </c>
      <c r="R2550" s="419">
        <f>ROUND(IF(+Q2550-H2550&lt;=0,0,Q2550-H2550),4)</f>
        <v>0</v>
      </c>
      <c r="S2550" s="423">
        <v>0.5</v>
      </c>
      <c r="T2550" s="419">
        <f>ROUND(+(R2550*C2550)*S2550,4)</f>
        <v>0</v>
      </c>
      <c r="U2550" s="419">
        <f>ROUND(+J2550+M2550+T2550,4)</f>
        <v>0</v>
      </c>
      <c r="V2550" s="235"/>
    </row>
    <row r="2551" spans="1:22" ht="15.75" x14ac:dyDescent="0.25">
      <c r="A2551" s="231"/>
      <c r="B2551" s="232"/>
      <c r="C2551" s="400"/>
      <c r="D2551" s="233"/>
      <c r="E2551" s="405"/>
      <c r="F2551" s="405"/>
      <c r="G2551" s="405"/>
      <c r="H2551" s="408">
        <f>ROUND(+E2551+F2551+G2551,4)</f>
        <v>0</v>
      </c>
      <c r="I2551" s="234"/>
      <c r="J2551" s="411"/>
      <c r="K2551" s="411"/>
      <c r="L2551" s="414">
        <v>0.1</v>
      </c>
      <c r="M2551" s="414">
        <f>ROUND(+L2551*C2551,4)</f>
        <v>0</v>
      </c>
      <c r="N2551" s="414"/>
      <c r="O2551" s="414"/>
      <c r="P2551" s="414"/>
      <c r="Q2551" s="419">
        <f>ROUND(+N2551+O2551+P2551,4)</f>
        <v>0</v>
      </c>
      <c r="R2551" s="419">
        <f>ROUND(IF(+Q2551-H2551&lt;=0,0,Q2551-H2551),4)</f>
        <v>0</v>
      </c>
      <c r="S2551" s="423">
        <v>0.5</v>
      </c>
      <c r="T2551" s="419">
        <f>ROUND(+(R2551*C2551)*S2551,4)</f>
        <v>0</v>
      </c>
      <c r="U2551" s="419">
        <f>ROUND(+J2551+M2551+T2551,4)</f>
        <v>0</v>
      </c>
      <c r="V2551" s="235"/>
    </row>
    <row r="2552" spans="1:22" ht="15.75" x14ac:dyDescent="0.25">
      <c r="A2552" s="231"/>
      <c r="B2552" s="232"/>
      <c r="C2552" s="400"/>
      <c r="D2552" s="233"/>
      <c r="E2552" s="405"/>
      <c r="F2552" s="405"/>
      <c r="G2552" s="405"/>
      <c r="H2552" s="408">
        <f>ROUND(+E2552+F2552+G2552,4)</f>
        <v>0</v>
      </c>
      <c r="I2552" s="234"/>
      <c r="J2552" s="411"/>
      <c r="K2552" s="411"/>
      <c r="L2552" s="414">
        <v>0.1</v>
      </c>
      <c r="M2552" s="414">
        <f>ROUND(+L2552*C2552,4)</f>
        <v>0</v>
      </c>
      <c r="N2552" s="414"/>
      <c r="O2552" s="414"/>
      <c r="P2552" s="414"/>
      <c r="Q2552" s="419">
        <f>ROUND(+N2552+O2552+P2552,4)</f>
        <v>0</v>
      </c>
      <c r="R2552" s="419">
        <f>ROUND(IF(+Q2552-H2552&lt;=0,0,Q2552-H2552),4)</f>
        <v>0</v>
      </c>
      <c r="S2552" s="423">
        <v>0.5</v>
      </c>
      <c r="T2552" s="419">
        <f>ROUND(+(R2552*C2552)*S2552,4)</f>
        <v>0</v>
      </c>
      <c r="U2552" s="419">
        <f>ROUND(+J2552+M2552+T2552,4)</f>
        <v>0</v>
      </c>
      <c r="V2552" s="235"/>
    </row>
    <row r="2553" spans="1:22" ht="15.75" x14ac:dyDescent="0.25">
      <c r="A2553" s="231"/>
      <c r="B2553" s="232"/>
      <c r="C2553" s="400"/>
      <c r="D2553" s="233"/>
      <c r="E2553" s="405"/>
      <c r="F2553" s="405"/>
      <c r="G2553" s="405"/>
      <c r="H2553" s="408">
        <f>ROUND(+E2553+F2553+G2553,4)</f>
        <v>0</v>
      </c>
      <c r="I2553" s="234"/>
      <c r="J2553" s="411"/>
      <c r="K2553" s="411"/>
      <c r="L2553" s="414">
        <v>0.1</v>
      </c>
      <c r="M2553" s="414">
        <f>ROUND(+L2553*C2553,4)</f>
        <v>0</v>
      </c>
      <c r="N2553" s="414"/>
      <c r="O2553" s="414"/>
      <c r="P2553" s="414"/>
      <c r="Q2553" s="419">
        <f>ROUND(+N2553+O2553+P2553,4)</f>
        <v>0</v>
      </c>
      <c r="R2553" s="419">
        <f>ROUND(IF(+Q2553-H2553&lt;=0,0,Q2553-H2553),4)</f>
        <v>0</v>
      </c>
      <c r="S2553" s="423">
        <v>0.5</v>
      </c>
      <c r="T2553" s="419">
        <f>ROUND(+(R2553*C2553)*S2553,4)</f>
        <v>0</v>
      </c>
      <c r="U2553" s="419">
        <f>ROUND(+J2553+M2553+T2553,4)</f>
        <v>0</v>
      </c>
      <c r="V2553" s="235"/>
    </row>
    <row r="2554" spans="1:22" ht="15.75" x14ac:dyDescent="0.25">
      <c r="A2554" s="231"/>
      <c r="B2554" s="232"/>
      <c r="C2554" s="400"/>
      <c r="D2554" s="233"/>
      <c r="E2554" s="405"/>
      <c r="F2554" s="405"/>
      <c r="G2554" s="405"/>
      <c r="H2554" s="408">
        <f>ROUND(+E2554+F2554+G2554,4)</f>
        <v>0</v>
      </c>
      <c r="I2554" s="234"/>
      <c r="J2554" s="411"/>
      <c r="K2554" s="411"/>
      <c r="L2554" s="414">
        <v>0.1</v>
      </c>
      <c r="M2554" s="414">
        <f>ROUND(+L2554*C2554,4)</f>
        <v>0</v>
      </c>
      <c r="N2554" s="414"/>
      <c r="O2554" s="414"/>
      <c r="P2554" s="414"/>
      <c r="Q2554" s="419">
        <f>ROUND(+N2554+O2554+P2554,4)</f>
        <v>0</v>
      </c>
      <c r="R2554" s="419">
        <f>ROUND(IF(+Q2554-H2554&lt;=0,0,Q2554-H2554),4)</f>
        <v>0</v>
      </c>
      <c r="S2554" s="423">
        <v>0.5</v>
      </c>
      <c r="T2554" s="419">
        <f>ROUND(+(R2554*C2554)*S2554,4)</f>
        <v>0</v>
      </c>
      <c r="U2554" s="419">
        <f>ROUND(+J2554+M2554+T2554,4)</f>
        <v>0</v>
      </c>
      <c r="V2554" s="235"/>
    </row>
    <row r="2555" spans="1:22" ht="15.75" x14ac:dyDescent="0.25">
      <c r="A2555" s="231"/>
      <c r="B2555" s="232"/>
      <c r="C2555" s="400"/>
      <c r="D2555" s="233"/>
      <c r="E2555" s="405"/>
      <c r="F2555" s="405"/>
      <c r="G2555" s="405"/>
      <c r="H2555" s="408">
        <f>ROUND(+E2555+F2555+G2555,4)</f>
        <v>0</v>
      </c>
      <c r="I2555" s="234"/>
      <c r="J2555" s="411"/>
      <c r="K2555" s="411"/>
      <c r="L2555" s="414">
        <v>0.1</v>
      </c>
      <c r="M2555" s="414">
        <f>ROUND(+L2555*C2555,4)</f>
        <v>0</v>
      </c>
      <c r="N2555" s="414"/>
      <c r="O2555" s="414"/>
      <c r="P2555" s="414"/>
      <c r="Q2555" s="419">
        <f>ROUND(+N2555+O2555+P2555,4)</f>
        <v>0</v>
      </c>
      <c r="R2555" s="419">
        <f>ROUND(IF(+Q2555-H2555&lt;=0,0,Q2555-H2555),4)</f>
        <v>0</v>
      </c>
      <c r="S2555" s="423">
        <v>0.5</v>
      </c>
      <c r="T2555" s="419">
        <f>ROUND(+(R2555*C2555)*S2555,4)</f>
        <v>0</v>
      </c>
      <c r="U2555" s="419">
        <f>ROUND(+J2555+M2555+T2555,4)</f>
        <v>0</v>
      </c>
      <c r="V2555" s="235"/>
    </row>
    <row r="2556" spans="1:22" ht="15.75" x14ac:dyDescent="0.25">
      <c r="A2556" s="231"/>
      <c r="B2556" s="232"/>
      <c r="C2556" s="400"/>
      <c r="D2556" s="233"/>
      <c r="E2556" s="405"/>
      <c r="F2556" s="405"/>
      <c r="G2556" s="405"/>
      <c r="H2556" s="408">
        <f>ROUND(+E2556+F2556+G2556,4)</f>
        <v>0</v>
      </c>
      <c r="I2556" s="234"/>
      <c r="J2556" s="411"/>
      <c r="K2556" s="411"/>
      <c r="L2556" s="414">
        <v>0.1</v>
      </c>
      <c r="M2556" s="414">
        <f>ROUND(+L2556*C2556,4)</f>
        <v>0</v>
      </c>
      <c r="N2556" s="414"/>
      <c r="O2556" s="414"/>
      <c r="P2556" s="414"/>
      <c r="Q2556" s="419">
        <f>ROUND(+N2556+O2556+P2556,4)</f>
        <v>0</v>
      </c>
      <c r="R2556" s="419">
        <f>ROUND(IF(+Q2556-H2556&lt;=0,0,Q2556-H2556),4)</f>
        <v>0</v>
      </c>
      <c r="S2556" s="423">
        <v>0.5</v>
      </c>
      <c r="T2556" s="419">
        <f>ROUND(+(R2556*C2556)*S2556,4)</f>
        <v>0</v>
      </c>
      <c r="U2556" s="419">
        <f>ROUND(+J2556+M2556+T2556,4)</f>
        <v>0</v>
      </c>
      <c r="V2556" s="235"/>
    </row>
    <row r="2557" spans="1:22" ht="15.75" x14ac:dyDescent="0.25">
      <c r="A2557" s="231"/>
      <c r="B2557" s="232"/>
      <c r="C2557" s="400"/>
      <c r="D2557" s="233"/>
      <c r="E2557" s="405"/>
      <c r="F2557" s="405"/>
      <c r="G2557" s="405"/>
      <c r="H2557" s="408">
        <f>ROUND(+E2557+F2557+G2557,4)</f>
        <v>0</v>
      </c>
      <c r="I2557" s="234"/>
      <c r="J2557" s="411"/>
      <c r="K2557" s="411"/>
      <c r="L2557" s="414">
        <v>0.1</v>
      </c>
      <c r="M2557" s="414">
        <f>ROUND(+L2557*C2557,4)</f>
        <v>0</v>
      </c>
      <c r="N2557" s="414"/>
      <c r="O2557" s="414"/>
      <c r="P2557" s="414"/>
      <c r="Q2557" s="419">
        <f>ROUND(+N2557+O2557+P2557,4)</f>
        <v>0</v>
      </c>
      <c r="R2557" s="419">
        <f>ROUND(IF(+Q2557-H2557&lt;=0,0,Q2557-H2557),4)</f>
        <v>0</v>
      </c>
      <c r="S2557" s="423">
        <v>0.5</v>
      </c>
      <c r="T2557" s="419">
        <f>ROUND(+(R2557*C2557)*S2557,4)</f>
        <v>0</v>
      </c>
      <c r="U2557" s="419">
        <f>ROUND(+J2557+M2557+T2557,4)</f>
        <v>0</v>
      </c>
      <c r="V2557" s="235"/>
    </row>
    <row r="2558" spans="1:22" ht="15.75" x14ac:dyDescent="0.25">
      <c r="A2558" s="231"/>
      <c r="B2558" s="232"/>
      <c r="C2558" s="400"/>
      <c r="D2558" s="233"/>
      <c r="E2558" s="405"/>
      <c r="F2558" s="405"/>
      <c r="G2558" s="405"/>
      <c r="H2558" s="408">
        <f>ROUND(+E2558+F2558+G2558,4)</f>
        <v>0</v>
      </c>
      <c r="I2558" s="234"/>
      <c r="J2558" s="411"/>
      <c r="K2558" s="411"/>
      <c r="L2558" s="414">
        <v>0.1</v>
      </c>
      <c r="M2558" s="414">
        <f>ROUND(+L2558*C2558,4)</f>
        <v>0</v>
      </c>
      <c r="N2558" s="414"/>
      <c r="O2558" s="414"/>
      <c r="P2558" s="414"/>
      <c r="Q2558" s="419">
        <f>ROUND(+N2558+O2558+P2558,4)</f>
        <v>0</v>
      </c>
      <c r="R2558" s="419">
        <f>ROUND(IF(+Q2558-H2558&lt;=0,0,Q2558-H2558),4)</f>
        <v>0</v>
      </c>
      <c r="S2558" s="423">
        <v>0.5</v>
      </c>
      <c r="T2558" s="419">
        <f>ROUND(+(R2558*C2558)*S2558,4)</f>
        <v>0</v>
      </c>
      <c r="U2558" s="419">
        <f>ROUND(+J2558+M2558+T2558,4)</f>
        <v>0</v>
      </c>
      <c r="V2558" s="235"/>
    </row>
    <row r="2559" spans="1:22" ht="15.75" x14ac:dyDescent="0.25">
      <c r="A2559" s="231"/>
      <c r="B2559" s="232"/>
      <c r="C2559" s="400"/>
      <c r="D2559" s="233"/>
      <c r="E2559" s="405"/>
      <c r="F2559" s="405"/>
      <c r="G2559" s="405"/>
      <c r="H2559" s="408">
        <f>ROUND(+E2559+F2559+G2559,4)</f>
        <v>0</v>
      </c>
      <c r="I2559" s="234"/>
      <c r="J2559" s="411"/>
      <c r="K2559" s="411"/>
      <c r="L2559" s="414">
        <v>0.1</v>
      </c>
      <c r="M2559" s="414">
        <f>ROUND(+L2559*C2559,4)</f>
        <v>0</v>
      </c>
      <c r="N2559" s="414"/>
      <c r="O2559" s="414"/>
      <c r="P2559" s="414"/>
      <c r="Q2559" s="419">
        <f>ROUND(+N2559+O2559+P2559,4)</f>
        <v>0</v>
      </c>
      <c r="R2559" s="419">
        <f>ROUND(IF(+Q2559-H2559&lt;=0,0,Q2559-H2559),4)</f>
        <v>0</v>
      </c>
      <c r="S2559" s="423">
        <v>0.5</v>
      </c>
      <c r="T2559" s="419">
        <f>ROUND(+(R2559*C2559)*S2559,4)</f>
        <v>0</v>
      </c>
      <c r="U2559" s="419">
        <f>ROUND(+J2559+M2559+T2559,4)</f>
        <v>0</v>
      </c>
      <c r="V2559" s="235"/>
    </row>
    <row r="2560" spans="1:22" ht="15.75" x14ac:dyDescent="0.25">
      <c r="A2560" s="231"/>
      <c r="B2560" s="232"/>
      <c r="C2560" s="400"/>
      <c r="D2560" s="233"/>
      <c r="E2560" s="405"/>
      <c r="F2560" s="405"/>
      <c r="G2560" s="405"/>
      <c r="H2560" s="408">
        <f>ROUND(+E2560+F2560+G2560,4)</f>
        <v>0</v>
      </c>
      <c r="I2560" s="234"/>
      <c r="J2560" s="411"/>
      <c r="K2560" s="411"/>
      <c r="L2560" s="414">
        <v>0.1</v>
      </c>
      <c r="M2560" s="414">
        <f>ROUND(+L2560*C2560,4)</f>
        <v>0</v>
      </c>
      <c r="N2560" s="414"/>
      <c r="O2560" s="414"/>
      <c r="P2560" s="414"/>
      <c r="Q2560" s="419">
        <f>ROUND(+N2560+O2560+P2560,4)</f>
        <v>0</v>
      </c>
      <c r="R2560" s="419">
        <f>ROUND(IF(+Q2560-H2560&lt;=0,0,Q2560-H2560),4)</f>
        <v>0</v>
      </c>
      <c r="S2560" s="423">
        <v>0.5</v>
      </c>
      <c r="T2560" s="419">
        <f>ROUND(+(R2560*C2560)*S2560,4)</f>
        <v>0</v>
      </c>
      <c r="U2560" s="419">
        <f>ROUND(+J2560+M2560+T2560,4)</f>
        <v>0</v>
      </c>
      <c r="V2560" s="235"/>
    </row>
    <row r="2561" spans="1:22" ht="15.75" x14ac:dyDescent="0.25">
      <c r="A2561" s="231"/>
      <c r="B2561" s="232"/>
      <c r="C2561" s="400"/>
      <c r="D2561" s="233"/>
      <c r="E2561" s="405"/>
      <c r="F2561" s="405"/>
      <c r="G2561" s="405"/>
      <c r="H2561" s="408">
        <f>ROUND(+E2561+F2561+G2561,4)</f>
        <v>0</v>
      </c>
      <c r="I2561" s="234"/>
      <c r="J2561" s="411"/>
      <c r="K2561" s="411"/>
      <c r="L2561" s="414">
        <v>0.1</v>
      </c>
      <c r="M2561" s="414">
        <f>ROUND(+L2561*C2561,4)</f>
        <v>0</v>
      </c>
      <c r="N2561" s="414"/>
      <c r="O2561" s="414"/>
      <c r="P2561" s="414"/>
      <c r="Q2561" s="419">
        <f>ROUND(+N2561+O2561+P2561,4)</f>
        <v>0</v>
      </c>
      <c r="R2561" s="419">
        <f>ROUND(IF(+Q2561-H2561&lt;=0,0,Q2561-H2561),4)</f>
        <v>0</v>
      </c>
      <c r="S2561" s="423">
        <v>0.5</v>
      </c>
      <c r="T2561" s="419">
        <f>ROUND(+(R2561*C2561)*S2561,4)</f>
        <v>0</v>
      </c>
      <c r="U2561" s="419">
        <f>ROUND(+J2561+M2561+T2561,4)</f>
        <v>0</v>
      </c>
      <c r="V2561" s="235"/>
    </row>
    <row r="2562" spans="1:22" ht="15.75" x14ac:dyDescent="0.25">
      <c r="A2562" s="231"/>
      <c r="B2562" s="232"/>
      <c r="C2562" s="400"/>
      <c r="D2562" s="233"/>
      <c r="E2562" s="405"/>
      <c r="F2562" s="405"/>
      <c r="G2562" s="405"/>
      <c r="H2562" s="408">
        <f>ROUND(+E2562+F2562+G2562,4)</f>
        <v>0</v>
      </c>
      <c r="I2562" s="234"/>
      <c r="J2562" s="411"/>
      <c r="K2562" s="411"/>
      <c r="L2562" s="414">
        <v>0.1</v>
      </c>
      <c r="M2562" s="414">
        <f>ROUND(+L2562*C2562,4)</f>
        <v>0</v>
      </c>
      <c r="N2562" s="414"/>
      <c r="O2562" s="414"/>
      <c r="P2562" s="414"/>
      <c r="Q2562" s="419">
        <f>ROUND(+N2562+O2562+P2562,4)</f>
        <v>0</v>
      </c>
      <c r="R2562" s="419">
        <f>ROUND(IF(+Q2562-H2562&lt;=0,0,Q2562-H2562),4)</f>
        <v>0</v>
      </c>
      <c r="S2562" s="423">
        <v>0.5</v>
      </c>
      <c r="T2562" s="419">
        <f>ROUND(+(R2562*C2562)*S2562,4)</f>
        <v>0</v>
      </c>
      <c r="U2562" s="419">
        <f>ROUND(+J2562+M2562+T2562,4)</f>
        <v>0</v>
      </c>
      <c r="V2562" s="235"/>
    </row>
    <row r="2563" spans="1:22" ht="15.75" x14ac:dyDescent="0.25">
      <c r="A2563" s="231"/>
      <c r="B2563" s="232"/>
      <c r="C2563" s="400"/>
      <c r="D2563" s="233"/>
      <c r="E2563" s="405"/>
      <c r="F2563" s="405"/>
      <c r="G2563" s="405"/>
      <c r="H2563" s="408">
        <f>ROUND(+E2563+F2563+G2563,4)</f>
        <v>0</v>
      </c>
      <c r="I2563" s="234"/>
      <c r="J2563" s="411"/>
      <c r="K2563" s="411"/>
      <c r="L2563" s="414">
        <v>0.1</v>
      </c>
      <c r="M2563" s="414">
        <f>ROUND(+L2563*C2563,4)</f>
        <v>0</v>
      </c>
      <c r="N2563" s="414"/>
      <c r="O2563" s="414"/>
      <c r="P2563" s="414"/>
      <c r="Q2563" s="419">
        <f>ROUND(+N2563+O2563+P2563,4)</f>
        <v>0</v>
      </c>
      <c r="R2563" s="419">
        <f>ROUND(IF(+Q2563-H2563&lt;=0,0,Q2563-H2563),4)</f>
        <v>0</v>
      </c>
      <c r="S2563" s="423">
        <v>0.5</v>
      </c>
      <c r="T2563" s="419">
        <f>ROUND(+(R2563*C2563)*S2563,4)</f>
        <v>0</v>
      </c>
      <c r="U2563" s="419">
        <f>ROUND(+J2563+M2563+T2563,4)</f>
        <v>0</v>
      </c>
      <c r="V2563" s="235"/>
    </row>
    <row r="2564" spans="1:22" ht="15.75" x14ac:dyDescent="0.25">
      <c r="A2564" s="231"/>
      <c r="B2564" s="232"/>
      <c r="C2564" s="400"/>
      <c r="D2564" s="233"/>
      <c r="E2564" s="405"/>
      <c r="F2564" s="405"/>
      <c r="G2564" s="405"/>
      <c r="H2564" s="408">
        <f>ROUND(+E2564+F2564+G2564,4)</f>
        <v>0</v>
      </c>
      <c r="I2564" s="234"/>
      <c r="J2564" s="411"/>
      <c r="K2564" s="411"/>
      <c r="L2564" s="414">
        <v>0.1</v>
      </c>
      <c r="M2564" s="414">
        <f>ROUND(+L2564*C2564,4)</f>
        <v>0</v>
      </c>
      <c r="N2564" s="414"/>
      <c r="O2564" s="414"/>
      <c r="P2564" s="414"/>
      <c r="Q2564" s="419">
        <f>ROUND(+N2564+O2564+P2564,4)</f>
        <v>0</v>
      </c>
      <c r="R2564" s="419">
        <f>ROUND(IF(+Q2564-H2564&lt;=0,0,Q2564-H2564),4)</f>
        <v>0</v>
      </c>
      <c r="S2564" s="423">
        <v>0.5</v>
      </c>
      <c r="T2564" s="419">
        <f>ROUND(+(R2564*C2564)*S2564,4)</f>
        <v>0</v>
      </c>
      <c r="U2564" s="419">
        <f>ROUND(+J2564+M2564+T2564,4)</f>
        <v>0</v>
      </c>
      <c r="V2564" s="235"/>
    </row>
    <row r="2565" spans="1:22" ht="15.75" x14ac:dyDescent="0.25">
      <c r="A2565" s="231"/>
      <c r="B2565" s="232"/>
      <c r="C2565" s="400"/>
      <c r="D2565" s="233"/>
      <c r="E2565" s="405"/>
      <c r="F2565" s="405"/>
      <c r="G2565" s="405"/>
      <c r="H2565" s="408">
        <f>ROUND(+E2565+F2565+G2565,4)</f>
        <v>0</v>
      </c>
      <c r="I2565" s="234"/>
      <c r="J2565" s="411"/>
      <c r="K2565" s="411"/>
      <c r="L2565" s="414">
        <v>0.1</v>
      </c>
      <c r="M2565" s="414">
        <f>ROUND(+L2565*C2565,4)</f>
        <v>0</v>
      </c>
      <c r="N2565" s="414"/>
      <c r="O2565" s="414"/>
      <c r="P2565" s="414"/>
      <c r="Q2565" s="419">
        <f>ROUND(+N2565+O2565+P2565,4)</f>
        <v>0</v>
      </c>
      <c r="R2565" s="419">
        <f>ROUND(IF(+Q2565-H2565&lt;=0,0,Q2565-H2565),4)</f>
        <v>0</v>
      </c>
      <c r="S2565" s="423">
        <v>0.5</v>
      </c>
      <c r="T2565" s="419">
        <f>ROUND(+(R2565*C2565)*S2565,4)</f>
        <v>0</v>
      </c>
      <c r="U2565" s="419">
        <f>ROUND(+J2565+M2565+T2565,4)</f>
        <v>0</v>
      </c>
      <c r="V2565" s="235"/>
    </row>
    <row r="2566" spans="1:22" ht="15.75" x14ac:dyDescent="0.25">
      <c r="A2566" s="231"/>
      <c r="B2566" s="232"/>
      <c r="C2566" s="400"/>
      <c r="D2566" s="233"/>
      <c r="E2566" s="405"/>
      <c r="F2566" s="405"/>
      <c r="G2566" s="405"/>
      <c r="H2566" s="408">
        <f>ROUND(+E2566+F2566+G2566,4)</f>
        <v>0</v>
      </c>
      <c r="I2566" s="234"/>
      <c r="J2566" s="411"/>
      <c r="K2566" s="411"/>
      <c r="L2566" s="414">
        <v>0.1</v>
      </c>
      <c r="M2566" s="414">
        <f>ROUND(+L2566*C2566,4)</f>
        <v>0</v>
      </c>
      <c r="N2566" s="414"/>
      <c r="O2566" s="414"/>
      <c r="P2566" s="414"/>
      <c r="Q2566" s="419">
        <f>ROUND(+N2566+O2566+P2566,4)</f>
        <v>0</v>
      </c>
      <c r="R2566" s="419">
        <f>ROUND(IF(+Q2566-H2566&lt;=0,0,Q2566-H2566),4)</f>
        <v>0</v>
      </c>
      <c r="S2566" s="423">
        <v>0.5</v>
      </c>
      <c r="T2566" s="419">
        <f>ROUND(+(R2566*C2566)*S2566,4)</f>
        <v>0</v>
      </c>
      <c r="U2566" s="419">
        <f>ROUND(+J2566+M2566+T2566,4)</f>
        <v>0</v>
      </c>
      <c r="V2566" s="235"/>
    </row>
    <row r="2567" spans="1:22" ht="15.75" x14ac:dyDescent="0.25">
      <c r="A2567" s="231"/>
      <c r="B2567" s="232"/>
      <c r="C2567" s="400"/>
      <c r="D2567" s="233"/>
      <c r="E2567" s="405"/>
      <c r="F2567" s="405"/>
      <c r="G2567" s="405"/>
      <c r="H2567" s="408">
        <f>ROUND(+E2567+F2567+G2567,4)</f>
        <v>0</v>
      </c>
      <c r="I2567" s="234"/>
      <c r="J2567" s="411"/>
      <c r="K2567" s="411"/>
      <c r="L2567" s="414">
        <v>0.1</v>
      </c>
      <c r="M2567" s="414">
        <f>ROUND(+L2567*C2567,4)</f>
        <v>0</v>
      </c>
      <c r="N2567" s="414"/>
      <c r="O2567" s="414"/>
      <c r="P2567" s="414"/>
      <c r="Q2567" s="419">
        <f>ROUND(+N2567+O2567+P2567,4)</f>
        <v>0</v>
      </c>
      <c r="R2567" s="419">
        <f>ROUND(IF(+Q2567-H2567&lt;=0,0,Q2567-H2567),4)</f>
        <v>0</v>
      </c>
      <c r="S2567" s="423">
        <v>0.5</v>
      </c>
      <c r="T2567" s="419">
        <f>ROUND(+(R2567*C2567)*S2567,4)</f>
        <v>0</v>
      </c>
      <c r="U2567" s="419">
        <f>ROUND(+J2567+M2567+T2567,4)</f>
        <v>0</v>
      </c>
      <c r="V2567" s="235"/>
    </row>
    <row r="2568" spans="1:22" ht="15.75" x14ac:dyDescent="0.25">
      <c r="A2568" s="231"/>
      <c r="B2568" s="232"/>
      <c r="C2568" s="400"/>
      <c r="D2568" s="233"/>
      <c r="E2568" s="405"/>
      <c r="F2568" s="405"/>
      <c r="G2568" s="405"/>
      <c r="H2568" s="408">
        <f>ROUND(+E2568+F2568+G2568,4)</f>
        <v>0</v>
      </c>
      <c r="I2568" s="234"/>
      <c r="J2568" s="411"/>
      <c r="K2568" s="411"/>
      <c r="L2568" s="414">
        <v>0.1</v>
      </c>
      <c r="M2568" s="414">
        <f>ROUND(+L2568*C2568,4)</f>
        <v>0</v>
      </c>
      <c r="N2568" s="414"/>
      <c r="O2568" s="414"/>
      <c r="P2568" s="414"/>
      <c r="Q2568" s="419">
        <f>ROUND(+N2568+O2568+P2568,4)</f>
        <v>0</v>
      </c>
      <c r="R2568" s="419">
        <f>ROUND(IF(+Q2568-H2568&lt;=0,0,Q2568-H2568),4)</f>
        <v>0</v>
      </c>
      <c r="S2568" s="423">
        <v>0.5</v>
      </c>
      <c r="T2568" s="419">
        <f>ROUND(+(R2568*C2568)*S2568,4)</f>
        <v>0</v>
      </c>
      <c r="U2568" s="419">
        <f>ROUND(+J2568+M2568+T2568,4)</f>
        <v>0</v>
      </c>
      <c r="V2568" s="235"/>
    </row>
    <row r="2569" spans="1:22" ht="15.75" x14ac:dyDescent="0.25">
      <c r="A2569" s="231"/>
      <c r="B2569" s="232"/>
      <c r="C2569" s="400"/>
      <c r="D2569" s="233"/>
      <c r="E2569" s="405"/>
      <c r="F2569" s="405"/>
      <c r="G2569" s="405"/>
      <c r="H2569" s="408">
        <f>ROUND(+E2569+F2569+G2569,4)</f>
        <v>0</v>
      </c>
      <c r="I2569" s="234"/>
      <c r="J2569" s="411"/>
      <c r="K2569" s="411"/>
      <c r="L2569" s="414">
        <v>0.1</v>
      </c>
      <c r="M2569" s="414">
        <f>ROUND(+L2569*C2569,4)</f>
        <v>0</v>
      </c>
      <c r="N2569" s="414"/>
      <c r="O2569" s="414"/>
      <c r="P2569" s="414"/>
      <c r="Q2569" s="419">
        <f>ROUND(+N2569+O2569+P2569,4)</f>
        <v>0</v>
      </c>
      <c r="R2569" s="419">
        <f>ROUND(IF(+Q2569-H2569&lt;=0,0,Q2569-H2569),4)</f>
        <v>0</v>
      </c>
      <c r="S2569" s="423">
        <v>0.5</v>
      </c>
      <c r="T2569" s="419">
        <f>ROUND(+(R2569*C2569)*S2569,4)</f>
        <v>0</v>
      </c>
      <c r="U2569" s="419">
        <f>ROUND(+J2569+M2569+T2569,4)</f>
        <v>0</v>
      </c>
      <c r="V2569" s="235"/>
    </row>
    <row r="2570" spans="1:22" ht="15.75" x14ac:dyDescent="0.25">
      <c r="A2570" s="231"/>
      <c r="B2570" s="232"/>
      <c r="C2570" s="400"/>
      <c r="D2570" s="233"/>
      <c r="E2570" s="405"/>
      <c r="F2570" s="405"/>
      <c r="G2570" s="405"/>
      <c r="H2570" s="408">
        <f>ROUND(+E2570+F2570+G2570,4)</f>
        <v>0</v>
      </c>
      <c r="I2570" s="234"/>
      <c r="J2570" s="411"/>
      <c r="K2570" s="411"/>
      <c r="L2570" s="414">
        <v>0.1</v>
      </c>
      <c r="M2570" s="414">
        <f>ROUND(+L2570*C2570,4)</f>
        <v>0</v>
      </c>
      <c r="N2570" s="414"/>
      <c r="O2570" s="414"/>
      <c r="P2570" s="414"/>
      <c r="Q2570" s="419">
        <f>ROUND(+N2570+O2570+P2570,4)</f>
        <v>0</v>
      </c>
      <c r="R2570" s="419">
        <f>ROUND(IF(+Q2570-H2570&lt;=0,0,Q2570-H2570),4)</f>
        <v>0</v>
      </c>
      <c r="S2570" s="423">
        <v>0.5</v>
      </c>
      <c r="T2570" s="419">
        <f>ROUND(+(R2570*C2570)*S2570,4)</f>
        <v>0</v>
      </c>
      <c r="U2570" s="419">
        <f>ROUND(+J2570+M2570+T2570,4)</f>
        <v>0</v>
      </c>
      <c r="V2570" s="235"/>
    </row>
    <row r="2571" spans="1:22" ht="15.75" x14ac:dyDescent="0.25">
      <c r="A2571" s="231"/>
      <c r="B2571" s="232"/>
      <c r="C2571" s="400"/>
      <c r="D2571" s="233"/>
      <c r="E2571" s="405"/>
      <c r="F2571" s="405"/>
      <c r="G2571" s="405"/>
      <c r="H2571" s="408">
        <f>ROUND(+E2571+F2571+G2571,4)</f>
        <v>0</v>
      </c>
      <c r="I2571" s="234"/>
      <c r="J2571" s="411"/>
      <c r="K2571" s="411"/>
      <c r="L2571" s="414">
        <v>0.1</v>
      </c>
      <c r="M2571" s="414">
        <f>ROUND(+L2571*C2571,4)</f>
        <v>0</v>
      </c>
      <c r="N2571" s="414"/>
      <c r="O2571" s="414"/>
      <c r="P2571" s="414"/>
      <c r="Q2571" s="419">
        <f>ROUND(+N2571+O2571+P2571,4)</f>
        <v>0</v>
      </c>
      <c r="R2571" s="419">
        <f>ROUND(IF(+Q2571-H2571&lt;=0,0,Q2571-H2571),4)</f>
        <v>0</v>
      </c>
      <c r="S2571" s="423">
        <v>0.5</v>
      </c>
      <c r="T2571" s="419">
        <f>ROUND(+(R2571*C2571)*S2571,4)</f>
        <v>0</v>
      </c>
      <c r="U2571" s="419">
        <f>ROUND(+J2571+M2571+T2571,4)</f>
        <v>0</v>
      </c>
      <c r="V2571" s="235"/>
    </row>
    <row r="2572" spans="1:22" ht="15.75" x14ac:dyDescent="0.25">
      <c r="A2572" s="231"/>
      <c r="B2572" s="232"/>
      <c r="C2572" s="400"/>
      <c r="D2572" s="233"/>
      <c r="E2572" s="405"/>
      <c r="F2572" s="405"/>
      <c r="G2572" s="405"/>
      <c r="H2572" s="408">
        <f>ROUND(+E2572+F2572+G2572,4)</f>
        <v>0</v>
      </c>
      <c r="I2572" s="234"/>
      <c r="J2572" s="411"/>
      <c r="K2572" s="411"/>
      <c r="L2572" s="414">
        <v>0.1</v>
      </c>
      <c r="M2572" s="414">
        <f>ROUND(+L2572*C2572,4)</f>
        <v>0</v>
      </c>
      <c r="N2572" s="414"/>
      <c r="O2572" s="414"/>
      <c r="P2572" s="414"/>
      <c r="Q2572" s="419">
        <f>ROUND(+N2572+O2572+P2572,4)</f>
        <v>0</v>
      </c>
      <c r="R2572" s="419">
        <f>ROUND(IF(+Q2572-H2572&lt;=0,0,Q2572-H2572),4)</f>
        <v>0</v>
      </c>
      <c r="S2572" s="423">
        <v>0.5</v>
      </c>
      <c r="T2572" s="419">
        <f>ROUND(+(R2572*C2572)*S2572,4)</f>
        <v>0</v>
      </c>
      <c r="U2572" s="419">
        <f>ROUND(+J2572+M2572+T2572,4)</f>
        <v>0</v>
      </c>
      <c r="V2572" s="235"/>
    </row>
    <row r="2573" spans="1:22" ht="15.75" x14ac:dyDescent="0.25">
      <c r="A2573" s="231"/>
      <c r="B2573" s="232"/>
      <c r="C2573" s="400"/>
      <c r="D2573" s="233"/>
      <c r="E2573" s="405"/>
      <c r="F2573" s="405"/>
      <c r="G2573" s="405"/>
      <c r="H2573" s="408">
        <f>ROUND(+E2573+F2573+G2573,4)</f>
        <v>0</v>
      </c>
      <c r="I2573" s="234"/>
      <c r="J2573" s="411"/>
      <c r="K2573" s="411"/>
      <c r="L2573" s="414">
        <v>0.1</v>
      </c>
      <c r="M2573" s="414">
        <f>ROUND(+L2573*C2573,4)</f>
        <v>0</v>
      </c>
      <c r="N2573" s="414"/>
      <c r="O2573" s="414"/>
      <c r="P2573" s="414"/>
      <c r="Q2573" s="419">
        <f>ROUND(+N2573+O2573+P2573,4)</f>
        <v>0</v>
      </c>
      <c r="R2573" s="419">
        <f>ROUND(IF(+Q2573-H2573&lt;=0,0,Q2573-H2573),4)</f>
        <v>0</v>
      </c>
      <c r="S2573" s="423">
        <v>0.5</v>
      </c>
      <c r="T2573" s="419">
        <f>ROUND(+(R2573*C2573)*S2573,4)</f>
        <v>0</v>
      </c>
      <c r="U2573" s="419">
        <f>ROUND(+J2573+M2573+T2573,4)</f>
        <v>0</v>
      </c>
      <c r="V2573" s="235"/>
    </row>
    <row r="2574" spans="1:22" ht="15.75" x14ac:dyDescent="0.25">
      <c r="A2574" s="231"/>
      <c r="B2574" s="232"/>
      <c r="C2574" s="400"/>
      <c r="D2574" s="233"/>
      <c r="E2574" s="405"/>
      <c r="F2574" s="405"/>
      <c r="G2574" s="405"/>
      <c r="H2574" s="408">
        <f>ROUND(+E2574+F2574+G2574,4)</f>
        <v>0</v>
      </c>
      <c r="I2574" s="234"/>
      <c r="J2574" s="411"/>
      <c r="K2574" s="411"/>
      <c r="L2574" s="414">
        <v>0.1</v>
      </c>
      <c r="M2574" s="414">
        <f>ROUND(+L2574*C2574,4)</f>
        <v>0</v>
      </c>
      <c r="N2574" s="414"/>
      <c r="O2574" s="414"/>
      <c r="P2574" s="414"/>
      <c r="Q2574" s="419">
        <f>ROUND(+N2574+O2574+P2574,4)</f>
        <v>0</v>
      </c>
      <c r="R2574" s="419">
        <f>ROUND(IF(+Q2574-H2574&lt;=0,0,Q2574-H2574),4)</f>
        <v>0</v>
      </c>
      <c r="S2574" s="423">
        <v>0.5</v>
      </c>
      <c r="T2574" s="419">
        <f>ROUND(+(R2574*C2574)*S2574,4)</f>
        <v>0</v>
      </c>
      <c r="U2574" s="419">
        <f>ROUND(+J2574+M2574+T2574,4)</f>
        <v>0</v>
      </c>
      <c r="V2574" s="235"/>
    </row>
    <row r="2575" spans="1:22" ht="15.75" x14ac:dyDescent="0.25">
      <c r="A2575" s="231"/>
      <c r="B2575" s="232"/>
      <c r="C2575" s="400"/>
      <c r="D2575" s="233"/>
      <c r="E2575" s="405"/>
      <c r="F2575" s="405"/>
      <c r="G2575" s="405"/>
      <c r="H2575" s="408">
        <f>ROUND(+E2575+F2575+G2575,4)</f>
        <v>0</v>
      </c>
      <c r="I2575" s="234"/>
      <c r="J2575" s="411"/>
      <c r="K2575" s="411"/>
      <c r="L2575" s="414">
        <v>0.1</v>
      </c>
      <c r="M2575" s="414">
        <f>ROUND(+L2575*C2575,4)</f>
        <v>0</v>
      </c>
      <c r="N2575" s="414"/>
      <c r="O2575" s="414"/>
      <c r="P2575" s="414"/>
      <c r="Q2575" s="419">
        <f>ROUND(+N2575+O2575+P2575,4)</f>
        <v>0</v>
      </c>
      <c r="R2575" s="419">
        <f>ROUND(IF(+Q2575-H2575&lt;=0,0,Q2575-H2575),4)</f>
        <v>0</v>
      </c>
      <c r="S2575" s="423">
        <v>0.5</v>
      </c>
      <c r="T2575" s="419">
        <f>ROUND(+(R2575*C2575)*S2575,4)</f>
        <v>0</v>
      </c>
      <c r="U2575" s="419">
        <f>ROUND(+J2575+M2575+T2575,4)</f>
        <v>0</v>
      </c>
      <c r="V2575" s="235"/>
    </row>
    <row r="2576" spans="1:22" ht="15.75" x14ac:dyDescent="0.25">
      <c r="A2576" s="231"/>
      <c r="B2576" s="232"/>
      <c r="C2576" s="400"/>
      <c r="D2576" s="233"/>
      <c r="E2576" s="405"/>
      <c r="F2576" s="405"/>
      <c r="G2576" s="405"/>
      <c r="H2576" s="408">
        <f>ROUND(+E2576+F2576+G2576,4)</f>
        <v>0</v>
      </c>
      <c r="I2576" s="234"/>
      <c r="J2576" s="411"/>
      <c r="K2576" s="411"/>
      <c r="L2576" s="414">
        <v>0.1</v>
      </c>
      <c r="M2576" s="414">
        <f>ROUND(+L2576*C2576,4)</f>
        <v>0</v>
      </c>
      <c r="N2576" s="414"/>
      <c r="O2576" s="414"/>
      <c r="P2576" s="414"/>
      <c r="Q2576" s="419">
        <f>ROUND(+N2576+O2576+P2576,4)</f>
        <v>0</v>
      </c>
      <c r="R2576" s="419">
        <f>ROUND(IF(+Q2576-H2576&lt;=0,0,Q2576-H2576),4)</f>
        <v>0</v>
      </c>
      <c r="S2576" s="423">
        <v>0.5</v>
      </c>
      <c r="T2576" s="419">
        <f>ROUND(+(R2576*C2576)*S2576,4)</f>
        <v>0</v>
      </c>
      <c r="U2576" s="419">
        <f>ROUND(+J2576+M2576+T2576,4)</f>
        <v>0</v>
      </c>
      <c r="V2576" s="235"/>
    </row>
    <row r="2577" spans="1:22" ht="15.75" x14ac:dyDescent="0.25">
      <c r="A2577" s="231"/>
      <c r="B2577" s="232"/>
      <c r="C2577" s="400"/>
      <c r="D2577" s="233"/>
      <c r="E2577" s="405"/>
      <c r="F2577" s="405"/>
      <c r="G2577" s="405"/>
      <c r="H2577" s="408">
        <f>ROUND(+E2577+F2577+G2577,4)</f>
        <v>0</v>
      </c>
      <c r="I2577" s="234"/>
      <c r="J2577" s="411"/>
      <c r="K2577" s="411"/>
      <c r="L2577" s="414">
        <v>0.1</v>
      </c>
      <c r="M2577" s="414">
        <f>ROUND(+L2577*C2577,4)</f>
        <v>0</v>
      </c>
      <c r="N2577" s="414"/>
      <c r="O2577" s="414"/>
      <c r="P2577" s="414"/>
      <c r="Q2577" s="419">
        <f>ROUND(+N2577+O2577+P2577,4)</f>
        <v>0</v>
      </c>
      <c r="R2577" s="419">
        <f>ROUND(IF(+Q2577-H2577&lt;=0,0,Q2577-H2577),4)</f>
        <v>0</v>
      </c>
      <c r="S2577" s="423">
        <v>0.5</v>
      </c>
      <c r="T2577" s="419">
        <f>ROUND(+(R2577*C2577)*S2577,4)</f>
        <v>0</v>
      </c>
      <c r="U2577" s="419">
        <f>ROUND(+J2577+M2577+T2577,4)</f>
        <v>0</v>
      </c>
      <c r="V2577" s="235"/>
    </row>
    <row r="2578" spans="1:22" ht="15.75" x14ac:dyDescent="0.25">
      <c r="A2578" s="231"/>
      <c r="B2578" s="232"/>
      <c r="C2578" s="400"/>
      <c r="D2578" s="233"/>
      <c r="E2578" s="405"/>
      <c r="F2578" s="405"/>
      <c r="G2578" s="405"/>
      <c r="H2578" s="408">
        <f>ROUND(+E2578+F2578+G2578,4)</f>
        <v>0</v>
      </c>
      <c r="I2578" s="234"/>
      <c r="J2578" s="411"/>
      <c r="K2578" s="411"/>
      <c r="L2578" s="414">
        <v>0.1</v>
      </c>
      <c r="M2578" s="414">
        <f>ROUND(+L2578*C2578,4)</f>
        <v>0</v>
      </c>
      <c r="N2578" s="414"/>
      <c r="O2578" s="414"/>
      <c r="P2578" s="414"/>
      <c r="Q2578" s="419">
        <f>ROUND(+N2578+O2578+P2578,4)</f>
        <v>0</v>
      </c>
      <c r="R2578" s="419">
        <f>ROUND(IF(+Q2578-H2578&lt;=0,0,Q2578-H2578),4)</f>
        <v>0</v>
      </c>
      <c r="S2578" s="423">
        <v>0.5</v>
      </c>
      <c r="T2578" s="419">
        <f>ROUND(+(R2578*C2578)*S2578,4)</f>
        <v>0</v>
      </c>
      <c r="U2578" s="419">
        <f>ROUND(+J2578+M2578+T2578,4)</f>
        <v>0</v>
      </c>
      <c r="V2578" s="235"/>
    </row>
    <row r="2579" spans="1:22" ht="15.75" x14ac:dyDescent="0.25">
      <c r="A2579" s="231"/>
      <c r="B2579" s="232"/>
      <c r="C2579" s="400"/>
      <c r="D2579" s="233"/>
      <c r="E2579" s="405"/>
      <c r="F2579" s="405"/>
      <c r="G2579" s="405"/>
      <c r="H2579" s="408">
        <f>ROUND(+E2579+F2579+G2579,4)</f>
        <v>0</v>
      </c>
      <c r="I2579" s="234"/>
      <c r="J2579" s="411"/>
      <c r="K2579" s="411"/>
      <c r="L2579" s="414">
        <v>0.1</v>
      </c>
      <c r="M2579" s="414">
        <f>ROUND(+L2579*C2579,4)</f>
        <v>0</v>
      </c>
      <c r="N2579" s="414"/>
      <c r="O2579" s="414"/>
      <c r="P2579" s="414"/>
      <c r="Q2579" s="419">
        <f>ROUND(+N2579+O2579+P2579,4)</f>
        <v>0</v>
      </c>
      <c r="R2579" s="419">
        <f>ROUND(IF(+Q2579-H2579&lt;=0,0,Q2579-H2579),4)</f>
        <v>0</v>
      </c>
      <c r="S2579" s="423">
        <v>0.5</v>
      </c>
      <c r="T2579" s="419">
        <f>ROUND(+(R2579*C2579)*S2579,4)</f>
        <v>0</v>
      </c>
      <c r="U2579" s="419">
        <f>ROUND(+J2579+M2579+T2579,4)</f>
        <v>0</v>
      </c>
      <c r="V2579" s="235"/>
    </row>
    <row r="2580" spans="1:22" ht="15.75" x14ac:dyDescent="0.25">
      <c r="A2580" s="231"/>
      <c r="B2580" s="232"/>
      <c r="C2580" s="400"/>
      <c r="D2580" s="233"/>
      <c r="E2580" s="405"/>
      <c r="F2580" s="405"/>
      <c r="G2580" s="405"/>
      <c r="H2580" s="408">
        <f>ROUND(+E2580+F2580+G2580,4)</f>
        <v>0</v>
      </c>
      <c r="I2580" s="234"/>
      <c r="J2580" s="411"/>
      <c r="K2580" s="411"/>
      <c r="L2580" s="414">
        <v>0.1</v>
      </c>
      <c r="M2580" s="414">
        <f>ROUND(+L2580*C2580,4)</f>
        <v>0</v>
      </c>
      <c r="N2580" s="414"/>
      <c r="O2580" s="414"/>
      <c r="P2580" s="414"/>
      <c r="Q2580" s="419">
        <f>ROUND(+N2580+O2580+P2580,4)</f>
        <v>0</v>
      </c>
      <c r="R2580" s="419">
        <f>ROUND(IF(+Q2580-H2580&lt;=0,0,Q2580-H2580),4)</f>
        <v>0</v>
      </c>
      <c r="S2580" s="423">
        <v>0.5</v>
      </c>
      <c r="T2580" s="419">
        <f>ROUND(+(R2580*C2580)*S2580,4)</f>
        <v>0</v>
      </c>
      <c r="U2580" s="419">
        <f>ROUND(+J2580+M2580+T2580,4)</f>
        <v>0</v>
      </c>
      <c r="V2580" s="235"/>
    </row>
    <row r="2581" spans="1:22" ht="15.75" x14ac:dyDescent="0.25">
      <c r="A2581" s="231"/>
      <c r="B2581" s="232"/>
      <c r="C2581" s="400"/>
      <c r="D2581" s="233"/>
      <c r="E2581" s="405"/>
      <c r="F2581" s="405"/>
      <c r="G2581" s="405"/>
      <c r="H2581" s="408">
        <f>ROUND(+E2581+F2581+G2581,4)</f>
        <v>0</v>
      </c>
      <c r="I2581" s="234"/>
      <c r="J2581" s="411"/>
      <c r="K2581" s="411"/>
      <c r="L2581" s="414">
        <v>0.1</v>
      </c>
      <c r="M2581" s="414">
        <f>ROUND(+L2581*C2581,4)</f>
        <v>0</v>
      </c>
      <c r="N2581" s="414"/>
      <c r="O2581" s="414"/>
      <c r="P2581" s="414"/>
      <c r="Q2581" s="419">
        <f>ROUND(+N2581+O2581+P2581,4)</f>
        <v>0</v>
      </c>
      <c r="R2581" s="419">
        <f>ROUND(IF(+Q2581-H2581&lt;=0,0,Q2581-H2581),4)</f>
        <v>0</v>
      </c>
      <c r="S2581" s="423">
        <v>0.5</v>
      </c>
      <c r="T2581" s="419">
        <f>ROUND(+(R2581*C2581)*S2581,4)</f>
        <v>0</v>
      </c>
      <c r="U2581" s="419">
        <f>ROUND(+J2581+M2581+T2581,4)</f>
        <v>0</v>
      </c>
      <c r="V2581" s="235"/>
    </row>
    <row r="2582" spans="1:22" ht="15.75" x14ac:dyDescent="0.25">
      <c r="A2582" s="231"/>
      <c r="B2582" s="232"/>
      <c r="C2582" s="400"/>
      <c r="D2582" s="233"/>
      <c r="E2582" s="405"/>
      <c r="F2582" s="405"/>
      <c r="G2582" s="405"/>
      <c r="H2582" s="408">
        <f>ROUND(+E2582+F2582+G2582,4)</f>
        <v>0</v>
      </c>
      <c r="I2582" s="234"/>
      <c r="J2582" s="411"/>
      <c r="K2582" s="411"/>
      <c r="L2582" s="414">
        <v>0.1</v>
      </c>
      <c r="M2582" s="414">
        <f>ROUND(+L2582*C2582,4)</f>
        <v>0</v>
      </c>
      <c r="N2582" s="414"/>
      <c r="O2582" s="414"/>
      <c r="P2582" s="414"/>
      <c r="Q2582" s="419">
        <f>ROUND(+N2582+O2582+P2582,4)</f>
        <v>0</v>
      </c>
      <c r="R2582" s="419">
        <f>ROUND(IF(+Q2582-H2582&lt;=0,0,Q2582-H2582),4)</f>
        <v>0</v>
      </c>
      <c r="S2582" s="423">
        <v>0.5</v>
      </c>
      <c r="T2582" s="419">
        <f>ROUND(+(R2582*C2582)*S2582,4)</f>
        <v>0</v>
      </c>
      <c r="U2582" s="419">
        <f>ROUND(+J2582+M2582+T2582,4)</f>
        <v>0</v>
      </c>
      <c r="V2582" s="235"/>
    </row>
    <row r="2583" spans="1:22" ht="15.75" x14ac:dyDescent="0.25">
      <c r="A2583" s="231"/>
      <c r="B2583" s="232"/>
      <c r="C2583" s="400"/>
      <c r="D2583" s="233"/>
      <c r="E2583" s="405"/>
      <c r="F2583" s="405"/>
      <c r="G2583" s="405"/>
      <c r="H2583" s="408">
        <f>ROUND(+E2583+F2583+G2583,4)</f>
        <v>0</v>
      </c>
      <c r="I2583" s="234"/>
      <c r="J2583" s="411"/>
      <c r="K2583" s="411"/>
      <c r="L2583" s="414">
        <v>0.1</v>
      </c>
      <c r="M2583" s="414">
        <f>ROUND(+L2583*C2583,4)</f>
        <v>0</v>
      </c>
      <c r="N2583" s="414"/>
      <c r="O2583" s="414"/>
      <c r="P2583" s="414"/>
      <c r="Q2583" s="419">
        <f>ROUND(+N2583+O2583+P2583,4)</f>
        <v>0</v>
      </c>
      <c r="R2583" s="419">
        <f>ROUND(IF(+Q2583-H2583&lt;=0,0,Q2583-H2583),4)</f>
        <v>0</v>
      </c>
      <c r="S2583" s="423">
        <v>0.5</v>
      </c>
      <c r="T2583" s="419">
        <f>ROUND(+(R2583*C2583)*S2583,4)</f>
        <v>0</v>
      </c>
      <c r="U2583" s="419">
        <f>ROUND(+J2583+M2583+T2583,4)</f>
        <v>0</v>
      </c>
      <c r="V2583" s="235"/>
    </row>
    <row r="2584" spans="1:22" ht="15.75" x14ac:dyDescent="0.25">
      <c r="A2584" s="231"/>
      <c r="B2584" s="232"/>
      <c r="C2584" s="400"/>
      <c r="D2584" s="233"/>
      <c r="E2584" s="405"/>
      <c r="F2584" s="405"/>
      <c r="G2584" s="405"/>
      <c r="H2584" s="408">
        <f>ROUND(+E2584+F2584+G2584,4)</f>
        <v>0</v>
      </c>
      <c r="I2584" s="234"/>
      <c r="J2584" s="411"/>
      <c r="K2584" s="411"/>
      <c r="L2584" s="414">
        <v>0.1</v>
      </c>
      <c r="M2584" s="414">
        <f>ROUND(+L2584*C2584,4)</f>
        <v>0</v>
      </c>
      <c r="N2584" s="414"/>
      <c r="O2584" s="414"/>
      <c r="P2584" s="414"/>
      <c r="Q2584" s="419">
        <f>ROUND(+N2584+O2584+P2584,4)</f>
        <v>0</v>
      </c>
      <c r="R2584" s="419">
        <f>ROUND(IF(+Q2584-H2584&lt;=0,0,Q2584-H2584),4)</f>
        <v>0</v>
      </c>
      <c r="S2584" s="423">
        <v>0.5</v>
      </c>
      <c r="T2584" s="419">
        <f>ROUND(+(R2584*C2584)*S2584,4)</f>
        <v>0</v>
      </c>
      <c r="U2584" s="419">
        <f>ROUND(+J2584+M2584+T2584,4)</f>
        <v>0</v>
      </c>
      <c r="V2584" s="235"/>
    </row>
    <row r="2585" spans="1:22" ht="15.75" x14ac:dyDescent="0.25">
      <c r="A2585" s="231"/>
      <c r="B2585" s="232"/>
      <c r="C2585" s="400"/>
      <c r="D2585" s="233"/>
      <c r="E2585" s="405"/>
      <c r="F2585" s="405"/>
      <c r="G2585" s="405"/>
      <c r="H2585" s="408">
        <f>ROUND(+E2585+F2585+G2585,4)</f>
        <v>0</v>
      </c>
      <c r="I2585" s="234"/>
      <c r="J2585" s="411"/>
      <c r="K2585" s="411"/>
      <c r="L2585" s="414">
        <v>0.1</v>
      </c>
      <c r="M2585" s="414">
        <f>ROUND(+L2585*C2585,4)</f>
        <v>0</v>
      </c>
      <c r="N2585" s="414"/>
      <c r="O2585" s="414"/>
      <c r="P2585" s="414"/>
      <c r="Q2585" s="419">
        <f>ROUND(+N2585+O2585+P2585,4)</f>
        <v>0</v>
      </c>
      <c r="R2585" s="419">
        <f>ROUND(IF(+Q2585-H2585&lt;=0,0,Q2585-H2585),4)</f>
        <v>0</v>
      </c>
      <c r="S2585" s="423">
        <v>0.5</v>
      </c>
      <c r="T2585" s="419">
        <f>ROUND(+(R2585*C2585)*S2585,4)</f>
        <v>0</v>
      </c>
      <c r="U2585" s="419">
        <f>ROUND(+J2585+M2585+T2585,4)</f>
        <v>0</v>
      </c>
      <c r="V2585" s="235"/>
    </row>
    <row r="2586" spans="1:22" ht="15.75" x14ac:dyDescent="0.25">
      <c r="A2586" s="231"/>
      <c r="B2586" s="232"/>
      <c r="C2586" s="400"/>
      <c r="D2586" s="233"/>
      <c r="E2586" s="405"/>
      <c r="F2586" s="405"/>
      <c r="G2586" s="405"/>
      <c r="H2586" s="408">
        <f>ROUND(+E2586+F2586+G2586,4)</f>
        <v>0</v>
      </c>
      <c r="I2586" s="234"/>
      <c r="J2586" s="411"/>
      <c r="K2586" s="411"/>
      <c r="L2586" s="414">
        <v>0.1</v>
      </c>
      <c r="M2586" s="414">
        <f>ROUND(+L2586*C2586,4)</f>
        <v>0</v>
      </c>
      <c r="N2586" s="414"/>
      <c r="O2586" s="414"/>
      <c r="P2586" s="414"/>
      <c r="Q2586" s="419">
        <f>ROUND(+N2586+O2586+P2586,4)</f>
        <v>0</v>
      </c>
      <c r="R2586" s="419">
        <f>ROUND(IF(+Q2586-H2586&lt;=0,0,Q2586-H2586),4)</f>
        <v>0</v>
      </c>
      <c r="S2586" s="423">
        <v>0.5</v>
      </c>
      <c r="T2586" s="419">
        <f>ROUND(+(R2586*C2586)*S2586,4)</f>
        <v>0</v>
      </c>
      <c r="U2586" s="419">
        <f>ROUND(+J2586+M2586+T2586,4)</f>
        <v>0</v>
      </c>
      <c r="V2586" s="235"/>
    </row>
    <row r="2587" spans="1:22" ht="15.75" x14ac:dyDescent="0.25">
      <c r="A2587" s="231"/>
      <c r="B2587" s="232"/>
      <c r="C2587" s="400"/>
      <c r="D2587" s="233"/>
      <c r="E2587" s="405"/>
      <c r="F2587" s="405"/>
      <c r="G2587" s="405"/>
      <c r="H2587" s="408">
        <f>ROUND(+E2587+F2587+G2587,4)</f>
        <v>0</v>
      </c>
      <c r="I2587" s="234"/>
      <c r="J2587" s="411"/>
      <c r="K2587" s="411"/>
      <c r="L2587" s="414">
        <v>0.1</v>
      </c>
      <c r="M2587" s="414">
        <f>ROUND(+L2587*C2587,4)</f>
        <v>0</v>
      </c>
      <c r="N2587" s="414"/>
      <c r="O2587" s="414"/>
      <c r="P2587" s="414"/>
      <c r="Q2587" s="419">
        <f>ROUND(+N2587+O2587+P2587,4)</f>
        <v>0</v>
      </c>
      <c r="R2587" s="419">
        <f>ROUND(IF(+Q2587-H2587&lt;=0,0,Q2587-H2587),4)</f>
        <v>0</v>
      </c>
      <c r="S2587" s="423">
        <v>0.5</v>
      </c>
      <c r="T2587" s="419">
        <f>ROUND(+(R2587*C2587)*S2587,4)</f>
        <v>0</v>
      </c>
      <c r="U2587" s="419">
        <f>ROUND(+J2587+M2587+T2587,4)</f>
        <v>0</v>
      </c>
      <c r="V2587" s="235"/>
    </row>
    <row r="2588" spans="1:22" ht="15.75" x14ac:dyDescent="0.25">
      <c r="A2588" s="231"/>
      <c r="B2588" s="232"/>
      <c r="C2588" s="400"/>
      <c r="D2588" s="233"/>
      <c r="E2588" s="405"/>
      <c r="F2588" s="405"/>
      <c r="G2588" s="405"/>
      <c r="H2588" s="408">
        <f>ROUND(+E2588+F2588+G2588,4)</f>
        <v>0</v>
      </c>
      <c r="I2588" s="234"/>
      <c r="J2588" s="411"/>
      <c r="K2588" s="411"/>
      <c r="L2588" s="414">
        <v>0.1</v>
      </c>
      <c r="M2588" s="414">
        <f>ROUND(+L2588*C2588,4)</f>
        <v>0</v>
      </c>
      <c r="N2588" s="414"/>
      <c r="O2588" s="414"/>
      <c r="P2588" s="414"/>
      <c r="Q2588" s="419">
        <f>ROUND(+N2588+O2588+P2588,4)</f>
        <v>0</v>
      </c>
      <c r="R2588" s="419">
        <f>ROUND(IF(+Q2588-H2588&lt;=0,0,Q2588-H2588),4)</f>
        <v>0</v>
      </c>
      <c r="S2588" s="423">
        <v>0.5</v>
      </c>
      <c r="T2588" s="419">
        <f>ROUND(+(R2588*C2588)*S2588,4)</f>
        <v>0</v>
      </c>
      <c r="U2588" s="419">
        <f>ROUND(+J2588+M2588+T2588,4)</f>
        <v>0</v>
      </c>
      <c r="V2588" s="235"/>
    </row>
    <row r="2589" spans="1:22" ht="15.75" x14ac:dyDescent="0.25">
      <c r="A2589" s="231"/>
      <c r="B2589" s="232"/>
      <c r="C2589" s="400"/>
      <c r="D2589" s="233"/>
      <c r="E2589" s="405"/>
      <c r="F2589" s="405"/>
      <c r="G2589" s="405"/>
      <c r="H2589" s="408">
        <f>ROUND(+E2589+F2589+G2589,4)</f>
        <v>0</v>
      </c>
      <c r="I2589" s="234"/>
      <c r="J2589" s="411"/>
      <c r="K2589" s="411"/>
      <c r="L2589" s="414">
        <v>0.1</v>
      </c>
      <c r="M2589" s="414">
        <f>ROUND(+L2589*C2589,4)</f>
        <v>0</v>
      </c>
      <c r="N2589" s="414"/>
      <c r="O2589" s="414"/>
      <c r="P2589" s="414"/>
      <c r="Q2589" s="419">
        <f>ROUND(+N2589+O2589+P2589,4)</f>
        <v>0</v>
      </c>
      <c r="R2589" s="419">
        <f>ROUND(IF(+Q2589-H2589&lt;=0,0,Q2589-H2589),4)</f>
        <v>0</v>
      </c>
      <c r="S2589" s="423">
        <v>0.5</v>
      </c>
      <c r="T2589" s="419">
        <f>ROUND(+(R2589*C2589)*S2589,4)</f>
        <v>0</v>
      </c>
      <c r="U2589" s="419">
        <f>ROUND(+J2589+M2589+T2589,4)</f>
        <v>0</v>
      </c>
      <c r="V2589" s="235"/>
    </row>
    <row r="2590" spans="1:22" ht="15.75" x14ac:dyDescent="0.25">
      <c r="A2590" s="231"/>
      <c r="B2590" s="232"/>
      <c r="C2590" s="400"/>
      <c r="D2590" s="233"/>
      <c r="E2590" s="405"/>
      <c r="F2590" s="405"/>
      <c r="G2590" s="405"/>
      <c r="H2590" s="408">
        <f>ROUND(+E2590+F2590+G2590,4)</f>
        <v>0</v>
      </c>
      <c r="I2590" s="234"/>
      <c r="J2590" s="411"/>
      <c r="K2590" s="411"/>
      <c r="L2590" s="414">
        <v>0.1</v>
      </c>
      <c r="M2590" s="414">
        <f>ROUND(+L2590*C2590,4)</f>
        <v>0</v>
      </c>
      <c r="N2590" s="414"/>
      <c r="O2590" s="414"/>
      <c r="P2590" s="414"/>
      <c r="Q2590" s="419">
        <f>ROUND(+N2590+O2590+P2590,4)</f>
        <v>0</v>
      </c>
      <c r="R2590" s="419">
        <f>ROUND(IF(+Q2590-H2590&lt;=0,0,Q2590-H2590),4)</f>
        <v>0</v>
      </c>
      <c r="S2590" s="423">
        <v>0.5</v>
      </c>
      <c r="T2590" s="419">
        <f>ROUND(+(R2590*C2590)*S2590,4)</f>
        <v>0</v>
      </c>
      <c r="U2590" s="419">
        <f>ROUND(+J2590+M2590+T2590,4)</f>
        <v>0</v>
      </c>
      <c r="V2590" s="235"/>
    </row>
    <row r="2591" spans="1:22" ht="15.75" x14ac:dyDescent="0.25">
      <c r="A2591" s="231"/>
      <c r="B2591" s="232"/>
      <c r="C2591" s="400"/>
      <c r="D2591" s="233"/>
      <c r="E2591" s="405"/>
      <c r="F2591" s="405"/>
      <c r="G2591" s="405"/>
      <c r="H2591" s="408">
        <f>ROUND(+E2591+F2591+G2591,4)</f>
        <v>0</v>
      </c>
      <c r="I2591" s="234"/>
      <c r="J2591" s="411"/>
      <c r="K2591" s="411"/>
      <c r="L2591" s="414">
        <v>0.1</v>
      </c>
      <c r="M2591" s="414">
        <f>ROUND(+L2591*C2591,4)</f>
        <v>0</v>
      </c>
      <c r="N2591" s="414"/>
      <c r="O2591" s="414"/>
      <c r="P2591" s="414"/>
      <c r="Q2591" s="419">
        <f>ROUND(+N2591+O2591+P2591,4)</f>
        <v>0</v>
      </c>
      <c r="R2591" s="419">
        <f>ROUND(IF(+Q2591-H2591&lt;=0,0,Q2591-H2591),4)</f>
        <v>0</v>
      </c>
      <c r="S2591" s="423">
        <v>0.5</v>
      </c>
      <c r="T2591" s="419">
        <f>ROUND(+(R2591*C2591)*S2591,4)</f>
        <v>0</v>
      </c>
      <c r="U2591" s="419">
        <f>ROUND(+J2591+M2591+T2591,4)</f>
        <v>0</v>
      </c>
      <c r="V2591" s="235"/>
    </row>
    <row r="2592" spans="1:22" ht="15.75" x14ac:dyDescent="0.25">
      <c r="A2592" s="231"/>
      <c r="B2592" s="232"/>
      <c r="C2592" s="400"/>
      <c r="D2592" s="233"/>
      <c r="E2592" s="405"/>
      <c r="F2592" s="405"/>
      <c r="G2592" s="405"/>
      <c r="H2592" s="408">
        <f>ROUND(+E2592+F2592+G2592,4)</f>
        <v>0</v>
      </c>
      <c r="I2592" s="234"/>
      <c r="J2592" s="411"/>
      <c r="K2592" s="411"/>
      <c r="L2592" s="414">
        <v>0.1</v>
      </c>
      <c r="M2592" s="414">
        <f>ROUND(+L2592*C2592,4)</f>
        <v>0</v>
      </c>
      <c r="N2592" s="414"/>
      <c r="O2592" s="414"/>
      <c r="P2592" s="414"/>
      <c r="Q2592" s="419">
        <f>ROUND(+N2592+O2592+P2592,4)</f>
        <v>0</v>
      </c>
      <c r="R2592" s="419">
        <f>ROUND(IF(+Q2592-H2592&lt;=0,0,Q2592-H2592),4)</f>
        <v>0</v>
      </c>
      <c r="S2592" s="423">
        <v>0.5</v>
      </c>
      <c r="T2592" s="419">
        <f>ROUND(+(R2592*C2592)*S2592,4)</f>
        <v>0</v>
      </c>
      <c r="U2592" s="419">
        <f>ROUND(+J2592+M2592+T2592,4)</f>
        <v>0</v>
      </c>
      <c r="V2592" s="235"/>
    </row>
    <row r="2593" spans="1:22" ht="15.75" x14ac:dyDescent="0.25">
      <c r="A2593" s="231"/>
      <c r="B2593" s="232"/>
      <c r="C2593" s="400"/>
      <c r="D2593" s="233"/>
      <c r="E2593" s="405"/>
      <c r="F2593" s="405"/>
      <c r="G2593" s="405"/>
      <c r="H2593" s="408">
        <f>ROUND(+E2593+F2593+G2593,4)</f>
        <v>0</v>
      </c>
      <c r="I2593" s="234"/>
      <c r="J2593" s="411"/>
      <c r="K2593" s="411"/>
      <c r="L2593" s="414">
        <v>0.1</v>
      </c>
      <c r="M2593" s="414">
        <f>ROUND(+L2593*C2593,4)</f>
        <v>0</v>
      </c>
      <c r="N2593" s="414"/>
      <c r="O2593" s="414"/>
      <c r="P2593" s="414"/>
      <c r="Q2593" s="419">
        <f>ROUND(+N2593+O2593+P2593,4)</f>
        <v>0</v>
      </c>
      <c r="R2593" s="419">
        <f>ROUND(IF(+Q2593-H2593&lt;=0,0,Q2593-H2593),4)</f>
        <v>0</v>
      </c>
      <c r="S2593" s="423">
        <v>0.5</v>
      </c>
      <c r="T2593" s="419">
        <f>ROUND(+(R2593*C2593)*S2593,4)</f>
        <v>0</v>
      </c>
      <c r="U2593" s="419">
        <f>ROUND(+J2593+M2593+T2593,4)</f>
        <v>0</v>
      </c>
      <c r="V2593" s="235"/>
    </row>
    <row r="2594" spans="1:22" ht="15.75" x14ac:dyDescent="0.25">
      <c r="A2594" s="231"/>
      <c r="B2594" s="232"/>
      <c r="C2594" s="400"/>
      <c r="D2594" s="233"/>
      <c r="E2594" s="405"/>
      <c r="F2594" s="405"/>
      <c r="G2594" s="405"/>
      <c r="H2594" s="408">
        <f>ROUND(+E2594+F2594+G2594,4)</f>
        <v>0</v>
      </c>
      <c r="I2594" s="234"/>
      <c r="J2594" s="411"/>
      <c r="K2594" s="411"/>
      <c r="L2594" s="414">
        <v>0.1</v>
      </c>
      <c r="M2594" s="414">
        <f>ROUND(+L2594*C2594,4)</f>
        <v>0</v>
      </c>
      <c r="N2594" s="414"/>
      <c r="O2594" s="414"/>
      <c r="P2594" s="414"/>
      <c r="Q2594" s="419">
        <f>ROUND(+N2594+O2594+P2594,4)</f>
        <v>0</v>
      </c>
      <c r="R2594" s="419">
        <f>ROUND(IF(+Q2594-H2594&lt;=0,0,Q2594-H2594),4)</f>
        <v>0</v>
      </c>
      <c r="S2594" s="423">
        <v>0.5</v>
      </c>
      <c r="T2594" s="419">
        <f>ROUND(+(R2594*C2594)*S2594,4)</f>
        <v>0</v>
      </c>
      <c r="U2594" s="419">
        <f>ROUND(+J2594+M2594+T2594,4)</f>
        <v>0</v>
      </c>
      <c r="V2594" s="235"/>
    </row>
    <row r="2595" spans="1:22" ht="15.75" x14ac:dyDescent="0.25">
      <c r="A2595" s="231"/>
      <c r="B2595" s="232"/>
      <c r="C2595" s="400"/>
      <c r="D2595" s="233"/>
      <c r="E2595" s="405"/>
      <c r="F2595" s="405"/>
      <c r="G2595" s="405"/>
      <c r="H2595" s="408">
        <f>ROUND(+E2595+F2595+G2595,4)</f>
        <v>0</v>
      </c>
      <c r="I2595" s="234"/>
      <c r="J2595" s="411"/>
      <c r="K2595" s="411"/>
      <c r="L2595" s="414">
        <v>0.1</v>
      </c>
      <c r="M2595" s="414">
        <f>ROUND(+L2595*C2595,4)</f>
        <v>0</v>
      </c>
      <c r="N2595" s="414"/>
      <c r="O2595" s="414"/>
      <c r="P2595" s="414"/>
      <c r="Q2595" s="419">
        <f>ROUND(+N2595+O2595+P2595,4)</f>
        <v>0</v>
      </c>
      <c r="R2595" s="419">
        <f>ROUND(IF(+Q2595-H2595&lt;=0,0,Q2595-H2595),4)</f>
        <v>0</v>
      </c>
      <c r="S2595" s="423">
        <v>0.5</v>
      </c>
      <c r="T2595" s="419">
        <f>ROUND(+(R2595*C2595)*S2595,4)</f>
        <v>0</v>
      </c>
      <c r="U2595" s="419">
        <f>ROUND(+J2595+M2595+T2595,4)</f>
        <v>0</v>
      </c>
      <c r="V2595" s="235"/>
    </row>
    <row r="2596" spans="1:22" ht="15.75" x14ac:dyDescent="0.25">
      <c r="A2596" s="231"/>
      <c r="B2596" s="232"/>
      <c r="C2596" s="400"/>
      <c r="D2596" s="233"/>
      <c r="E2596" s="405"/>
      <c r="F2596" s="405"/>
      <c r="G2596" s="405"/>
      <c r="H2596" s="408">
        <f>ROUND(+E2596+F2596+G2596,4)</f>
        <v>0</v>
      </c>
      <c r="I2596" s="234"/>
      <c r="J2596" s="411"/>
      <c r="K2596" s="411"/>
      <c r="L2596" s="414">
        <v>0.1</v>
      </c>
      <c r="M2596" s="414">
        <f>ROUND(+L2596*C2596,4)</f>
        <v>0</v>
      </c>
      <c r="N2596" s="414"/>
      <c r="O2596" s="414"/>
      <c r="P2596" s="414"/>
      <c r="Q2596" s="419">
        <f>ROUND(+N2596+O2596+P2596,4)</f>
        <v>0</v>
      </c>
      <c r="R2596" s="419">
        <f>ROUND(IF(+Q2596-H2596&lt;=0,0,Q2596-H2596),4)</f>
        <v>0</v>
      </c>
      <c r="S2596" s="423">
        <v>0.5</v>
      </c>
      <c r="T2596" s="419">
        <f>ROUND(+(R2596*C2596)*S2596,4)</f>
        <v>0</v>
      </c>
      <c r="U2596" s="419">
        <f>ROUND(+J2596+M2596+T2596,4)</f>
        <v>0</v>
      </c>
      <c r="V2596" s="235"/>
    </row>
    <row r="2597" spans="1:22" ht="15.75" x14ac:dyDescent="0.25">
      <c r="A2597" s="231"/>
      <c r="B2597" s="232"/>
      <c r="C2597" s="400"/>
      <c r="D2597" s="233"/>
      <c r="E2597" s="405"/>
      <c r="F2597" s="405"/>
      <c r="G2597" s="405"/>
      <c r="H2597" s="408">
        <f>ROUND(+E2597+F2597+G2597,4)</f>
        <v>0</v>
      </c>
      <c r="I2597" s="234"/>
      <c r="J2597" s="411"/>
      <c r="K2597" s="411"/>
      <c r="L2597" s="414">
        <v>0.1</v>
      </c>
      <c r="M2597" s="414">
        <f>ROUND(+L2597*C2597,4)</f>
        <v>0</v>
      </c>
      <c r="N2597" s="414"/>
      <c r="O2597" s="414"/>
      <c r="P2597" s="414"/>
      <c r="Q2597" s="419">
        <f>ROUND(+N2597+O2597+P2597,4)</f>
        <v>0</v>
      </c>
      <c r="R2597" s="419">
        <f>ROUND(IF(+Q2597-H2597&lt;=0,0,Q2597-H2597),4)</f>
        <v>0</v>
      </c>
      <c r="S2597" s="423">
        <v>0.5</v>
      </c>
      <c r="T2597" s="419">
        <f>ROUND(+(R2597*C2597)*S2597,4)</f>
        <v>0</v>
      </c>
      <c r="U2597" s="419">
        <f>ROUND(+J2597+M2597+T2597,4)</f>
        <v>0</v>
      </c>
      <c r="V2597" s="235"/>
    </row>
    <row r="2598" spans="1:22" ht="15.75" x14ac:dyDescent="0.25">
      <c r="A2598" s="231"/>
      <c r="B2598" s="232"/>
      <c r="C2598" s="400"/>
      <c r="D2598" s="233"/>
      <c r="E2598" s="405"/>
      <c r="F2598" s="405"/>
      <c r="G2598" s="405"/>
      <c r="H2598" s="408">
        <f>ROUND(+E2598+F2598+G2598,4)</f>
        <v>0</v>
      </c>
      <c r="I2598" s="234"/>
      <c r="J2598" s="411"/>
      <c r="K2598" s="411"/>
      <c r="L2598" s="414">
        <v>0.1</v>
      </c>
      <c r="M2598" s="414">
        <f>ROUND(+L2598*C2598,4)</f>
        <v>0</v>
      </c>
      <c r="N2598" s="414"/>
      <c r="O2598" s="414"/>
      <c r="P2598" s="414"/>
      <c r="Q2598" s="419">
        <f>ROUND(+N2598+O2598+P2598,4)</f>
        <v>0</v>
      </c>
      <c r="R2598" s="419">
        <f>ROUND(IF(+Q2598-H2598&lt;=0,0,Q2598-H2598),4)</f>
        <v>0</v>
      </c>
      <c r="S2598" s="423">
        <v>0.5</v>
      </c>
      <c r="T2598" s="419">
        <f>ROUND(+(R2598*C2598)*S2598,4)</f>
        <v>0</v>
      </c>
      <c r="U2598" s="419">
        <f>ROUND(+J2598+M2598+T2598,4)</f>
        <v>0</v>
      </c>
      <c r="V2598" s="235"/>
    </row>
    <row r="2599" spans="1:22" ht="15.75" x14ac:dyDescent="0.25">
      <c r="A2599" s="231"/>
      <c r="B2599" s="232"/>
      <c r="C2599" s="400"/>
      <c r="D2599" s="233"/>
      <c r="E2599" s="405"/>
      <c r="F2599" s="405"/>
      <c r="G2599" s="405"/>
      <c r="H2599" s="408">
        <f>ROUND(+E2599+F2599+G2599,4)</f>
        <v>0</v>
      </c>
      <c r="I2599" s="234"/>
      <c r="J2599" s="411"/>
      <c r="K2599" s="411"/>
      <c r="L2599" s="414">
        <v>0.1</v>
      </c>
      <c r="M2599" s="414">
        <f>ROUND(+L2599*C2599,4)</f>
        <v>0</v>
      </c>
      <c r="N2599" s="414"/>
      <c r="O2599" s="414"/>
      <c r="P2599" s="414"/>
      <c r="Q2599" s="419">
        <f>ROUND(+N2599+O2599+P2599,4)</f>
        <v>0</v>
      </c>
      <c r="R2599" s="419">
        <f>ROUND(IF(+Q2599-H2599&lt;=0,0,Q2599-H2599),4)</f>
        <v>0</v>
      </c>
      <c r="S2599" s="423">
        <v>0.5</v>
      </c>
      <c r="T2599" s="419">
        <f>ROUND(+(R2599*C2599)*S2599,4)</f>
        <v>0</v>
      </c>
      <c r="U2599" s="419">
        <f>ROUND(+J2599+M2599+T2599,4)</f>
        <v>0</v>
      </c>
      <c r="V2599" s="235"/>
    </row>
    <row r="2600" spans="1:22" ht="15.75" x14ac:dyDescent="0.25">
      <c r="A2600" s="231"/>
      <c r="B2600" s="232"/>
      <c r="C2600" s="400"/>
      <c r="D2600" s="233"/>
      <c r="E2600" s="405"/>
      <c r="F2600" s="405"/>
      <c r="G2600" s="405"/>
      <c r="H2600" s="408">
        <f>ROUND(+E2600+F2600+G2600,4)</f>
        <v>0</v>
      </c>
      <c r="I2600" s="234"/>
      <c r="J2600" s="411"/>
      <c r="K2600" s="411"/>
      <c r="L2600" s="414">
        <v>0.1</v>
      </c>
      <c r="M2600" s="414">
        <f>ROUND(+L2600*C2600,4)</f>
        <v>0</v>
      </c>
      <c r="N2600" s="414"/>
      <c r="O2600" s="414"/>
      <c r="P2600" s="414"/>
      <c r="Q2600" s="419">
        <f>ROUND(+N2600+O2600+P2600,4)</f>
        <v>0</v>
      </c>
      <c r="R2600" s="419">
        <f>ROUND(IF(+Q2600-H2600&lt;=0,0,Q2600-H2600),4)</f>
        <v>0</v>
      </c>
      <c r="S2600" s="423">
        <v>0.5</v>
      </c>
      <c r="T2600" s="419">
        <f>ROUND(+(R2600*C2600)*S2600,4)</f>
        <v>0</v>
      </c>
      <c r="U2600" s="419">
        <f>ROUND(+J2600+M2600+T2600,4)</f>
        <v>0</v>
      </c>
      <c r="V2600" s="235"/>
    </row>
    <row r="2601" spans="1:22" ht="15.75" x14ac:dyDescent="0.25">
      <c r="A2601" s="231"/>
      <c r="B2601" s="232"/>
      <c r="C2601" s="400"/>
      <c r="D2601" s="233"/>
      <c r="E2601" s="405"/>
      <c r="F2601" s="405"/>
      <c r="G2601" s="405"/>
      <c r="H2601" s="408">
        <f>ROUND(+E2601+F2601+G2601,4)</f>
        <v>0</v>
      </c>
      <c r="I2601" s="234"/>
      <c r="J2601" s="411"/>
      <c r="K2601" s="411"/>
      <c r="L2601" s="414">
        <v>0.1</v>
      </c>
      <c r="M2601" s="414">
        <f>ROUND(+L2601*C2601,4)</f>
        <v>0</v>
      </c>
      <c r="N2601" s="414"/>
      <c r="O2601" s="414"/>
      <c r="P2601" s="414"/>
      <c r="Q2601" s="419">
        <f>ROUND(+N2601+O2601+P2601,4)</f>
        <v>0</v>
      </c>
      <c r="R2601" s="419">
        <f>ROUND(IF(+Q2601-H2601&lt;=0,0,Q2601-H2601),4)</f>
        <v>0</v>
      </c>
      <c r="S2601" s="423">
        <v>0.5</v>
      </c>
      <c r="T2601" s="419">
        <f>ROUND(+(R2601*C2601)*S2601,4)</f>
        <v>0</v>
      </c>
      <c r="U2601" s="419">
        <f>ROUND(+J2601+M2601+T2601,4)</f>
        <v>0</v>
      </c>
      <c r="V2601" s="235"/>
    </row>
    <row r="2602" spans="1:22" ht="15.75" x14ac:dyDescent="0.25">
      <c r="A2602" s="231"/>
      <c r="B2602" s="232"/>
      <c r="C2602" s="400"/>
      <c r="D2602" s="233"/>
      <c r="E2602" s="405"/>
      <c r="F2602" s="405"/>
      <c r="G2602" s="405"/>
      <c r="H2602" s="408">
        <f>ROUND(+E2602+F2602+G2602,4)</f>
        <v>0</v>
      </c>
      <c r="I2602" s="234"/>
      <c r="J2602" s="411"/>
      <c r="K2602" s="411"/>
      <c r="L2602" s="414">
        <v>0.1</v>
      </c>
      <c r="M2602" s="414">
        <f>ROUND(+L2602*C2602,4)</f>
        <v>0</v>
      </c>
      <c r="N2602" s="414"/>
      <c r="O2602" s="414"/>
      <c r="P2602" s="414"/>
      <c r="Q2602" s="419">
        <f>ROUND(+N2602+O2602+P2602,4)</f>
        <v>0</v>
      </c>
      <c r="R2602" s="419">
        <f>ROUND(IF(+Q2602-H2602&lt;=0,0,Q2602-H2602),4)</f>
        <v>0</v>
      </c>
      <c r="S2602" s="423">
        <v>0.5</v>
      </c>
      <c r="T2602" s="419">
        <f>ROUND(+(R2602*C2602)*S2602,4)</f>
        <v>0</v>
      </c>
      <c r="U2602" s="419">
        <f>ROUND(+J2602+M2602+T2602,4)</f>
        <v>0</v>
      </c>
      <c r="V2602" s="235"/>
    </row>
    <row r="2603" spans="1:22" ht="15.75" x14ac:dyDescent="0.25">
      <c r="A2603" s="231"/>
      <c r="B2603" s="232"/>
      <c r="C2603" s="400"/>
      <c r="D2603" s="233"/>
      <c r="E2603" s="405"/>
      <c r="F2603" s="405"/>
      <c r="G2603" s="405"/>
      <c r="H2603" s="408">
        <f>ROUND(+E2603+F2603+G2603,4)</f>
        <v>0</v>
      </c>
      <c r="I2603" s="234"/>
      <c r="J2603" s="411"/>
      <c r="K2603" s="411"/>
      <c r="L2603" s="414">
        <v>0.1</v>
      </c>
      <c r="M2603" s="414">
        <f>ROUND(+L2603*C2603,4)</f>
        <v>0</v>
      </c>
      <c r="N2603" s="414"/>
      <c r="O2603" s="414"/>
      <c r="P2603" s="414"/>
      <c r="Q2603" s="419">
        <f>ROUND(+N2603+O2603+P2603,4)</f>
        <v>0</v>
      </c>
      <c r="R2603" s="419">
        <f>ROUND(IF(+Q2603-H2603&lt;=0,0,Q2603-H2603),4)</f>
        <v>0</v>
      </c>
      <c r="S2603" s="423">
        <v>0.5</v>
      </c>
      <c r="T2603" s="419">
        <f>ROUND(+(R2603*C2603)*S2603,4)</f>
        <v>0</v>
      </c>
      <c r="U2603" s="419">
        <f>ROUND(+J2603+M2603+T2603,4)</f>
        <v>0</v>
      </c>
      <c r="V2603" s="235"/>
    </row>
    <row r="2604" spans="1:22" ht="15.75" x14ac:dyDescent="0.25">
      <c r="A2604" s="231"/>
      <c r="B2604" s="232"/>
      <c r="C2604" s="400"/>
      <c r="D2604" s="233"/>
      <c r="E2604" s="405"/>
      <c r="F2604" s="405"/>
      <c r="G2604" s="405"/>
      <c r="H2604" s="408">
        <f>ROUND(+E2604+F2604+G2604,4)</f>
        <v>0</v>
      </c>
      <c r="I2604" s="234"/>
      <c r="J2604" s="411"/>
      <c r="K2604" s="411"/>
      <c r="L2604" s="414">
        <v>0.1</v>
      </c>
      <c r="M2604" s="414">
        <f>ROUND(+L2604*C2604,4)</f>
        <v>0</v>
      </c>
      <c r="N2604" s="414"/>
      <c r="O2604" s="414"/>
      <c r="P2604" s="414"/>
      <c r="Q2604" s="419">
        <f>ROUND(+N2604+O2604+P2604,4)</f>
        <v>0</v>
      </c>
      <c r="R2604" s="419">
        <f>ROUND(IF(+Q2604-H2604&lt;=0,0,Q2604-H2604),4)</f>
        <v>0</v>
      </c>
      <c r="S2604" s="423">
        <v>0.5</v>
      </c>
      <c r="T2604" s="419">
        <f>ROUND(+(R2604*C2604)*S2604,4)</f>
        <v>0</v>
      </c>
      <c r="U2604" s="419">
        <f>ROUND(+J2604+M2604+T2604,4)</f>
        <v>0</v>
      </c>
      <c r="V2604" s="235"/>
    </row>
    <row r="2605" spans="1:22" ht="15.75" x14ac:dyDescent="0.25">
      <c r="A2605" s="231"/>
      <c r="B2605" s="232"/>
      <c r="C2605" s="400"/>
      <c r="D2605" s="233"/>
      <c r="E2605" s="405"/>
      <c r="F2605" s="405"/>
      <c r="G2605" s="405"/>
      <c r="H2605" s="408">
        <f>ROUND(+E2605+F2605+G2605,4)</f>
        <v>0</v>
      </c>
      <c r="I2605" s="234"/>
      <c r="J2605" s="411"/>
      <c r="K2605" s="411"/>
      <c r="L2605" s="414">
        <v>0.1</v>
      </c>
      <c r="M2605" s="414">
        <f>ROUND(+L2605*C2605,4)</f>
        <v>0</v>
      </c>
      <c r="N2605" s="414"/>
      <c r="O2605" s="414"/>
      <c r="P2605" s="414"/>
      <c r="Q2605" s="419">
        <f>ROUND(+N2605+O2605+P2605,4)</f>
        <v>0</v>
      </c>
      <c r="R2605" s="419">
        <f>ROUND(IF(+Q2605-H2605&lt;=0,0,Q2605-H2605),4)</f>
        <v>0</v>
      </c>
      <c r="S2605" s="423">
        <v>0.5</v>
      </c>
      <c r="T2605" s="419">
        <f>ROUND(+(R2605*C2605)*S2605,4)</f>
        <v>0</v>
      </c>
      <c r="U2605" s="419">
        <f>ROUND(+J2605+M2605+T2605,4)</f>
        <v>0</v>
      </c>
      <c r="V2605" s="235"/>
    </row>
    <row r="2606" spans="1:22" ht="15.75" x14ac:dyDescent="0.25">
      <c r="A2606" s="231"/>
      <c r="B2606" s="232"/>
      <c r="C2606" s="400"/>
      <c r="D2606" s="233"/>
      <c r="E2606" s="405"/>
      <c r="F2606" s="405"/>
      <c r="G2606" s="405"/>
      <c r="H2606" s="408">
        <f>ROUND(+E2606+F2606+G2606,4)</f>
        <v>0</v>
      </c>
      <c r="I2606" s="234"/>
      <c r="J2606" s="411"/>
      <c r="K2606" s="411"/>
      <c r="L2606" s="414">
        <v>0.1</v>
      </c>
      <c r="M2606" s="414">
        <f>ROUND(+L2606*C2606,4)</f>
        <v>0</v>
      </c>
      <c r="N2606" s="414"/>
      <c r="O2606" s="414"/>
      <c r="P2606" s="414"/>
      <c r="Q2606" s="419">
        <f>ROUND(+N2606+O2606+P2606,4)</f>
        <v>0</v>
      </c>
      <c r="R2606" s="419">
        <f>ROUND(IF(+Q2606-H2606&lt;=0,0,Q2606-H2606),4)</f>
        <v>0</v>
      </c>
      <c r="S2606" s="423">
        <v>0.5</v>
      </c>
      <c r="T2606" s="419">
        <f>ROUND(+(R2606*C2606)*S2606,4)</f>
        <v>0</v>
      </c>
      <c r="U2606" s="419">
        <f>ROUND(+J2606+M2606+T2606,4)</f>
        <v>0</v>
      </c>
      <c r="V2606" s="235"/>
    </row>
    <row r="2607" spans="1:22" ht="15.75" x14ac:dyDescent="0.25">
      <c r="A2607" s="231"/>
      <c r="B2607" s="232"/>
      <c r="C2607" s="400"/>
      <c r="D2607" s="233"/>
      <c r="E2607" s="405"/>
      <c r="F2607" s="405"/>
      <c r="G2607" s="405"/>
      <c r="H2607" s="408">
        <f>ROUND(+E2607+F2607+G2607,4)</f>
        <v>0</v>
      </c>
      <c r="I2607" s="234"/>
      <c r="J2607" s="411"/>
      <c r="K2607" s="411"/>
      <c r="L2607" s="414">
        <v>0.1</v>
      </c>
      <c r="M2607" s="414">
        <f>ROUND(+L2607*C2607,4)</f>
        <v>0</v>
      </c>
      <c r="N2607" s="414"/>
      <c r="O2607" s="414"/>
      <c r="P2607" s="414"/>
      <c r="Q2607" s="419">
        <f>ROUND(+N2607+O2607+P2607,4)</f>
        <v>0</v>
      </c>
      <c r="R2607" s="419">
        <f>ROUND(IF(+Q2607-H2607&lt;=0,0,Q2607-H2607),4)</f>
        <v>0</v>
      </c>
      <c r="S2607" s="423">
        <v>0.5</v>
      </c>
      <c r="T2607" s="419">
        <f>ROUND(+(R2607*C2607)*S2607,4)</f>
        <v>0</v>
      </c>
      <c r="U2607" s="419">
        <f>ROUND(+J2607+M2607+T2607,4)</f>
        <v>0</v>
      </c>
      <c r="V2607" s="235"/>
    </row>
    <row r="2608" spans="1:22" ht="15.75" x14ac:dyDescent="0.25">
      <c r="A2608" s="231"/>
      <c r="B2608" s="232"/>
      <c r="C2608" s="400"/>
      <c r="D2608" s="233"/>
      <c r="E2608" s="405"/>
      <c r="F2608" s="405"/>
      <c r="G2608" s="405"/>
      <c r="H2608" s="408">
        <f>ROUND(+E2608+F2608+G2608,4)</f>
        <v>0</v>
      </c>
      <c r="I2608" s="234"/>
      <c r="J2608" s="411"/>
      <c r="K2608" s="411"/>
      <c r="L2608" s="414">
        <v>0.1</v>
      </c>
      <c r="M2608" s="414">
        <f>ROUND(+L2608*C2608,4)</f>
        <v>0</v>
      </c>
      <c r="N2608" s="414"/>
      <c r="O2608" s="414"/>
      <c r="P2608" s="414"/>
      <c r="Q2608" s="419">
        <f>ROUND(+N2608+O2608+P2608,4)</f>
        <v>0</v>
      </c>
      <c r="R2608" s="419">
        <f>ROUND(IF(+Q2608-H2608&lt;=0,0,Q2608-H2608),4)</f>
        <v>0</v>
      </c>
      <c r="S2608" s="423">
        <v>0.5</v>
      </c>
      <c r="T2608" s="419">
        <f>ROUND(+(R2608*C2608)*S2608,4)</f>
        <v>0</v>
      </c>
      <c r="U2608" s="419">
        <f>ROUND(+J2608+M2608+T2608,4)</f>
        <v>0</v>
      </c>
      <c r="V2608" s="235"/>
    </row>
    <row r="2609" spans="1:22" ht="15.75" x14ac:dyDescent="0.25">
      <c r="A2609" s="231"/>
      <c r="B2609" s="232"/>
      <c r="C2609" s="400"/>
      <c r="D2609" s="233"/>
      <c r="E2609" s="405"/>
      <c r="F2609" s="405"/>
      <c r="G2609" s="405"/>
      <c r="H2609" s="408">
        <f>ROUND(+E2609+F2609+G2609,4)</f>
        <v>0</v>
      </c>
      <c r="I2609" s="234"/>
      <c r="J2609" s="411"/>
      <c r="K2609" s="411"/>
      <c r="L2609" s="414">
        <v>0.1</v>
      </c>
      <c r="M2609" s="414">
        <f>ROUND(+L2609*C2609,4)</f>
        <v>0</v>
      </c>
      <c r="N2609" s="414"/>
      <c r="O2609" s="414"/>
      <c r="P2609" s="414"/>
      <c r="Q2609" s="419">
        <f>ROUND(+N2609+O2609+P2609,4)</f>
        <v>0</v>
      </c>
      <c r="R2609" s="419">
        <f>ROUND(IF(+Q2609-H2609&lt;=0,0,Q2609-H2609),4)</f>
        <v>0</v>
      </c>
      <c r="S2609" s="423">
        <v>0.5</v>
      </c>
      <c r="T2609" s="419">
        <f>ROUND(+(R2609*C2609)*S2609,4)</f>
        <v>0</v>
      </c>
      <c r="U2609" s="419">
        <f>ROUND(+J2609+M2609+T2609,4)</f>
        <v>0</v>
      </c>
      <c r="V2609" s="235"/>
    </row>
    <row r="2610" spans="1:22" ht="15.75" x14ac:dyDescent="0.25">
      <c r="A2610" s="231"/>
      <c r="B2610" s="232"/>
      <c r="C2610" s="400"/>
      <c r="D2610" s="233"/>
      <c r="E2610" s="405"/>
      <c r="F2610" s="405"/>
      <c r="G2610" s="405"/>
      <c r="H2610" s="408">
        <f>ROUND(+E2610+F2610+G2610,4)</f>
        <v>0</v>
      </c>
      <c r="I2610" s="234"/>
      <c r="J2610" s="411"/>
      <c r="K2610" s="411"/>
      <c r="L2610" s="414">
        <v>0.1</v>
      </c>
      <c r="M2610" s="414">
        <f>ROUND(+L2610*C2610,4)</f>
        <v>0</v>
      </c>
      <c r="N2610" s="414"/>
      <c r="O2610" s="414"/>
      <c r="P2610" s="414"/>
      <c r="Q2610" s="419">
        <f>ROUND(+N2610+O2610+P2610,4)</f>
        <v>0</v>
      </c>
      <c r="R2610" s="419">
        <f>ROUND(IF(+Q2610-H2610&lt;=0,0,Q2610-H2610),4)</f>
        <v>0</v>
      </c>
      <c r="S2610" s="423">
        <v>0.5</v>
      </c>
      <c r="T2610" s="419">
        <f>ROUND(+(R2610*C2610)*S2610,4)</f>
        <v>0</v>
      </c>
      <c r="U2610" s="419">
        <f>ROUND(+J2610+M2610+T2610,4)</f>
        <v>0</v>
      </c>
      <c r="V2610" s="235"/>
    </row>
    <row r="2611" spans="1:22" ht="15.75" x14ac:dyDescent="0.25">
      <c r="A2611" s="231"/>
      <c r="B2611" s="232"/>
      <c r="C2611" s="400"/>
      <c r="D2611" s="233"/>
      <c r="E2611" s="405"/>
      <c r="F2611" s="405"/>
      <c r="G2611" s="405"/>
      <c r="H2611" s="408">
        <f>ROUND(+E2611+F2611+G2611,4)</f>
        <v>0</v>
      </c>
      <c r="I2611" s="234"/>
      <c r="J2611" s="411"/>
      <c r="K2611" s="411"/>
      <c r="L2611" s="414">
        <v>0.1</v>
      </c>
      <c r="M2611" s="414">
        <f>ROUND(+L2611*C2611,4)</f>
        <v>0</v>
      </c>
      <c r="N2611" s="414"/>
      <c r="O2611" s="414"/>
      <c r="P2611" s="414"/>
      <c r="Q2611" s="419">
        <f>ROUND(+N2611+O2611+P2611,4)</f>
        <v>0</v>
      </c>
      <c r="R2611" s="419">
        <f>ROUND(IF(+Q2611-H2611&lt;=0,0,Q2611-H2611),4)</f>
        <v>0</v>
      </c>
      <c r="S2611" s="423">
        <v>0.5</v>
      </c>
      <c r="T2611" s="419">
        <f>ROUND(+(R2611*C2611)*S2611,4)</f>
        <v>0</v>
      </c>
      <c r="U2611" s="419">
        <f>ROUND(+J2611+M2611+T2611,4)</f>
        <v>0</v>
      </c>
      <c r="V2611" s="235"/>
    </row>
    <row r="2612" spans="1:22" ht="15.75" x14ac:dyDescent="0.25">
      <c r="A2612" s="231"/>
      <c r="B2612" s="232"/>
      <c r="C2612" s="400"/>
      <c r="D2612" s="233"/>
      <c r="E2612" s="405"/>
      <c r="F2612" s="405"/>
      <c r="G2612" s="405"/>
      <c r="H2612" s="408">
        <f>ROUND(+E2612+F2612+G2612,4)</f>
        <v>0</v>
      </c>
      <c r="I2612" s="234"/>
      <c r="J2612" s="411"/>
      <c r="K2612" s="411"/>
      <c r="L2612" s="414">
        <v>0.1</v>
      </c>
      <c r="M2612" s="414">
        <f>ROUND(+L2612*C2612,4)</f>
        <v>0</v>
      </c>
      <c r="N2612" s="414"/>
      <c r="O2612" s="414"/>
      <c r="P2612" s="414"/>
      <c r="Q2612" s="419">
        <f>ROUND(+N2612+O2612+P2612,4)</f>
        <v>0</v>
      </c>
      <c r="R2612" s="419">
        <f>ROUND(IF(+Q2612-H2612&lt;=0,0,Q2612-H2612),4)</f>
        <v>0</v>
      </c>
      <c r="S2612" s="423">
        <v>0.5</v>
      </c>
      <c r="T2612" s="419">
        <f>ROUND(+(R2612*C2612)*S2612,4)</f>
        <v>0</v>
      </c>
      <c r="U2612" s="419">
        <f>ROUND(+J2612+M2612+T2612,4)</f>
        <v>0</v>
      </c>
      <c r="V2612" s="235"/>
    </row>
    <row r="2613" spans="1:22" ht="15.75" x14ac:dyDescent="0.25">
      <c r="A2613" s="231"/>
      <c r="B2613" s="232"/>
      <c r="C2613" s="400"/>
      <c r="D2613" s="233"/>
      <c r="E2613" s="405"/>
      <c r="F2613" s="405"/>
      <c r="G2613" s="405"/>
      <c r="H2613" s="408">
        <f>ROUND(+E2613+F2613+G2613,4)</f>
        <v>0</v>
      </c>
      <c r="I2613" s="234"/>
      <c r="J2613" s="411"/>
      <c r="K2613" s="411"/>
      <c r="L2613" s="414">
        <v>0.1</v>
      </c>
      <c r="M2613" s="414">
        <f>ROUND(+L2613*C2613,4)</f>
        <v>0</v>
      </c>
      <c r="N2613" s="414"/>
      <c r="O2613" s="414"/>
      <c r="P2613" s="414"/>
      <c r="Q2613" s="419">
        <f>ROUND(+N2613+O2613+P2613,4)</f>
        <v>0</v>
      </c>
      <c r="R2613" s="419">
        <f>ROUND(IF(+Q2613-H2613&lt;=0,0,Q2613-H2613),4)</f>
        <v>0</v>
      </c>
      <c r="S2613" s="423">
        <v>0.5</v>
      </c>
      <c r="T2613" s="419">
        <f>ROUND(+(R2613*C2613)*S2613,4)</f>
        <v>0</v>
      </c>
      <c r="U2613" s="419">
        <f>ROUND(+J2613+M2613+T2613,4)</f>
        <v>0</v>
      </c>
      <c r="V2613" s="235"/>
    </row>
    <row r="2614" spans="1:22" ht="15.75" x14ac:dyDescent="0.25">
      <c r="A2614" s="231"/>
      <c r="B2614" s="232"/>
      <c r="C2614" s="400"/>
      <c r="D2614" s="233"/>
      <c r="E2614" s="405"/>
      <c r="F2614" s="405"/>
      <c r="G2614" s="405"/>
      <c r="H2614" s="408">
        <f>ROUND(+E2614+F2614+G2614,4)</f>
        <v>0</v>
      </c>
      <c r="I2614" s="234"/>
      <c r="J2614" s="411"/>
      <c r="K2614" s="411"/>
      <c r="L2614" s="414">
        <v>0.1</v>
      </c>
      <c r="M2614" s="414">
        <f>ROUND(+L2614*C2614,4)</f>
        <v>0</v>
      </c>
      <c r="N2614" s="414"/>
      <c r="O2614" s="414"/>
      <c r="P2614" s="414"/>
      <c r="Q2614" s="419">
        <f>ROUND(+N2614+O2614+P2614,4)</f>
        <v>0</v>
      </c>
      <c r="R2614" s="419">
        <f>ROUND(IF(+Q2614-H2614&lt;=0,0,Q2614-H2614),4)</f>
        <v>0</v>
      </c>
      <c r="S2614" s="423">
        <v>0.5</v>
      </c>
      <c r="T2614" s="419">
        <f>ROUND(+(R2614*C2614)*S2614,4)</f>
        <v>0</v>
      </c>
      <c r="U2614" s="419">
        <f>ROUND(+J2614+M2614+T2614,4)</f>
        <v>0</v>
      </c>
      <c r="V2614" s="235"/>
    </row>
    <row r="2615" spans="1:22" ht="15.75" x14ac:dyDescent="0.25">
      <c r="A2615" s="231"/>
      <c r="B2615" s="232"/>
      <c r="C2615" s="400"/>
      <c r="D2615" s="233"/>
      <c r="E2615" s="405"/>
      <c r="F2615" s="405"/>
      <c r="G2615" s="405"/>
      <c r="H2615" s="408">
        <f>ROUND(+E2615+F2615+G2615,4)</f>
        <v>0</v>
      </c>
      <c r="I2615" s="234"/>
      <c r="J2615" s="411"/>
      <c r="K2615" s="411"/>
      <c r="L2615" s="414">
        <v>0.1</v>
      </c>
      <c r="M2615" s="414">
        <f>ROUND(+L2615*C2615,4)</f>
        <v>0</v>
      </c>
      <c r="N2615" s="414"/>
      <c r="O2615" s="414"/>
      <c r="P2615" s="414"/>
      <c r="Q2615" s="419">
        <f>ROUND(+N2615+O2615+P2615,4)</f>
        <v>0</v>
      </c>
      <c r="R2615" s="419">
        <f>ROUND(IF(+Q2615-H2615&lt;=0,0,Q2615-H2615),4)</f>
        <v>0</v>
      </c>
      <c r="S2615" s="423">
        <v>0.5</v>
      </c>
      <c r="T2615" s="419">
        <f>ROUND(+(R2615*C2615)*S2615,4)</f>
        <v>0</v>
      </c>
      <c r="U2615" s="419">
        <f>ROUND(+J2615+M2615+T2615,4)</f>
        <v>0</v>
      </c>
      <c r="V2615" s="235"/>
    </row>
    <row r="2616" spans="1:22" ht="15.75" x14ac:dyDescent="0.25">
      <c r="A2616" s="231"/>
      <c r="B2616" s="232"/>
      <c r="C2616" s="400"/>
      <c r="D2616" s="233"/>
      <c r="E2616" s="405"/>
      <c r="F2616" s="405"/>
      <c r="G2616" s="405"/>
      <c r="H2616" s="408">
        <f>ROUND(+E2616+F2616+G2616,4)</f>
        <v>0</v>
      </c>
      <c r="I2616" s="234"/>
      <c r="J2616" s="411"/>
      <c r="K2616" s="411"/>
      <c r="L2616" s="414">
        <v>0.1</v>
      </c>
      <c r="M2616" s="414">
        <f>ROUND(+L2616*C2616,4)</f>
        <v>0</v>
      </c>
      <c r="N2616" s="414"/>
      <c r="O2616" s="414"/>
      <c r="P2616" s="414"/>
      <c r="Q2616" s="419">
        <f>ROUND(+N2616+O2616+P2616,4)</f>
        <v>0</v>
      </c>
      <c r="R2616" s="419">
        <f>ROUND(IF(+Q2616-H2616&lt;=0,0,Q2616-H2616),4)</f>
        <v>0</v>
      </c>
      <c r="S2616" s="423">
        <v>0.5</v>
      </c>
      <c r="T2616" s="419">
        <f>ROUND(+(R2616*C2616)*S2616,4)</f>
        <v>0</v>
      </c>
      <c r="U2616" s="419">
        <f>ROUND(+J2616+M2616+T2616,4)</f>
        <v>0</v>
      </c>
      <c r="V2616" s="235"/>
    </row>
    <row r="2617" spans="1:22" ht="15.75" x14ac:dyDescent="0.25">
      <c r="A2617" s="231"/>
      <c r="B2617" s="232"/>
      <c r="C2617" s="400"/>
      <c r="D2617" s="233"/>
      <c r="E2617" s="405"/>
      <c r="F2617" s="405"/>
      <c r="G2617" s="405"/>
      <c r="H2617" s="408">
        <f>ROUND(+E2617+F2617+G2617,4)</f>
        <v>0</v>
      </c>
      <c r="I2617" s="234"/>
      <c r="J2617" s="411"/>
      <c r="K2617" s="411"/>
      <c r="L2617" s="414">
        <v>0.1</v>
      </c>
      <c r="M2617" s="414">
        <f>ROUND(+L2617*C2617,4)</f>
        <v>0</v>
      </c>
      <c r="N2617" s="414"/>
      <c r="O2617" s="414"/>
      <c r="P2617" s="414"/>
      <c r="Q2617" s="419">
        <f>ROUND(+N2617+O2617+P2617,4)</f>
        <v>0</v>
      </c>
      <c r="R2617" s="419">
        <f>ROUND(IF(+Q2617-H2617&lt;=0,0,Q2617-H2617),4)</f>
        <v>0</v>
      </c>
      <c r="S2617" s="423">
        <v>0.5</v>
      </c>
      <c r="T2617" s="419">
        <f>ROUND(+(R2617*C2617)*S2617,4)</f>
        <v>0</v>
      </c>
      <c r="U2617" s="419">
        <f>ROUND(+J2617+M2617+T2617,4)</f>
        <v>0</v>
      </c>
      <c r="V2617" s="235"/>
    </row>
    <row r="2618" spans="1:22" ht="15.75" x14ac:dyDescent="0.25">
      <c r="A2618" s="231"/>
      <c r="B2618" s="232"/>
      <c r="C2618" s="400"/>
      <c r="D2618" s="233"/>
      <c r="E2618" s="405"/>
      <c r="F2618" s="405"/>
      <c r="G2618" s="405"/>
      <c r="H2618" s="408">
        <f>ROUND(+E2618+F2618+G2618,4)</f>
        <v>0</v>
      </c>
      <c r="I2618" s="234"/>
      <c r="J2618" s="411"/>
      <c r="K2618" s="411"/>
      <c r="L2618" s="414">
        <v>0.1</v>
      </c>
      <c r="M2618" s="414">
        <f>ROUND(+L2618*C2618,4)</f>
        <v>0</v>
      </c>
      <c r="N2618" s="414"/>
      <c r="O2618" s="414"/>
      <c r="P2618" s="414"/>
      <c r="Q2618" s="419">
        <f>ROUND(+N2618+O2618+P2618,4)</f>
        <v>0</v>
      </c>
      <c r="R2618" s="419">
        <f>ROUND(IF(+Q2618-H2618&lt;=0,0,Q2618-H2618),4)</f>
        <v>0</v>
      </c>
      <c r="S2618" s="423">
        <v>0.5</v>
      </c>
      <c r="T2618" s="419">
        <f>ROUND(+(R2618*C2618)*S2618,4)</f>
        <v>0</v>
      </c>
      <c r="U2618" s="419">
        <f>ROUND(+J2618+M2618+T2618,4)</f>
        <v>0</v>
      </c>
      <c r="V2618" s="235"/>
    </row>
    <row r="2619" spans="1:22" ht="15.75" x14ac:dyDescent="0.25">
      <c r="A2619" s="231"/>
      <c r="B2619" s="232"/>
      <c r="C2619" s="400"/>
      <c r="D2619" s="233"/>
      <c r="E2619" s="405"/>
      <c r="F2619" s="405"/>
      <c r="G2619" s="405"/>
      <c r="H2619" s="408">
        <f>ROUND(+E2619+F2619+G2619,4)</f>
        <v>0</v>
      </c>
      <c r="I2619" s="234"/>
      <c r="J2619" s="411"/>
      <c r="K2619" s="411"/>
      <c r="L2619" s="414">
        <v>0.1</v>
      </c>
      <c r="M2619" s="414">
        <f>ROUND(+L2619*C2619,4)</f>
        <v>0</v>
      </c>
      <c r="N2619" s="414"/>
      <c r="O2619" s="414"/>
      <c r="P2619" s="414"/>
      <c r="Q2619" s="419">
        <f>ROUND(+N2619+O2619+P2619,4)</f>
        <v>0</v>
      </c>
      <c r="R2619" s="419">
        <f>ROUND(IF(+Q2619-H2619&lt;=0,0,Q2619-H2619),4)</f>
        <v>0</v>
      </c>
      <c r="S2619" s="423">
        <v>0.5</v>
      </c>
      <c r="T2619" s="419">
        <f>ROUND(+(R2619*C2619)*S2619,4)</f>
        <v>0</v>
      </c>
      <c r="U2619" s="419">
        <f>ROUND(+J2619+M2619+T2619,4)</f>
        <v>0</v>
      </c>
      <c r="V2619" s="235"/>
    </row>
    <row r="2620" spans="1:22" ht="15.75" x14ac:dyDescent="0.25">
      <c r="A2620" s="231"/>
      <c r="B2620" s="232"/>
      <c r="C2620" s="400"/>
      <c r="D2620" s="233"/>
      <c r="E2620" s="405"/>
      <c r="F2620" s="405"/>
      <c r="G2620" s="405"/>
      <c r="H2620" s="408">
        <f>ROUND(+E2620+F2620+G2620,4)</f>
        <v>0</v>
      </c>
      <c r="I2620" s="234"/>
      <c r="J2620" s="411"/>
      <c r="K2620" s="411"/>
      <c r="L2620" s="414">
        <v>0.1</v>
      </c>
      <c r="M2620" s="414">
        <f>ROUND(+L2620*C2620,4)</f>
        <v>0</v>
      </c>
      <c r="N2620" s="414"/>
      <c r="O2620" s="414"/>
      <c r="P2620" s="414"/>
      <c r="Q2620" s="419">
        <f>ROUND(+N2620+O2620+P2620,4)</f>
        <v>0</v>
      </c>
      <c r="R2620" s="419">
        <f>ROUND(IF(+Q2620-H2620&lt;=0,0,Q2620-H2620),4)</f>
        <v>0</v>
      </c>
      <c r="S2620" s="423">
        <v>0.5</v>
      </c>
      <c r="T2620" s="419">
        <f>ROUND(+(R2620*C2620)*S2620,4)</f>
        <v>0</v>
      </c>
      <c r="U2620" s="419">
        <f>ROUND(+J2620+M2620+T2620,4)</f>
        <v>0</v>
      </c>
      <c r="V2620" s="235"/>
    </row>
    <row r="2621" spans="1:22" ht="15.75" x14ac:dyDescent="0.25">
      <c r="A2621" s="231"/>
      <c r="B2621" s="232"/>
      <c r="C2621" s="400"/>
      <c r="D2621" s="233"/>
      <c r="E2621" s="405"/>
      <c r="F2621" s="405"/>
      <c r="G2621" s="405"/>
      <c r="H2621" s="408">
        <f>ROUND(+E2621+F2621+G2621,4)</f>
        <v>0</v>
      </c>
      <c r="I2621" s="234"/>
      <c r="J2621" s="411"/>
      <c r="K2621" s="411"/>
      <c r="L2621" s="414">
        <v>0.1</v>
      </c>
      <c r="M2621" s="414">
        <f>ROUND(+L2621*C2621,4)</f>
        <v>0</v>
      </c>
      <c r="N2621" s="414"/>
      <c r="O2621" s="414"/>
      <c r="P2621" s="414"/>
      <c r="Q2621" s="419">
        <f>ROUND(+N2621+O2621+P2621,4)</f>
        <v>0</v>
      </c>
      <c r="R2621" s="419">
        <f>ROUND(IF(+Q2621-H2621&lt;=0,0,Q2621-H2621),4)</f>
        <v>0</v>
      </c>
      <c r="S2621" s="423">
        <v>0.5</v>
      </c>
      <c r="T2621" s="419">
        <f>ROUND(+(R2621*C2621)*S2621,4)</f>
        <v>0</v>
      </c>
      <c r="U2621" s="419">
        <f>ROUND(+J2621+M2621+T2621,4)</f>
        <v>0</v>
      </c>
      <c r="V2621" s="235"/>
    </row>
    <row r="2622" spans="1:22" ht="15.75" x14ac:dyDescent="0.25">
      <c r="A2622" s="231"/>
      <c r="B2622" s="232"/>
      <c r="C2622" s="400"/>
      <c r="D2622" s="233"/>
      <c r="E2622" s="405"/>
      <c r="F2622" s="405"/>
      <c r="G2622" s="405"/>
      <c r="H2622" s="408">
        <f>ROUND(+E2622+F2622+G2622,4)</f>
        <v>0</v>
      </c>
      <c r="I2622" s="234"/>
      <c r="J2622" s="411"/>
      <c r="K2622" s="411"/>
      <c r="L2622" s="414">
        <v>0.1</v>
      </c>
      <c r="M2622" s="414">
        <f>ROUND(+L2622*C2622,4)</f>
        <v>0</v>
      </c>
      <c r="N2622" s="414"/>
      <c r="O2622" s="414"/>
      <c r="P2622" s="414"/>
      <c r="Q2622" s="419">
        <f>ROUND(+N2622+O2622+P2622,4)</f>
        <v>0</v>
      </c>
      <c r="R2622" s="419">
        <f>ROUND(IF(+Q2622-H2622&lt;=0,0,Q2622-H2622),4)</f>
        <v>0</v>
      </c>
      <c r="S2622" s="423">
        <v>0.5</v>
      </c>
      <c r="T2622" s="419">
        <f>ROUND(+(R2622*C2622)*S2622,4)</f>
        <v>0</v>
      </c>
      <c r="U2622" s="419">
        <f>ROUND(+J2622+M2622+T2622,4)</f>
        <v>0</v>
      </c>
      <c r="V2622" s="235"/>
    </row>
    <row r="2623" spans="1:22" ht="15.75" x14ac:dyDescent="0.25">
      <c r="A2623" s="231"/>
      <c r="B2623" s="232"/>
      <c r="C2623" s="400"/>
      <c r="D2623" s="233"/>
      <c r="E2623" s="405"/>
      <c r="F2623" s="405"/>
      <c r="G2623" s="405"/>
      <c r="H2623" s="408">
        <f>ROUND(+E2623+F2623+G2623,4)</f>
        <v>0</v>
      </c>
      <c r="I2623" s="234"/>
      <c r="J2623" s="411"/>
      <c r="K2623" s="411"/>
      <c r="L2623" s="414">
        <v>0.1</v>
      </c>
      <c r="M2623" s="414">
        <f>ROUND(+L2623*C2623,4)</f>
        <v>0</v>
      </c>
      <c r="N2623" s="414"/>
      <c r="O2623" s="414"/>
      <c r="P2623" s="414"/>
      <c r="Q2623" s="419">
        <f>ROUND(+N2623+O2623+P2623,4)</f>
        <v>0</v>
      </c>
      <c r="R2623" s="419">
        <f>ROUND(IF(+Q2623-H2623&lt;=0,0,Q2623-H2623),4)</f>
        <v>0</v>
      </c>
      <c r="S2623" s="423">
        <v>0.5</v>
      </c>
      <c r="T2623" s="419">
        <f>ROUND(+(R2623*C2623)*S2623,4)</f>
        <v>0</v>
      </c>
      <c r="U2623" s="419">
        <f>ROUND(+J2623+M2623+T2623,4)</f>
        <v>0</v>
      </c>
      <c r="V2623" s="235"/>
    </row>
    <row r="2624" spans="1:22" ht="15.75" x14ac:dyDescent="0.25">
      <c r="A2624" s="231"/>
      <c r="B2624" s="232"/>
      <c r="C2624" s="400"/>
      <c r="D2624" s="233"/>
      <c r="E2624" s="405"/>
      <c r="F2624" s="405"/>
      <c r="G2624" s="405"/>
      <c r="H2624" s="408">
        <f>ROUND(+E2624+F2624+G2624,4)</f>
        <v>0</v>
      </c>
      <c r="I2624" s="234"/>
      <c r="J2624" s="411"/>
      <c r="K2624" s="411"/>
      <c r="L2624" s="414">
        <v>0.1</v>
      </c>
      <c r="M2624" s="414">
        <f>ROUND(+L2624*C2624,4)</f>
        <v>0</v>
      </c>
      <c r="N2624" s="414"/>
      <c r="O2624" s="414"/>
      <c r="P2624" s="414"/>
      <c r="Q2624" s="419">
        <f>ROUND(+N2624+O2624+P2624,4)</f>
        <v>0</v>
      </c>
      <c r="R2624" s="419">
        <f>ROUND(IF(+Q2624-H2624&lt;=0,0,Q2624-H2624),4)</f>
        <v>0</v>
      </c>
      <c r="S2624" s="423">
        <v>0.5</v>
      </c>
      <c r="T2624" s="419">
        <f>ROUND(+(R2624*C2624)*S2624,4)</f>
        <v>0</v>
      </c>
      <c r="U2624" s="419">
        <f>ROUND(+J2624+M2624+T2624,4)</f>
        <v>0</v>
      </c>
      <c r="V2624" s="235"/>
    </row>
    <row r="2625" spans="1:22" ht="15.75" x14ac:dyDescent="0.25">
      <c r="A2625" s="231"/>
      <c r="B2625" s="232"/>
      <c r="C2625" s="400"/>
      <c r="D2625" s="233"/>
      <c r="E2625" s="405"/>
      <c r="F2625" s="405"/>
      <c r="G2625" s="405"/>
      <c r="H2625" s="408">
        <f>ROUND(+E2625+F2625+G2625,4)</f>
        <v>0</v>
      </c>
      <c r="I2625" s="234"/>
      <c r="J2625" s="411"/>
      <c r="K2625" s="411"/>
      <c r="L2625" s="414">
        <v>0.1</v>
      </c>
      <c r="M2625" s="414">
        <f>ROUND(+L2625*C2625,4)</f>
        <v>0</v>
      </c>
      <c r="N2625" s="414"/>
      <c r="O2625" s="414"/>
      <c r="P2625" s="414"/>
      <c r="Q2625" s="419">
        <f>ROUND(+N2625+O2625+P2625,4)</f>
        <v>0</v>
      </c>
      <c r="R2625" s="419">
        <f>ROUND(IF(+Q2625-H2625&lt;=0,0,Q2625-H2625),4)</f>
        <v>0</v>
      </c>
      <c r="S2625" s="423">
        <v>0.5</v>
      </c>
      <c r="T2625" s="419">
        <f>ROUND(+(R2625*C2625)*S2625,4)</f>
        <v>0</v>
      </c>
      <c r="U2625" s="419">
        <f>ROUND(+J2625+M2625+T2625,4)</f>
        <v>0</v>
      </c>
      <c r="V2625" s="235"/>
    </row>
    <row r="2626" spans="1:22" ht="15.75" x14ac:dyDescent="0.25">
      <c r="A2626" s="231"/>
      <c r="B2626" s="232"/>
      <c r="C2626" s="400"/>
      <c r="D2626" s="233"/>
      <c r="E2626" s="405"/>
      <c r="F2626" s="405"/>
      <c r="G2626" s="405"/>
      <c r="H2626" s="408">
        <f>ROUND(+E2626+F2626+G2626,4)</f>
        <v>0</v>
      </c>
      <c r="I2626" s="234"/>
      <c r="J2626" s="411"/>
      <c r="K2626" s="411"/>
      <c r="L2626" s="414">
        <v>0.1</v>
      </c>
      <c r="M2626" s="414">
        <f>ROUND(+L2626*C2626,4)</f>
        <v>0</v>
      </c>
      <c r="N2626" s="414"/>
      <c r="O2626" s="414"/>
      <c r="P2626" s="414"/>
      <c r="Q2626" s="419">
        <f>ROUND(+N2626+O2626+P2626,4)</f>
        <v>0</v>
      </c>
      <c r="R2626" s="419">
        <f>ROUND(IF(+Q2626-H2626&lt;=0,0,Q2626-H2626),4)</f>
        <v>0</v>
      </c>
      <c r="S2626" s="423">
        <v>0.5</v>
      </c>
      <c r="T2626" s="419">
        <f>ROUND(+(R2626*C2626)*S2626,4)</f>
        <v>0</v>
      </c>
      <c r="U2626" s="419">
        <f>ROUND(+J2626+M2626+T2626,4)</f>
        <v>0</v>
      </c>
      <c r="V2626" s="235"/>
    </row>
    <row r="2627" spans="1:22" ht="15.75" x14ac:dyDescent="0.25">
      <c r="A2627" s="231"/>
      <c r="B2627" s="232"/>
      <c r="C2627" s="400"/>
      <c r="D2627" s="233"/>
      <c r="E2627" s="405"/>
      <c r="F2627" s="405"/>
      <c r="G2627" s="405"/>
      <c r="H2627" s="408">
        <f>ROUND(+E2627+F2627+G2627,4)</f>
        <v>0</v>
      </c>
      <c r="I2627" s="234"/>
      <c r="J2627" s="411"/>
      <c r="K2627" s="411"/>
      <c r="L2627" s="414">
        <v>0.1</v>
      </c>
      <c r="M2627" s="414">
        <f>ROUND(+L2627*C2627,4)</f>
        <v>0</v>
      </c>
      <c r="N2627" s="414"/>
      <c r="O2627" s="414"/>
      <c r="P2627" s="414"/>
      <c r="Q2627" s="419">
        <f>ROUND(+N2627+O2627+P2627,4)</f>
        <v>0</v>
      </c>
      <c r="R2627" s="419">
        <f>ROUND(IF(+Q2627-H2627&lt;=0,0,Q2627-H2627),4)</f>
        <v>0</v>
      </c>
      <c r="S2627" s="423">
        <v>0.5</v>
      </c>
      <c r="T2627" s="419">
        <f>ROUND(+(R2627*C2627)*S2627,4)</f>
        <v>0</v>
      </c>
      <c r="U2627" s="419">
        <f>ROUND(+J2627+M2627+T2627,4)</f>
        <v>0</v>
      </c>
      <c r="V2627" s="235"/>
    </row>
    <row r="2628" spans="1:22" ht="15.75" x14ac:dyDescent="0.25">
      <c r="A2628" s="231"/>
      <c r="B2628" s="232"/>
      <c r="C2628" s="400"/>
      <c r="D2628" s="233"/>
      <c r="E2628" s="405"/>
      <c r="F2628" s="405"/>
      <c r="G2628" s="405"/>
      <c r="H2628" s="408">
        <f>ROUND(+E2628+F2628+G2628,4)</f>
        <v>0</v>
      </c>
      <c r="I2628" s="234"/>
      <c r="J2628" s="411"/>
      <c r="K2628" s="411"/>
      <c r="L2628" s="414">
        <v>0.1</v>
      </c>
      <c r="M2628" s="414">
        <f>ROUND(+L2628*C2628,4)</f>
        <v>0</v>
      </c>
      <c r="N2628" s="414"/>
      <c r="O2628" s="414"/>
      <c r="P2628" s="414"/>
      <c r="Q2628" s="419">
        <f>ROUND(+N2628+O2628+P2628,4)</f>
        <v>0</v>
      </c>
      <c r="R2628" s="419">
        <f>ROUND(IF(+Q2628-H2628&lt;=0,0,Q2628-H2628),4)</f>
        <v>0</v>
      </c>
      <c r="S2628" s="423">
        <v>0.5</v>
      </c>
      <c r="T2628" s="419">
        <f>ROUND(+(R2628*C2628)*S2628,4)</f>
        <v>0</v>
      </c>
      <c r="U2628" s="419">
        <f>ROUND(+J2628+M2628+T2628,4)</f>
        <v>0</v>
      </c>
      <c r="V2628" s="235"/>
    </row>
    <row r="2629" spans="1:22" ht="15.75" x14ac:dyDescent="0.25">
      <c r="A2629" s="231"/>
      <c r="B2629" s="232"/>
      <c r="C2629" s="400"/>
      <c r="D2629" s="233"/>
      <c r="E2629" s="405"/>
      <c r="F2629" s="405"/>
      <c r="G2629" s="405"/>
      <c r="H2629" s="408">
        <f>ROUND(+E2629+F2629+G2629,4)</f>
        <v>0</v>
      </c>
      <c r="I2629" s="234"/>
      <c r="J2629" s="411"/>
      <c r="K2629" s="411"/>
      <c r="L2629" s="414">
        <v>0.1</v>
      </c>
      <c r="M2629" s="414">
        <f>ROUND(+L2629*C2629,4)</f>
        <v>0</v>
      </c>
      <c r="N2629" s="414"/>
      <c r="O2629" s="414"/>
      <c r="P2629" s="414"/>
      <c r="Q2629" s="419">
        <f>ROUND(+N2629+O2629+P2629,4)</f>
        <v>0</v>
      </c>
      <c r="R2629" s="419">
        <f>ROUND(IF(+Q2629-H2629&lt;=0,0,Q2629-H2629),4)</f>
        <v>0</v>
      </c>
      <c r="S2629" s="423">
        <v>0.5</v>
      </c>
      <c r="T2629" s="419">
        <f>ROUND(+(R2629*C2629)*S2629,4)</f>
        <v>0</v>
      </c>
      <c r="U2629" s="419">
        <f>ROUND(+J2629+M2629+T2629,4)</f>
        <v>0</v>
      </c>
      <c r="V2629" s="235"/>
    </row>
    <row r="2630" spans="1:22" ht="15.75" x14ac:dyDescent="0.25">
      <c r="A2630" s="231"/>
      <c r="B2630" s="232"/>
      <c r="C2630" s="400"/>
      <c r="D2630" s="233"/>
      <c r="E2630" s="405"/>
      <c r="F2630" s="405"/>
      <c r="G2630" s="405"/>
      <c r="H2630" s="408">
        <f>ROUND(+E2630+F2630+G2630,4)</f>
        <v>0</v>
      </c>
      <c r="I2630" s="234"/>
      <c r="J2630" s="411"/>
      <c r="K2630" s="411"/>
      <c r="L2630" s="414">
        <v>0.1</v>
      </c>
      <c r="M2630" s="414">
        <f>ROUND(+L2630*C2630,4)</f>
        <v>0</v>
      </c>
      <c r="N2630" s="414"/>
      <c r="O2630" s="414"/>
      <c r="P2630" s="414"/>
      <c r="Q2630" s="419">
        <f>ROUND(+N2630+O2630+P2630,4)</f>
        <v>0</v>
      </c>
      <c r="R2630" s="419">
        <f>ROUND(IF(+Q2630-H2630&lt;=0,0,Q2630-H2630),4)</f>
        <v>0</v>
      </c>
      <c r="S2630" s="423">
        <v>0.5</v>
      </c>
      <c r="T2630" s="419">
        <f>ROUND(+(R2630*C2630)*S2630,4)</f>
        <v>0</v>
      </c>
      <c r="U2630" s="419">
        <f>ROUND(+J2630+M2630+T2630,4)</f>
        <v>0</v>
      </c>
      <c r="V2630" s="235"/>
    </row>
    <row r="2631" spans="1:22" ht="15.75" x14ac:dyDescent="0.25">
      <c r="A2631" s="231"/>
      <c r="B2631" s="232"/>
      <c r="C2631" s="400"/>
      <c r="D2631" s="233"/>
      <c r="E2631" s="405"/>
      <c r="F2631" s="405"/>
      <c r="G2631" s="405"/>
      <c r="H2631" s="408">
        <f>ROUND(+E2631+F2631+G2631,4)</f>
        <v>0</v>
      </c>
      <c r="I2631" s="234"/>
      <c r="J2631" s="411"/>
      <c r="K2631" s="411"/>
      <c r="L2631" s="414">
        <v>0.1</v>
      </c>
      <c r="M2631" s="414">
        <f>ROUND(+L2631*C2631,4)</f>
        <v>0</v>
      </c>
      <c r="N2631" s="414"/>
      <c r="O2631" s="414"/>
      <c r="P2631" s="414"/>
      <c r="Q2631" s="419">
        <f>ROUND(+N2631+O2631+P2631,4)</f>
        <v>0</v>
      </c>
      <c r="R2631" s="419">
        <f>ROUND(IF(+Q2631-H2631&lt;=0,0,Q2631-H2631),4)</f>
        <v>0</v>
      </c>
      <c r="S2631" s="423">
        <v>0.5</v>
      </c>
      <c r="T2631" s="419">
        <f>ROUND(+(R2631*C2631)*S2631,4)</f>
        <v>0</v>
      </c>
      <c r="U2631" s="419">
        <f>ROUND(+J2631+M2631+T2631,4)</f>
        <v>0</v>
      </c>
      <c r="V2631" s="235"/>
    </row>
    <row r="2632" spans="1:22" ht="15.75" x14ac:dyDescent="0.25">
      <c r="A2632" s="231"/>
      <c r="B2632" s="232"/>
      <c r="C2632" s="400"/>
      <c r="D2632" s="233"/>
      <c r="E2632" s="405"/>
      <c r="F2632" s="405"/>
      <c r="G2632" s="405"/>
      <c r="H2632" s="408">
        <f>ROUND(+E2632+F2632+G2632,4)</f>
        <v>0</v>
      </c>
      <c r="I2632" s="234"/>
      <c r="J2632" s="411"/>
      <c r="K2632" s="411"/>
      <c r="L2632" s="414">
        <v>0.1</v>
      </c>
      <c r="M2632" s="414">
        <f>ROUND(+L2632*C2632,4)</f>
        <v>0</v>
      </c>
      <c r="N2632" s="414"/>
      <c r="O2632" s="414"/>
      <c r="P2632" s="414"/>
      <c r="Q2632" s="419">
        <f>ROUND(+N2632+O2632+P2632,4)</f>
        <v>0</v>
      </c>
      <c r="R2632" s="419">
        <f>ROUND(IF(+Q2632-H2632&lt;=0,0,Q2632-H2632),4)</f>
        <v>0</v>
      </c>
      <c r="S2632" s="423">
        <v>0.5</v>
      </c>
      <c r="T2632" s="419">
        <f>ROUND(+(R2632*C2632)*S2632,4)</f>
        <v>0</v>
      </c>
      <c r="U2632" s="419">
        <f>ROUND(+J2632+M2632+T2632,4)</f>
        <v>0</v>
      </c>
      <c r="V2632" s="235"/>
    </row>
    <row r="2633" spans="1:22" ht="15.75" x14ac:dyDescent="0.25">
      <c r="A2633" s="231"/>
      <c r="B2633" s="232"/>
      <c r="C2633" s="400"/>
      <c r="D2633" s="233"/>
      <c r="E2633" s="405"/>
      <c r="F2633" s="405"/>
      <c r="G2633" s="405"/>
      <c r="H2633" s="408">
        <f>ROUND(+E2633+F2633+G2633,4)</f>
        <v>0</v>
      </c>
      <c r="I2633" s="234"/>
      <c r="J2633" s="411"/>
      <c r="K2633" s="411"/>
      <c r="L2633" s="414">
        <v>0.1</v>
      </c>
      <c r="M2633" s="414">
        <f>ROUND(+L2633*C2633,4)</f>
        <v>0</v>
      </c>
      <c r="N2633" s="414"/>
      <c r="O2633" s="414"/>
      <c r="P2633" s="414"/>
      <c r="Q2633" s="419">
        <f>ROUND(+N2633+O2633+P2633,4)</f>
        <v>0</v>
      </c>
      <c r="R2633" s="419">
        <f>ROUND(IF(+Q2633-H2633&lt;=0,0,Q2633-H2633),4)</f>
        <v>0</v>
      </c>
      <c r="S2633" s="423">
        <v>0.5</v>
      </c>
      <c r="T2633" s="419">
        <f>ROUND(+(R2633*C2633)*S2633,4)</f>
        <v>0</v>
      </c>
      <c r="U2633" s="419">
        <f>ROUND(+J2633+M2633+T2633,4)</f>
        <v>0</v>
      </c>
      <c r="V2633" s="235"/>
    </row>
    <row r="2634" spans="1:22" ht="15.75" x14ac:dyDescent="0.25">
      <c r="A2634" s="231"/>
      <c r="B2634" s="232"/>
      <c r="C2634" s="400"/>
      <c r="D2634" s="233"/>
      <c r="E2634" s="405"/>
      <c r="F2634" s="405"/>
      <c r="G2634" s="405"/>
      <c r="H2634" s="408">
        <f>ROUND(+E2634+F2634+G2634,4)</f>
        <v>0</v>
      </c>
      <c r="I2634" s="234"/>
      <c r="J2634" s="411"/>
      <c r="K2634" s="411"/>
      <c r="L2634" s="414">
        <v>0.1</v>
      </c>
      <c r="M2634" s="414">
        <f>ROUND(+L2634*C2634,4)</f>
        <v>0</v>
      </c>
      <c r="N2634" s="414"/>
      <c r="O2634" s="414"/>
      <c r="P2634" s="414"/>
      <c r="Q2634" s="419">
        <f>ROUND(+N2634+O2634+P2634,4)</f>
        <v>0</v>
      </c>
      <c r="R2634" s="419">
        <f>ROUND(IF(+Q2634-H2634&lt;=0,0,Q2634-H2634),4)</f>
        <v>0</v>
      </c>
      <c r="S2634" s="423">
        <v>0.5</v>
      </c>
      <c r="T2634" s="419">
        <f>ROUND(+(R2634*C2634)*S2634,4)</f>
        <v>0</v>
      </c>
      <c r="U2634" s="419">
        <f>ROUND(+J2634+M2634+T2634,4)</f>
        <v>0</v>
      </c>
      <c r="V2634" s="235"/>
    </row>
    <row r="2635" spans="1:22" ht="15.75" x14ac:dyDescent="0.25">
      <c r="A2635" s="231"/>
      <c r="B2635" s="232"/>
      <c r="C2635" s="400"/>
      <c r="D2635" s="233"/>
      <c r="E2635" s="405"/>
      <c r="F2635" s="405"/>
      <c r="G2635" s="405"/>
      <c r="H2635" s="408">
        <f>ROUND(+E2635+F2635+G2635,4)</f>
        <v>0</v>
      </c>
      <c r="I2635" s="234"/>
      <c r="J2635" s="411"/>
      <c r="K2635" s="411"/>
      <c r="L2635" s="414">
        <v>0.1</v>
      </c>
      <c r="M2635" s="414">
        <f>ROUND(+L2635*C2635,4)</f>
        <v>0</v>
      </c>
      <c r="N2635" s="414"/>
      <c r="O2635" s="414"/>
      <c r="P2635" s="414"/>
      <c r="Q2635" s="419">
        <f>ROUND(+N2635+O2635+P2635,4)</f>
        <v>0</v>
      </c>
      <c r="R2635" s="419">
        <f>ROUND(IF(+Q2635-H2635&lt;=0,0,Q2635-H2635),4)</f>
        <v>0</v>
      </c>
      <c r="S2635" s="423">
        <v>0.5</v>
      </c>
      <c r="T2635" s="419">
        <f>ROUND(+(R2635*C2635)*S2635,4)</f>
        <v>0</v>
      </c>
      <c r="U2635" s="419">
        <f>ROUND(+J2635+M2635+T2635,4)</f>
        <v>0</v>
      </c>
      <c r="V2635" s="235"/>
    </row>
    <row r="2636" spans="1:22" ht="15.75" x14ac:dyDescent="0.25">
      <c r="A2636" s="231"/>
      <c r="B2636" s="232"/>
      <c r="C2636" s="400"/>
      <c r="D2636" s="233"/>
      <c r="E2636" s="405"/>
      <c r="F2636" s="405"/>
      <c r="G2636" s="405"/>
      <c r="H2636" s="408">
        <f>ROUND(+E2636+F2636+G2636,4)</f>
        <v>0</v>
      </c>
      <c r="I2636" s="234"/>
      <c r="J2636" s="411"/>
      <c r="K2636" s="411"/>
      <c r="L2636" s="414">
        <v>0.1</v>
      </c>
      <c r="M2636" s="414">
        <f>ROUND(+L2636*C2636,4)</f>
        <v>0</v>
      </c>
      <c r="N2636" s="414"/>
      <c r="O2636" s="414"/>
      <c r="P2636" s="414"/>
      <c r="Q2636" s="419">
        <f>ROUND(+N2636+O2636+P2636,4)</f>
        <v>0</v>
      </c>
      <c r="R2636" s="419">
        <f>ROUND(IF(+Q2636-H2636&lt;=0,0,Q2636-H2636),4)</f>
        <v>0</v>
      </c>
      <c r="S2636" s="423">
        <v>0.5</v>
      </c>
      <c r="T2636" s="419">
        <f>ROUND(+(R2636*C2636)*S2636,4)</f>
        <v>0</v>
      </c>
      <c r="U2636" s="419">
        <f>ROUND(+J2636+M2636+T2636,4)</f>
        <v>0</v>
      </c>
      <c r="V2636" s="235"/>
    </row>
    <row r="2637" spans="1:22" ht="15.75" x14ac:dyDescent="0.25">
      <c r="A2637" s="231"/>
      <c r="B2637" s="232"/>
      <c r="C2637" s="400"/>
      <c r="D2637" s="233"/>
      <c r="E2637" s="405"/>
      <c r="F2637" s="405"/>
      <c r="G2637" s="405"/>
      <c r="H2637" s="408">
        <f>ROUND(+E2637+F2637+G2637,4)</f>
        <v>0</v>
      </c>
      <c r="I2637" s="234"/>
      <c r="J2637" s="411"/>
      <c r="K2637" s="411"/>
      <c r="L2637" s="414">
        <v>0.1</v>
      </c>
      <c r="M2637" s="414">
        <f>ROUND(+L2637*C2637,4)</f>
        <v>0</v>
      </c>
      <c r="N2637" s="414"/>
      <c r="O2637" s="414"/>
      <c r="P2637" s="414"/>
      <c r="Q2637" s="419">
        <f>ROUND(+N2637+O2637+P2637,4)</f>
        <v>0</v>
      </c>
      <c r="R2637" s="419">
        <f>ROUND(IF(+Q2637-H2637&lt;=0,0,Q2637-H2637),4)</f>
        <v>0</v>
      </c>
      <c r="S2637" s="423">
        <v>0.5</v>
      </c>
      <c r="T2637" s="419">
        <f>ROUND(+(R2637*C2637)*S2637,4)</f>
        <v>0</v>
      </c>
      <c r="U2637" s="419">
        <f>ROUND(+J2637+M2637+T2637,4)</f>
        <v>0</v>
      </c>
      <c r="V2637" s="235"/>
    </row>
    <row r="2638" spans="1:22" ht="15.75" x14ac:dyDescent="0.25">
      <c r="A2638" s="231"/>
      <c r="B2638" s="232"/>
      <c r="C2638" s="400"/>
      <c r="D2638" s="233"/>
      <c r="E2638" s="405"/>
      <c r="F2638" s="405"/>
      <c r="G2638" s="405"/>
      <c r="H2638" s="408">
        <f>ROUND(+E2638+F2638+G2638,4)</f>
        <v>0</v>
      </c>
      <c r="I2638" s="234"/>
      <c r="J2638" s="411"/>
      <c r="K2638" s="411"/>
      <c r="L2638" s="414">
        <v>0.1</v>
      </c>
      <c r="M2638" s="414">
        <f>ROUND(+L2638*C2638,4)</f>
        <v>0</v>
      </c>
      <c r="N2638" s="414"/>
      <c r="O2638" s="414"/>
      <c r="P2638" s="414"/>
      <c r="Q2638" s="419">
        <f>ROUND(+N2638+O2638+P2638,4)</f>
        <v>0</v>
      </c>
      <c r="R2638" s="419">
        <f>ROUND(IF(+Q2638-H2638&lt;=0,0,Q2638-H2638),4)</f>
        <v>0</v>
      </c>
      <c r="S2638" s="423">
        <v>0.5</v>
      </c>
      <c r="T2638" s="419">
        <f>ROUND(+(R2638*C2638)*S2638,4)</f>
        <v>0</v>
      </c>
      <c r="U2638" s="419">
        <f>ROUND(+J2638+M2638+T2638,4)</f>
        <v>0</v>
      </c>
      <c r="V2638" s="235"/>
    </row>
    <row r="2639" spans="1:22" ht="15.75" x14ac:dyDescent="0.25">
      <c r="A2639" s="231"/>
      <c r="B2639" s="232"/>
      <c r="C2639" s="400"/>
      <c r="D2639" s="233"/>
      <c r="E2639" s="405"/>
      <c r="F2639" s="405"/>
      <c r="G2639" s="405"/>
      <c r="H2639" s="408">
        <f>ROUND(+E2639+F2639+G2639,4)</f>
        <v>0</v>
      </c>
      <c r="I2639" s="234"/>
      <c r="J2639" s="411"/>
      <c r="K2639" s="411"/>
      <c r="L2639" s="414">
        <v>0.1</v>
      </c>
      <c r="M2639" s="414">
        <f>ROUND(+L2639*C2639,4)</f>
        <v>0</v>
      </c>
      <c r="N2639" s="414"/>
      <c r="O2639" s="414"/>
      <c r="P2639" s="414"/>
      <c r="Q2639" s="419">
        <f>ROUND(+N2639+O2639+P2639,4)</f>
        <v>0</v>
      </c>
      <c r="R2639" s="419">
        <f>ROUND(IF(+Q2639-H2639&lt;=0,0,Q2639-H2639),4)</f>
        <v>0</v>
      </c>
      <c r="S2639" s="423">
        <v>0.5</v>
      </c>
      <c r="T2639" s="419">
        <f>ROUND(+(R2639*C2639)*S2639,4)</f>
        <v>0</v>
      </c>
      <c r="U2639" s="419">
        <f>ROUND(+J2639+M2639+T2639,4)</f>
        <v>0</v>
      </c>
      <c r="V2639" s="235"/>
    </row>
    <row r="2640" spans="1:22" ht="15.75" x14ac:dyDescent="0.25">
      <c r="A2640" s="231"/>
      <c r="B2640" s="232"/>
      <c r="C2640" s="400"/>
      <c r="D2640" s="233"/>
      <c r="E2640" s="405"/>
      <c r="F2640" s="405"/>
      <c r="G2640" s="405"/>
      <c r="H2640" s="408">
        <f>ROUND(+E2640+F2640+G2640,4)</f>
        <v>0</v>
      </c>
      <c r="I2640" s="234"/>
      <c r="J2640" s="411"/>
      <c r="K2640" s="411"/>
      <c r="L2640" s="414">
        <v>0.1</v>
      </c>
      <c r="M2640" s="414">
        <f>ROUND(+L2640*C2640,4)</f>
        <v>0</v>
      </c>
      <c r="N2640" s="414"/>
      <c r="O2640" s="414"/>
      <c r="P2640" s="414"/>
      <c r="Q2640" s="419">
        <f>ROUND(+N2640+O2640+P2640,4)</f>
        <v>0</v>
      </c>
      <c r="R2640" s="419">
        <f>ROUND(IF(+Q2640-H2640&lt;=0,0,Q2640-H2640),4)</f>
        <v>0</v>
      </c>
      <c r="S2640" s="423">
        <v>0.5</v>
      </c>
      <c r="T2640" s="419">
        <f>ROUND(+(R2640*C2640)*S2640,4)</f>
        <v>0</v>
      </c>
      <c r="U2640" s="419">
        <f>ROUND(+J2640+M2640+T2640,4)</f>
        <v>0</v>
      </c>
      <c r="V2640" s="235"/>
    </row>
    <row r="2641" spans="1:22" ht="15.75" x14ac:dyDescent="0.25">
      <c r="A2641" s="231"/>
      <c r="B2641" s="232"/>
      <c r="C2641" s="400"/>
      <c r="D2641" s="233"/>
      <c r="E2641" s="405"/>
      <c r="F2641" s="405"/>
      <c r="G2641" s="405"/>
      <c r="H2641" s="408">
        <f>ROUND(+E2641+F2641+G2641,4)</f>
        <v>0</v>
      </c>
      <c r="I2641" s="234"/>
      <c r="J2641" s="411"/>
      <c r="K2641" s="411"/>
      <c r="L2641" s="414">
        <v>0.1</v>
      </c>
      <c r="M2641" s="414">
        <f>ROUND(+L2641*C2641,4)</f>
        <v>0</v>
      </c>
      <c r="N2641" s="414"/>
      <c r="O2641" s="414"/>
      <c r="P2641" s="414"/>
      <c r="Q2641" s="419">
        <f>ROUND(+N2641+O2641+P2641,4)</f>
        <v>0</v>
      </c>
      <c r="R2641" s="419">
        <f>ROUND(IF(+Q2641-H2641&lt;=0,0,Q2641-H2641),4)</f>
        <v>0</v>
      </c>
      <c r="S2641" s="423">
        <v>0.5</v>
      </c>
      <c r="T2641" s="419">
        <f>ROUND(+(R2641*C2641)*S2641,4)</f>
        <v>0</v>
      </c>
      <c r="U2641" s="419">
        <f>ROUND(+J2641+M2641+T2641,4)</f>
        <v>0</v>
      </c>
      <c r="V2641" s="235"/>
    </row>
    <row r="2642" spans="1:22" ht="15.75" x14ac:dyDescent="0.25">
      <c r="A2642" s="231"/>
      <c r="B2642" s="232"/>
      <c r="C2642" s="400"/>
      <c r="D2642" s="233"/>
      <c r="E2642" s="405"/>
      <c r="F2642" s="405"/>
      <c r="G2642" s="405"/>
      <c r="H2642" s="408">
        <f>ROUND(+E2642+F2642+G2642,4)</f>
        <v>0</v>
      </c>
      <c r="I2642" s="234"/>
      <c r="J2642" s="411"/>
      <c r="K2642" s="411"/>
      <c r="L2642" s="414">
        <v>0.1</v>
      </c>
      <c r="M2642" s="414">
        <f>ROUND(+L2642*C2642,4)</f>
        <v>0</v>
      </c>
      <c r="N2642" s="414"/>
      <c r="O2642" s="414"/>
      <c r="P2642" s="414"/>
      <c r="Q2642" s="419">
        <f>ROUND(+N2642+O2642+P2642,4)</f>
        <v>0</v>
      </c>
      <c r="R2642" s="419">
        <f>ROUND(IF(+Q2642-H2642&lt;=0,0,Q2642-H2642),4)</f>
        <v>0</v>
      </c>
      <c r="S2642" s="423">
        <v>0.5</v>
      </c>
      <c r="T2642" s="419">
        <f>ROUND(+(R2642*C2642)*S2642,4)</f>
        <v>0</v>
      </c>
      <c r="U2642" s="419">
        <f>ROUND(+J2642+M2642+T2642,4)</f>
        <v>0</v>
      </c>
      <c r="V2642" s="235"/>
    </row>
    <row r="2643" spans="1:22" ht="15.75" x14ac:dyDescent="0.25">
      <c r="A2643" s="231"/>
      <c r="B2643" s="232"/>
      <c r="C2643" s="400"/>
      <c r="D2643" s="233"/>
      <c r="E2643" s="405"/>
      <c r="F2643" s="405"/>
      <c r="G2643" s="405"/>
      <c r="H2643" s="408">
        <f>ROUND(+E2643+F2643+G2643,4)</f>
        <v>0</v>
      </c>
      <c r="I2643" s="234"/>
      <c r="J2643" s="411"/>
      <c r="K2643" s="411"/>
      <c r="L2643" s="414">
        <v>0.1</v>
      </c>
      <c r="M2643" s="414">
        <f>ROUND(+L2643*C2643,4)</f>
        <v>0</v>
      </c>
      <c r="N2643" s="414"/>
      <c r="O2643" s="414"/>
      <c r="P2643" s="414"/>
      <c r="Q2643" s="419">
        <f>ROUND(+N2643+O2643+P2643,4)</f>
        <v>0</v>
      </c>
      <c r="R2643" s="419">
        <f>ROUND(IF(+Q2643-H2643&lt;=0,0,Q2643-H2643),4)</f>
        <v>0</v>
      </c>
      <c r="S2643" s="423">
        <v>0.5</v>
      </c>
      <c r="T2643" s="419">
        <f>ROUND(+(R2643*C2643)*S2643,4)</f>
        <v>0</v>
      </c>
      <c r="U2643" s="419">
        <f>ROUND(+J2643+M2643+T2643,4)</f>
        <v>0</v>
      </c>
      <c r="V2643" s="235"/>
    </row>
    <row r="2644" spans="1:22" ht="15.75" x14ac:dyDescent="0.25">
      <c r="A2644" s="231"/>
      <c r="B2644" s="232"/>
      <c r="C2644" s="400"/>
      <c r="D2644" s="233"/>
      <c r="E2644" s="405"/>
      <c r="F2644" s="405"/>
      <c r="G2644" s="405"/>
      <c r="H2644" s="408">
        <f>ROUND(+E2644+F2644+G2644,4)</f>
        <v>0</v>
      </c>
      <c r="I2644" s="234"/>
      <c r="J2644" s="411"/>
      <c r="K2644" s="411"/>
      <c r="L2644" s="414">
        <v>0.1</v>
      </c>
      <c r="M2644" s="414">
        <f>ROUND(+L2644*C2644,4)</f>
        <v>0</v>
      </c>
      <c r="N2644" s="414"/>
      <c r="O2644" s="414"/>
      <c r="P2644" s="414"/>
      <c r="Q2644" s="419">
        <f>ROUND(+N2644+O2644+P2644,4)</f>
        <v>0</v>
      </c>
      <c r="R2644" s="419">
        <f>ROUND(IF(+Q2644-H2644&lt;=0,0,Q2644-H2644),4)</f>
        <v>0</v>
      </c>
      <c r="S2644" s="423">
        <v>0.5</v>
      </c>
      <c r="T2644" s="419">
        <f>ROUND(+(R2644*C2644)*S2644,4)</f>
        <v>0</v>
      </c>
      <c r="U2644" s="419">
        <f>ROUND(+J2644+M2644+T2644,4)</f>
        <v>0</v>
      </c>
      <c r="V2644" s="235"/>
    </row>
    <row r="2645" spans="1:22" ht="15.75" x14ac:dyDescent="0.25">
      <c r="A2645" s="231"/>
      <c r="B2645" s="232"/>
      <c r="C2645" s="400"/>
      <c r="D2645" s="233"/>
      <c r="E2645" s="405"/>
      <c r="F2645" s="405"/>
      <c r="G2645" s="405"/>
      <c r="H2645" s="408">
        <f>ROUND(+E2645+F2645+G2645,4)</f>
        <v>0</v>
      </c>
      <c r="I2645" s="234"/>
      <c r="J2645" s="411"/>
      <c r="K2645" s="411"/>
      <c r="L2645" s="414">
        <v>0.1</v>
      </c>
      <c r="M2645" s="414">
        <f>ROUND(+L2645*C2645,4)</f>
        <v>0</v>
      </c>
      <c r="N2645" s="414"/>
      <c r="O2645" s="414"/>
      <c r="P2645" s="414"/>
      <c r="Q2645" s="419">
        <f>ROUND(+N2645+O2645+P2645,4)</f>
        <v>0</v>
      </c>
      <c r="R2645" s="419">
        <f>ROUND(IF(+Q2645-H2645&lt;=0,0,Q2645-H2645),4)</f>
        <v>0</v>
      </c>
      <c r="S2645" s="423">
        <v>0.5</v>
      </c>
      <c r="T2645" s="419">
        <f>ROUND(+(R2645*C2645)*S2645,4)</f>
        <v>0</v>
      </c>
      <c r="U2645" s="419">
        <f>ROUND(+J2645+M2645+T2645,4)</f>
        <v>0</v>
      </c>
      <c r="V2645" s="235"/>
    </row>
    <row r="2646" spans="1:22" ht="15.75" x14ac:dyDescent="0.25">
      <c r="A2646" s="231"/>
      <c r="B2646" s="232"/>
      <c r="C2646" s="400"/>
      <c r="D2646" s="233"/>
      <c r="E2646" s="405"/>
      <c r="F2646" s="405"/>
      <c r="G2646" s="405"/>
      <c r="H2646" s="408">
        <f>ROUND(+E2646+F2646+G2646,4)</f>
        <v>0</v>
      </c>
      <c r="I2646" s="234"/>
      <c r="J2646" s="411"/>
      <c r="K2646" s="411"/>
      <c r="L2646" s="414">
        <v>0.1</v>
      </c>
      <c r="M2646" s="414">
        <f>ROUND(+L2646*C2646,4)</f>
        <v>0</v>
      </c>
      <c r="N2646" s="414"/>
      <c r="O2646" s="414"/>
      <c r="P2646" s="414"/>
      <c r="Q2646" s="419">
        <f>ROUND(+N2646+O2646+P2646,4)</f>
        <v>0</v>
      </c>
      <c r="R2646" s="419">
        <f>ROUND(IF(+Q2646-H2646&lt;=0,0,Q2646-H2646),4)</f>
        <v>0</v>
      </c>
      <c r="S2646" s="423">
        <v>0.5</v>
      </c>
      <c r="T2646" s="419">
        <f>ROUND(+(R2646*C2646)*S2646,4)</f>
        <v>0</v>
      </c>
      <c r="U2646" s="419">
        <f>ROUND(+J2646+M2646+T2646,4)</f>
        <v>0</v>
      </c>
      <c r="V2646" s="235"/>
    </row>
    <row r="2647" spans="1:22" ht="15.75" x14ac:dyDescent="0.25">
      <c r="A2647" s="231"/>
      <c r="B2647" s="232"/>
      <c r="C2647" s="400"/>
      <c r="D2647" s="233"/>
      <c r="E2647" s="405"/>
      <c r="F2647" s="405"/>
      <c r="G2647" s="405"/>
      <c r="H2647" s="408">
        <f>ROUND(+E2647+F2647+G2647,4)</f>
        <v>0</v>
      </c>
      <c r="I2647" s="234"/>
      <c r="J2647" s="411"/>
      <c r="K2647" s="411"/>
      <c r="L2647" s="414">
        <v>0.1</v>
      </c>
      <c r="M2647" s="414">
        <f>ROUND(+L2647*C2647,4)</f>
        <v>0</v>
      </c>
      <c r="N2647" s="414"/>
      <c r="O2647" s="414"/>
      <c r="P2647" s="414"/>
      <c r="Q2647" s="419">
        <f>ROUND(+N2647+O2647+P2647,4)</f>
        <v>0</v>
      </c>
      <c r="R2647" s="419">
        <f>ROUND(IF(+Q2647-H2647&lt;=0,0,Q2647-H2647),4)</f>
        <v>0</v>
      </c>
      <c r="S2647" s="423">
        <v>0.5</v>
      </c>
      <c r="T2647" s="419">
        <f>ROUND(+(R2647*C2647)*S2647,4)</f>
        <v>0</v>
      </c>
      <c r="U2647" s="419">
        <f>ROUND(+J2647+M2647+T2647,4)</f>
        <v>0</v>
      </c>
      <c r="V2647" s="235"/>
    </row>
    <row r="2648" spans="1:22" ht="15.75" x14ac:dyDescent="0.25">
      <c r="A2648" s="231"/>
      <c r="B2648" s="232"/>
      <c r="C2648" s="400"/>
      <c r="D2648" s="233"/>
      <c r="E2648" s="405"/>
      <c r="F2648" s="405"/>
      <c r="G2648" s="405"/>
      <c r="H2648" s="408">
        <f>ROUND(+E2648+F2648+G2648,4)</f>
        <v>0</v>
      </c>
      <c r="I2648" s="234"/>
      <c r="J2648" s="411"/>
      <c r="K2648" s="411"/>
      <c r="L2648" s="414">
        <v>0.1</v>
      </c>
      <c r="M2648" s="414">
        <f>ROUND(+L2648*C2648,4)</f>
        <v>0</v>
      </c>
      <c r="N2648" s="414"/>
      <c r="O2648" s="414"/>
      <c r="P2648" s="414"/>
      <c r="Q2648" s="419">
        <f>ROUND(+N2648+O2648+P2648,4)</f>
        <v>0</v>
      </c>
      <c r="R2648" s="419">
        <f>ROUND(IF(+Q2648-H2648&lt;=0,0,Q2648-H2648),4)</f>
        <v>0</v>
      </c>
      <c r="S2648" s="423">
        <v>0.5</v>
      </c>
      <c r="T2648" s="419">
        <f>ROUND(+(R2648*C2648)*S2648,4)</f>
        <v>0</v>
      </c>
      <c r="U2648" s="419">
        <f>ROUND(+J2648+M2648+T2648,4)</f>
        <v>0</v>
      </c>
      <c r="V2648" s="235"/>
    </row>
    <row r="2649" spans="1:22" ht="15.75" x14ac:dyDescent="0.25">
      <c r="A2649" s="231"/>
      <c r="B2649" s="232"/>
      <c r="C2649" s="400"/>
      <c r="D2649" s="233"/>
      <c r="E2649" s="405"/>
      <c r="F2649" s="405"/>
      <c r="G2649" s="405"/>
      <c r="H2649" s="408">
        <f>ROUND(+E2649+F2649+G2649,4)</f>
        <v>0</v>
      </c>
      <c r="I2649" s="234"/>
      <c r="J2649" s="411"/>
      <c r="K2649" s="411"/>
      <c r="L2649" s="414">
        <v>0.1</v>
      </c>
      <c r="M2649" s="414">
        <f>ROUND(+L2649*C2649,4)</f>
        <v>0</v>
      </c>
      <c r="N2649" s="414"/>
      <c r="O2649" s="414"/>
      <c r="P2649" s="414"/>
      <c r="Q2649" s="419">
        <f>ROUND(+N2649+O2649+P2649,4)</f>
        <v>0</v>
      </c>
      <c r="R2649" s="419">
        <f>ROUND(IF(+Q2649-H2649&lt;=0,0,Q2649-H2649),4)</f>
        <v>0</v>
      </c>
      <c r="S2649" s="423">
        <v>0.5</v>
      </c>
      <c r="T2649" s="419">
        <f>ROUND(+(R2649*C2649)*S2649,4)</f>
        <v>0</v>
      </c>
      <c r="U2649" s="419">
        <f>ROUND(+J2649+M2649+T2649,4)</f>
        <v>0</v>
      </c>
      <c r="V2649" s="235"/>
    </row>
    <row r="2650" spans="1:22" ht="15.75" x14ac:dyDescent="0.25">
      <c r="A2650" s="231"/>
      <c r="B2650" s="232"/>
      <c r="C2650" s="400"/>
      <c r="D2650" s="233"/>
      <c r="E2650" s="405"/>
      <c r="F2650" s="405"/>
      <c r="G2650" s="405"/>
      <c r="H2650" s="408">
        <f>ROUND(+E2650+F2650+G2650,4)</f>
        <v>0</v>
      </c>
      <c r="I2650" s="234"/>
      <c r="J2650" s="411"/>
      <c r="K2650" s="411"/>
      <c r="L2650" s="414">
        <v>0.1</v>
      </c>
      <c r="M2650" s="414">
        <f>ROUND(+L2650*C2650,4)</f>
        <v>0</v>
      </c>
      <c r="N2650" s="414"/>
      <c r="O2650" s="414"/>
      <c r="P2650" s="414"/>
      <c r="Q2650" s="419">
        <f>ROUND(+N2650+O2650+P2650,4)</f>
        <v>0</v>
      </c>
      <c r="R2650" s="419">
        <f>ROUND(IF(+Q2650-H2650&lt;=0,0,Q2650-H2650),4)</f>
        <v>0</v>
      </c>
      <c r="S2650" s="423">
        <v>0.5</v>
      </c>
      <c r="T2650" s="419">
        <f>ROUND(+(R2650*C2650)*S2650,4)</f>
        <v>0</v>
      </c>
      <c r="U2650" s="419">
        <f>ROUND(+J2650+M2650+T2650,4)</f>
        <v>0</v>
      </c>
      <c r="V2650" s="235"/>
    </row>
    <row r="2651" spans="1:22" ht="15.75" x14ac:dyDescent="0.25">
      <c r="A2651" s="231"/>
      <c r="B2651" s="232"/>
      <c r="C2651" s="400"/>
      <c r="D2651" s="233"/>
      <c r="E2651" s="405"/>
      <c r="F2651" s="405"/>
      <c r="G2651" s="405"/>
      <c r="H2651" s="408">
        <f>ROUND(+E2651+F2651+G2651,4)</f>
        <v>0</v>
      </c>
      <c r="I2651" s="234"/>
      <c r="J2651" s="411"/>
      <c r="K2651" s="411"/>
      <c r="L2651" s="414">
        <v>0.1</v>
      </c>
      <c r="M2651" s="414">
        <f>ROUND(+L2651*C2651,4)</f>
        <v>0</v>
      </c>
      <c r="N2651" s="414"/>
      <c r="O2651" s="414"/>
      <c r="P2651" s="414"/>
      <c r="Q2651" s="419">
        <f>ROUND(+N2651+O2651+P2651,4)</f>
        <v>0</v>
      </c>
      <c r="R2651" s="419">
        <f>ROUND(IF(+Q2651-H2651&lt;=0,0,Q2651-H2651),4)</f>
        <v>0</v>
      </c>
      <c r="S2651" s="423">
        <v>0.5</v>
      </c>
      <c r="T2651" s="419">
        <f>ROUND(+(R2651*C2651)*S2651,4)</f>
        <v>0</v>
      </c>
      <c r="U2651" s="419">
        <f>ROUND(+J2651+M2651+T2651,4)</f>
        <v>0</v>
      </c>
      <c r="V2651" s="235"/>
    </row>
    <row r="2652" spans="1:22" ht="15.75" x14ac:dyDescent="0.25">
      <c r="A2652" s="231"/>
      <c r="B2652" s="232"/>
      <c r="C2652" s="400"/>
      <c r="D2652" s="233"/>
      <c r="E2652" s="405"/>
      <c r="F2652" s="405"/>
      <c r="G2652" s="405"/>
      <c r="H2652" s="408">
        <f>ROUND(+E2652+F2652+G2652,4)</f>
        <v>0</v>
      </c>
      <c r="I2652" s="234"/>
      <c r="J2652" s="411"/>
      <c r="K2652" s="411"/>
      <c r="L2652" s="414">
        <v>0.1</v>
      </c>
      <c r="M2652" s="414">
        <f>ROUND(+L2652*C2652,4)</f>
        <v>0</v>
      </c>
      <c r="N2652" s="414"/>
      <c r="O2652" s="414"/>
      <c r="P2652" s="414"/>
      <c r="Q2652" s="419">
        <f>ROUND(+N2652+O2652+P2652,4)</f>
        <v>0</v>
      </c>
      <c r="R2652" s="419">
        <f>ROUND(IF(+Q2652-H2652&lt;=0,0,Q2652-H2652),4)</f>
        <v>0</v>
      </c>
      <c r="S2652" s="423">
        <v>0.5</v>
      </c>
      <c r="T2652" s="419">
        <f>ROUND(+(R2652*C2652)*S2652,4)</f>
        <v>0</v>
      </c>
      <c r="U2652" s="419">
        <f>ROUND(+J2652+M2652+T2652,4)</f>
        <v>0</v>
      </c>
      <c r="V2652" s="235"/>
    </row>
    <row r="2653" spans="1:22" ht="15.75" x14ac:dyDescent="0.25">
      <c r="A2653" s="231"/>
      <c r="B2653" s="232"/>
      <c r="C2653" s="400"/>
      <c r="D2653" s="233"/>
      <c r="E2653" s="405"/>
      <c r="F2653" s="405"/>
      <c r="G2653" s="405"/>
      <c r="H2653" s="408">
        <f>ROUND(+E2653+F2653+G2653,4)</f>
        <v>0</v>
      </c>
      <c r="I2653" s="234"/>
      <c r="J2653" s="411"/>
      <c r="K2653" s="411"/>
      <c r="L2653" s="414">
        <v>0.1</v>
      </c>
      <c r="M2653" s="414">
        <f>ROUND(+L2653*C2653,4)</f>
        <v>0</v>
      </c>
      <c r="N2653" s="414"/>
      <c r="O2653" s="414"/>
      <c r="P2653" s="414"/>
      <c r="Q2653" s="419">
        <f>ROUND(+N2653+O2653+P2653,4)</f>
        <v>0</v>
      </c>
      <c r="R2653" s="419">
        <f>ROUND(IF(+Q2653-H2653&lt;=0,0,Q2653-H2653),4)</f>
        <v>0</v>
      </c>
      <c r="S2653" s="423">
        <v>0.5</v>
      </c>
      <c r="T2653" s="419">
        <f>ROUND(+(R2653*C2653)*S2653,4)</f>
        <v>0</v>
      </c>
      <c r="U2653" s="419">
        <f>ROUND(+J2653+M2653+T2653,4)</f>
        <v>0</v>
      </c>
      <c r="V2653" s="235"/>
    </row>
    <row r="2654" spans="1:22" ht="15.75" x14ac:dyDescent="0.25">
      <c r="A2654" s="231"/>
      <c r="B2654" s="232"/>
      <c r="C2654" s="400"/>
      <c r="D2654" s="233"/>
      <c r="E2654" s="405"/>
      <c r="F2654" s="405"/>
      <c r="G2654" s="405"/>
      <c r="H2654" s="408">
        <f>ROUND(+E2654+F2654+G2654,4)</f>
        <v>0</v>
      </c>
      <c r="I2654" s="234"/>
      <c r="J2654" s="411"/>
      <c r="K2654" s="411"/>
      <c r="L2654" s="414">
        <v>0.1</v>
      </c>
      <c r="M2654" s="414">
        <f>ROUND(+L2654*C2654,4)</f>
        <v>0</v>
      </c>
      <c r="N2654" s="414"/>
      <c r="O2654" s="414"/>
      <c r="P2654" s="414"/>
      <c r="Q2654" s="419">
        <f>ROUND(+N2654+O2654+P2654,4)</f>
        <v>0</v>
      </c>
      <c r="R2654" s="419">
        <f>ROUND(IF(+Q2654-H2654&lt;=0,0,Q2654-H2654),4)</f>
        <v>0</v>
      </c>
      <c r="S2654" s="423">
        <v>0.5</v>
      </c>
      <c r="T2654" s="419">
        <f>ROUND(+(R2654*C2654)*S2654,4)</f>
        <v>0</v>
      </c>
      <c r="U2654" s="419">
        <f>ROUND(+J2654+M2654+T2654,4)</f>
        <v>0</v>
      </c>
      <c r="V2654" s="235"/>
    </row>
    <row r="2655" spans="1:22" ht="15.75" x14ac:dyDescent="0.25">
      <c r="A2655" s="231"/>
      <c r="B2655" s="232"/>
      <c r="C2655" s="400"/>
      <c r="D2655" s="233"/>
      <c r="E2655" s="405"/>
      <c r="F2655" s="405"/>
      <c r="G2655" s="405"/>
      <c r="H2655" s="408">
        <f>ROUND(+E2655+F2655+G2655,4)</f>
        <v>0</v>
      </c>
      <c r="I2655" s="234"/>
      <c r="J2655" s="411"/>
      <c r="K2655" s="411"/>
      <c r="L2655" s="414">
        <v>0.1</v>
      </c>
      <c r="M2655" s="414">
        <f>ROUND(+L2655*C2655,4)</f>
        <v>0</v>
      </c>
      <c r="N2655" s="414"/>
      <c r="O2655" s="414"/>
      <c r="P2655" s="414"/>
      <c r="Q2655" s="419">
        <f>ROUND(+N2655+O2655+P2655,4)</f>
        <v>0</v>
      </c>
      <c r="R2655" s="419">
        <f>ROUND(IF(+Q2655-H2655&lt;=0,0,Q2655-H2655),4)</f>
        <v>0</v>
      </c>
      <c r="S2655" s="423">
        <v>0.5</v>
      </c>
      <c r="T2655" s="419">
        <f>ROUND(+(R2655*C2655)*S2655,4)</f>
        <v>0</v>
      </c>
      <c r="U2655" s="419">
        <f>ROUND(+J2655+M2655+T2655,4)</f>
        <v>0</v>
      </c>
      <c r="V2655" s="235"/>
    </row>
    <row r="2656" spans="1:22" ht="15.75" x14ac:dyDescent="0.25">
      <c r="A2656" s="231"/>
      <c r="B2656" s="232"/>
      <c r="C2656" s="400"/>
      <c r="D2656" s="233"/>
      <c r="E2656" s="405"/>
      <c r="F2656" s="405"/>
      <c r="G2656" s="405"/>
      <c r="H2656" s="408">
        <f>ROUND(+E2656+F2656+G2656,4)</f>
        <v>0</v>
      </c>
      <c r="I2656" s="234"/>
      <c r="J2656" s="411"/>
      <c r="K2656" s="411"/>
      <c r="L2656" s="414">
        <v>0.1</v>
      </c>
      <c r="M2656" s="414">
        <f>ROUND(+L2656*C2656,4)</f>
        <v>0</v>
      </c>
      <c r="N2656" s="414"/>
      <c r="O2656" s="414"/>
      <c r="P2656" s="414"/>
      <c r="Q2656" s="419">
        <f>ROUND(+N2656+O2656+P2656,4)</f>
        <v>0</v>
      </c>
      <c r="R2656" s="419">
        <f>ROUND(IF(+Q2656-H2656&lt;=0,0,Q2656-H2656),4)</f>
        <v>0</v>
      </c>
      <c r="S2656" s="423">
        <v>0.5</v>
      </c>
      <c r="T2656" s="419">
        <f>ROUND(+(R2656*C2656)*S2656,4)</f>
        <v>0</v>
      </c>
      <c r="U2656" s="419">
        <f>ROUND(+J2656+M2656+T2656,4)</f>
        <v>0</v>
      </c>
      <c r="V2656" s="235"/>
    </row>
    <row r="2657" spans="1:22" ht="15.75" x14ac:dyDescent="0.25">
      <c r="A2657" s="231"/>
      <c r="B2657" s="232"/>
      <c r="C2657" s="400"/>
      <c r="D2657" s="233"/>
      <c r="E2657" s="405"/>
      <c r="F2657" s="405"/>
      <c r="G2657" s="405"/>
      <c r="H2657" s="408">
        <f>ROUND(+E2657+F2657+G2657,4)</f>
        <v>0</v>
      </c>
      <c r="I2657" s="234"/>
      <c r="J2657" s="411"/>
      <c r="K2657" s="411"/>
      <c r="L2657" s="414">
        <v>0.1</v>
      </c>
      <c r="M2657" s="414">
        <f>ROUND(+L2657*C2657,4)</f>
        <v>0</v>
      </c>
      <c r="N2657" s="414"/>
      <c r="O2657" s="414"/>
      <c r="P2657" s="414"/>
      <c r="Q2657" s="419">
        <f>ROUND(+N2657+O2657+P2657,4)</f>
        <v>0</v>
      </c>
      <c r="R2657" s="419">
        <f>ROUND(IF(+Q2657-H2657&lt;=0,0,Q2657-H2657),4)</f>
        <v>0</v>
      </c>
      <c r="S2657" s="423">
        <v>0.5</v>
      </c>
      <c r="T2657" s="419">
        <f>ROUND(+(R2657*C2657)*S2657,4)</f>
        <v>0</v>
      </c>
      <c r="U2657" s="419">
        <f>ROUND(+J2657+M2657+T2657,4)</f>
        <v>0</v>
      </c>
      <c r="V2657" s="235"/>
    </row>
    <row r="2658" spans="1:22" ht="15.75" x14ac:dyDescent="0.25">
      <c r="A2658" s="231"/>
      <c r="B2658" s="232"/>
      <c r="C2658" s="400"/>
      <c r="D2658" s="233"/>
      <c r="E2658" s="405"/>
      <c r="F2658" s="405"/>
      <c r="G2658" s="405"/>
      <c r="H2658" s="408">
        <f>ROUND(+E2658+F2658+G2658,4)</f>
        <v>0</v>
      </c>
      <c r="I2658" s="234"/>
      <c r="J2658" s="411"/>
      <c r="K2658" s="411"/>
      <c r="L2658" s="414">
        <v>0.1</v>
      </c>
      <c r="M2658" s="414">
        <f>ROUND(+L2658*C2658,4)</f>
        <v>0</v>
      </c>
      <c r="N2658" s="414"/>
      <c r="O2658" s="414"/>
      <c r="P2658" s="414"/>
      <c r="Q2658" s="419">
        <f>ROUND(+N2658+O2658+P2658,4)</f>
        <v>0</v>
      </c>
      <c r="R2658" s="419">
        <f>ROUND(IF(+Q2658-H2658&lt;=0,0,Q2658-H2658),4)</f>
        <v>0</v>
      </c>
      <c r="S2658" s="423">
        <v>0.5</v>
      </c>
      <c r="T2658" s="419">
        <f>ROUND(+(R2658*C2658)*S2658,4)</f>
        <v>0</v>
      </c>
      <c r="U2658" s="419">
        <f>ROUND(+J2658+M2658+T2658,4)</f>
        <v>0</v>
      </c>
      <c r="V2658" s="235"/>
    </row>
    <row r="2659" spans="1:22" ht="15.75" x14ac:dyDescent="0.25">
      <c r="A2659" s="231"/>
      <c r="B2659" s="232"/>
      <c r="C2659" s="400"/>
      <c r="D2659" s="233"/>
      <c r="E2659" s="405"/>
      <c r="F2659" s="405"/>
      <c r="G2659" s="405"/>
      <c r="H2659" s="408">
        <f>ROUND(+E2659+F2659+G2659,4)</f>
        <v>0</v>
      </c>
      <c r="I2659" s="234"/>
      <c r="J2659" s="411"/>
      <c r="K2659" s="411"/>
      <c r="L2659" s="414">
        <v>0.1</v>
      </c>
      <c r="M2659" s="414">
        <f>ROUND(+L2659*C2659,4)</f>
        <v>0</v>
      </c>
      <c r="N2659" s="414"/>
      <c r="O2659" s="414"/>
      <c r="P2659" s="414"/>
      <c r="Q2659" s="419">
        <f>ROUND(+N2659+O2659+P2659,4)</f>
        <v>0</v>
      </c>
      <c r="R2659" s="419">
        <f>ROUND(IF(+Q2659-H2659&lt;=0,0,Q2659-H2659),4)</f>
        <v>0</v>
      </c>
      <c r="S2659" s="423">
        <v>0.5</v>
      </c>
      <c r="T2659" s="419">
        <f>ROUND(+(R2659*C2659)*S2659,4)</f>
        <v>0</v>
      </c>
      <c r="U2659" s="419">
        <f>ROUND(+J2659+M2659+T2659,4)</f>
        <v>0</v>
      </c>
      <c r="V2659" s="235"/>
    </row>
    <row r="2660" spans="1:22" ht="15.75" x14ac:dyDescent="0.25">
      <c r="A2660" s="231"/>
      <c r="B2660" s="232"/>
      <c r="C2660" s="400"/>
      <c r="D2660" s="233"/>
      <c r="E2660" s="405"/>
      <c r="F2660" s="405"/>
      <c r="G2660" s="405"/>
      <c r="H2660" s="408">
        <f>ROUND(+E2660+F2660+G2660,4)</f>
        <v>0</v>
      </c>
      <c r="I2660" s="234"/>
      <c r="J2660" s="411"/>
      <c r="K2660" s="411"/>
      <c r="L2660" s="414">
        <v>0.1</v>
      </c>
      <c r="M2660" s="414">
        <f>ROUND(+L2660*C2660,4)</f>
        <v>0</v>
      </c>
      <c r="N2660" s="414"/>
      <c r="O2660" s="414"/>
      <c r="P2660" s="414"/>
      <c r="Q2660" s="419">
        <f>ROUND(+N2660+O2660+P2660,4)</f>
        <v>0</v>
      </c>
      <c r="R2660" s="419">
        <f>ROUND(IF(+Q2660-H2660&lt;=0,0,Q2660-H2660),4)</f>
        <v>0</v>
      </c>
      <c r="S2660" s="423">
        <v>0.5</v>
      </c>
      <c r="T2660" s="419">
        <f>ROUND(+(R2660*C2660)*S2660,4)</f>
        <v>0</v>
      </c>
      <c r="U2660" s="419">
        <f>ROUND(+J2660+M2660+T2660,4)</f>
        <v>0</v>
      </c>
      <c r="V2660" s="235"/>
    </row>
    <row r="2661" spans="1:22" ht="15.75" x14ac:dyDescent="0.25">
      <c r="A2661" s="231"/>
      <c r="B2661" s="232"/>
      <c r="C2661" s="400"/>
      <c r="D2661" s="233"/>
      <c r="E2661" s="405"/>
      <c r="F2661" s="405"/>
      <c r="G2661" s="405"/>
      <c r="H2661" s="408">
        <f>ROUND(+E2661+F2661+G2661,4)</f>
        <v>0</v>
      </c>
      <c r="I2661" s="234"/>
      <c r="J2661" s="411"/>
      <c r="K2661" s="411"/>
      <c r="L2661" s="414">
        <v>0.1</v>
      </c>
      <c r="M2661" s="414">
        <f>ROUND(+L2661*C2661,4)</f>
        <v>0</v>
      </c>
      <c r="N2661" s="414"/>
      <c r="O2661" s="414"/>
      <c r="P2661" s="414"/>
      <c r="Q2661" s="419">
        <f>ROUND(+N2661+O2661+P2661,4)</f>
        <v>0</v>
      </c>
      <c r="R2661" s="419">
        <f>ROUND(IF(+Q2661-H2661&lt;=0,0,Q2661-H2661),4)</f>
        <v>0</v>
      </c>
      <c r="S2661" s="423">
        <v>0.5</v>
      </c>
      <c r="T2661" s="419">
        <f>ROUND(+(R2661*C2661)*S2661,4)</f>
        <v>0</v>
      </c>
      <c r="U2661" s="419">
        <f>ROUND(+J2661+M2661+T2661,4)</f>
        <v>0</v>
      </c>
      <c r="V2661" s="235"/>
    </row>
    <row r="2662" spans="1:22" ht="15.75" x14ac:dyDescent="0.25">
      <c r="A2662" s="231"/>
      <c r="B2662" s="232"/>
      <c r="C2662" s="400"/>
      <c r="D2662" s="233"/>
      <c r="E2662" s="405"/>
      <c r="F2662" s="405"/>
      <c r="G2662" s="405"/>
      <c r="H2662" s="408">
        <f>ROUND(+E2662+F2662+G2662,4)</f>
        <v>0</v>
      </c>
      <c r="I2662" s="234"/>
      <c r="J2662" s="411"/>
      <c r="K2662" s="411"/>
      <c r="L2662" s="414">
        <v>0.1</v>
      </c>
      <c r="M2662" s="414">
        <f>ROUND(+L2662*C2662,4)</f>
        <v>0</v>
      </c>
      <c r="N2662" s="414"/>
      <c r="O2662" s="414"/>
      <c r="P2662" s="414"/>
      <c r="Q2662" s="419">
        <f>ROUND(+N2662+O2662+P2662,4)</f>
        <v>0</v>
      </c>
      <c r="R2662" s="419">
        <f>ROUND(IF(+Q2662-H2662&lt;=0,0,Q2662-H2662),4)</f>
        <v>0</v>
      </c>
      <c r="S2662" s="423">
        <v>0.5</v>
      </c>
      <c r="T2662" s="419">
        <f>ROUND(+(R2662*C2662)*S2662,4)</f>
        <v>0</v>
      </c>
      <c r="U2662" s="419">
        <f>ROUND(+J2662+M2662+T2662,4)</f>
        <v>0</v>
      </c>
      <c r="V2662" s="235"/>
    </row>
    <row r="2663" spans="1:22" ht="15.75" x14ac:dyDescent="0.25">
      <c r="A2663" s="231"/>
      <c r="B2663" s="232"/>
      <c r="C2663" s="400"/>
      <c r="D2663" s="233"/>
      <c r="E2663" s="405"/>
      <c r="F2663" s="405"/>
      <c r="G2663" s="405"/>
      <c r="H2663" s="408">
        <f>ROUND(+E2663+F2663+G2663,4)</f>
        <v>0</v>
      </c>
      <c r="I2663" s="234"/>
      <c r="J2663" s="411"/>
      <c r="K2663" s="411"/>
      <c r="L2663" s="414">
        <v>0.1</v>
      </c>
      <c r="M2663" s="414">
        <f>ROUND(+L2663*C2663,4)</f>
        <v>0</v>
      </c>
      <c r="N2663" s="414"/>
      <c r="O2663" s="414"/>
      <c r="P2663" s="414"/>
      <c r="Q2663" s="419">
        <f>ROUND(+N2663+O2663+P2663,4)</f>
        <v>0</v>
      </c>
      <c r="R2663" s="419">
        <f>ROUND(IF(+Q2663-H2663&lt;=0,0,Q2663-H2663),4)</f>
        <v>0</v>
      </c>
      <c r="S2663" s="423">
        <v>0.5</v>
      </c>
      <c r="T2663" s="419">
        <f>ROUND(+(R2663*C2663)*S2663,4)</f>
        <v>0</v>
      </c>
      <c r="U2663" s="419">
        <f>ROUND(+J2663+M2663+T2663,4)</f>
        <v>0</v>
      </c>
      <c r="V2663" s="235"/>
    </row>
    <row r="2664" spans="1:22" ht="15.75" x14ac:dyDescent="0.25">
      <c r="A2664" s="231"/>
      <c r="B2664" s="232"/>
      <c r="C2664" s="400"/>
      <c r="D2664" s="233"/>
      <c r="E2664" s="405"/>
      <c r="F2664" s="405"/>
      <c r="G2664" s="405"/>
      <c r="H2664" s="408">
        <f>ROUND(+E2664+F2664+G2664,4)</f>
        <v>0</v>
      </c>
      <c r="I2664" s="234"/>
      <c r="J2664" s="411"/>
      <c r="K2664" s="411"/>
      <c r="L2664" s="414">
        <v>0.1</v>
      </c>
      <c r="M2664" s="414">
        <f>ROUND(+L2664*C2664,4)</f>
        <v>0</v>
      </c>
      <c r="N2664" s="414"/>
      <c r="O2664" s="414"/>
      <c r="P2664" s="414"/>
      <c r="Q2664" s="419">
        <f>ROUND(+N2664+O2664+P2664,4)</f>
        <v>0</v>
      </c>
      <c r="R2664" s="419">
        <f>ROUND(IF(+Q2664-H2664&lt;=0,0,Q2664-H2664),4)</f>
        <v>0</v>
      </c>
      <c r="S2664" s="423">
        <v>0.5</v>
      </c>
      <c r="T2664" s="419">
        <f>ROUND(+(R2664*C2664)*S2664,4)</f>
        <v>0</v>
      </c>
      <c r="U2664" s="419">
        <f>ROUND(+J2664+M2664+T2664,4)</f>
        <v>0</v>
      </c>
      <c r="V2664" s="235"/>
    </row>
    <row r="2665" spans="1:22" ht="15.75" x14ac:dyDescent="0.25">
      <c r="A2665" s="231"/>
      <c r="B2665" s="232"/>
      <c r="C2665" s="400"/>
      <c r="D2665" s="233"/>
      <c r="E2665" s="405"/>
      <c r="F2665" s="405"/>
      <c r="G2665" s="405"/>
      <c r="H2665" s="408">
        <f>ROUND(+E2665+F2665+G2665,4)</f>
        <v>0</v>
      </c>
      <c r="I2665" s="234"/>
      <c r="J2665" s="411"/>
      <c r="K2665" s="411"/>
      <c r="L2665" s="414">
        <v>0.1</v>
      </c>
      <c r="M2665" s="414">
        <f>ROUND(+L2665*C2665,4)</f>
        <v>0</v>
      </c>
      <c r="N2665" s="414"/>
      <c r="O2665" s="414"/>
      <c r="P2665" s="414"/>
      <c r="Q2665" s="419">
        <f>ROUND(+N2665+O2665+P2665,4)</f>
        <v>0</v>
      </c>
      <c r="R2665" s="419">
        <f>ROUND(IF(+Q2665-H2665&lt;=0,0,Q2665-H2665),4)</f>
        <v>0</v>
      </c>
      <c r="S2665" s="423">
        <v>0.5</v>
      </c>
      <c r="T2665" s="419">
        <f>ROUND(+(R2665*C2665)*S2665,4)</f>
        <v>0</v>
      </c>
      <c r="U2665" s="419">
        <f>ROUND(+J2665+M2665+T2665,4)</f>
        <v>0</v>
      </c>
      <c r="V2665" s="235"/>
    </row>
    <row r="2666" spans="1:22" ht="15.75" x14ac:dyDescent="0.25">
      <c r="A2666" s="231"/>
      <c r="B2666" s="232"/>
      <c r="C2666" s="400"/>
      <c r="D2666" s="233"/>
      <c r="E2666" s="405"/>
      <c r="F2666" s="405"/>
      <c r="G2666" s="405"/>
      <c r="H2666" s="408">
        <f>ROUND(+E2666+F2666+G2666,4)</f>
        <v>0</v>
      </c>
      <c r="I2666" s="234"/>
      <c r="J2666" s="411"/>
      <c r="K2666" s="411"/>
      <c r="L2666" s="414">
        <v>0.1</v>
      </c>
      <c r="M2666" s="414">
        <f>ROUND(+L2666*C2666,4)</f>
        <v>0</v>
      </c>
      <c r="N2666" s="414"/>
      <c r="O2666" s="414"/>
      <c r="P2666" s="414"/>
      <c r="Q2666" s="419">
        <f>ROUND(+N2666+O2666+P2666,4)</f>
        <v>0</v>
      </c>
      <c r="R2666" s="419">
        <f>ROUND(IF(+Q2666-H2666&lt;=0,0,Q2666-H2666),4)</f>
        <v>0</v>
      </c>
      <c r="S2666" s="423">
        <v>0.5</v>
      </c>
      <c r="T2666" s="419">
        <f>ROUND(+(R2666*C2666)*S2666,4)</f>
        <v>0</v>
      </c>
      <c r="U2666" s="419">
        <f>ROUND(+J2666+M2666+T2666,4)</f>
        <v>0</v>
      </c>
      <c r="V2666" s="235"/>
    </row>
    <row r="2667" spans="1:22" ht="15.75" x14ac:dyDescent="0.25">
      <c r="A2667" s="231"/>
      <c r="B2667" s="232"/>
      <c r="C2667" s="400"/>
      <c r="D2667" s="233"/>
      <c r="E2667" s="405"/>
      <c r="F2667" s="405"/>
      <c r="G2667" s="405"/>
      <c r="H2667" s="408">
        <f>ROUND(+E2667+F2667+G2667,4)</f>
        <v>0</v>
      </c>
      <c r="I2667" s="234"/>
      <c r="J2667" s="411"/>
      <c r="K2667" s="411"/>
      <c r="L2667" s="414">
        <v>0.1</v>
      </c>
      <c r="M2667" s="414">
        <f>ROUND(+L2667*C2667,4)</f>
        <v>0</v>
      </c>
      <c r="N2667" s="414"/>
      <c r="O2667" s="414"/>
      <c r="P2667" s="414"/>
      <c r="Q2667" s="419">
        <f>ROUND(+N2667+O2667+P2667,4)</f>
        <v>0</v>
      </c>
      <c r="R2667" s="419">
        <f>ROUND(IF(+Q2667-H2667&lt;=0,0,Q2667-H2667),4)</f>
        <v>0</v>
      </c>
      <c r="S2667" s="423">
        <v>0.5</v>
      </c>
      <c r="T2667" s="419">
        <f>ROUND(+(R2667*C2667)*S2667,4)</f>
        <v>0</v>
      </c>
      <c r="U2667" s="419">
        <f>ROUND(+J2667+M2667+T2667,4)</f>
        <v>0</v>
      </c>
      <c r="V2667" s="235"/>
    </row>
    <row r="2668" spans="1:22" ht="15.75" x14ac:dyDescent="0.25">
      <c r="A2668" s="231"/>
      <c r="B2668" s="232"/>
      <c r="C2668" s="400"/>
      <c r="D2668" s="233"/>
      <c r="E2668" s="405"/>
      <c r="F2668" s="405"/>
      <c r="G2668" s="405"/>
      <c r="H2668" s="408">
        <f>ROUND(+E2668+F2668+G2668,4)</f>
        <v>0</v>
      </c>
      <c r="I2668" s="234"/>
      <c r="J2668" s="411"/>
      <c r="K2668" s="411"/>
      <c r="L2668" s="414">
        <v>0.1</v>
      </c>
      <c r="M2668" s="414">
        <f>ROUND(+L2668*C2668,4)</f>
        <v>0</v>
      </c>
      <c r="N2668" s="414"/>
      <c r="O2668" s="414"/>
      <c r="P2668" s="414"/>
      <c r="Q2668" s="419">
        <f>ROUND(+N2668+O2668+P2668,4)</f>
        <v>0</v>
      </c>
      <c r="R2668" s="419">
        <f>ROUND(IF(+Q2668-H2668&lt;=0,0,Q2668-H2668),4)</f>
        <v>0</v>
      </c>
      <c r="S2668" s="423">
        <v>0.5</v>
      </c>
      <c r="T2668" s="419">
        <f>ROUND(+(R2668*C2668)*S2668,4)</f>
        <v>0</v>
      </c>
      <c r="U2668" s="419">
        <f>ROUND(+J2668+M2668+T2668,4)</f>
        <v>0</v>
      </c>
      <c r="V2668" s="235"/>
    </row>
    <row r="2669" spans="1:22" ht="15.75" x14ac:dyDescent="0.25">
      <c r="A2669" s="231"/>
      <c r="B2669" s="232"/>
      <c r="C2669" s="400"/>
      <c r="D2669" s="233"/>
      <c r="E2669" s="405"/>
      <c r="F2669" s="405"/>
      <c r="G2669" s="405"/>
      <c r="H2669" s="408">
        <f>ROUND(+E2669+F2669+G2669,4)</f>
        <v>0</v>
      </c>
      <c r="I2669" s="234"/>
      <c r="J2669" s="411"/>
      <c r="K2669" s="411"/>
      <c r="L2669" s="414">
        <v>0.1</v>
      </c>
      <c r="M2669" s="414">
        <f>ROUND(+L2669*C2669,4)</f>
        <v>0</v>
      </c>
      <c r="N2669" s="414"/>
      <c r="O2669" s="414"/>
      <c r="P2669" s="414"/>
      <c r="Q2669" s="419">
        <f>ROUND(+N2669+O2669+P2669,4)</f>
        <v>0</v>
      </c>
      <c r="R2669" s="419">
        <f>ROUND(IF(+Q2669-H2669&lt;=0,0,Q2669-H2669),4)</f>
        <v>0</v>
      </c>
      <c r="S2669" s="423">
        <v>0.5</v>
      </c>
      <c r="T2669" s="419">
        <f>ROUND(+(R2669*C2669)*S2669,4)</f>
        <v>0</v>
      </c>
      <c r="U2669" s="419">
        <f>ROUND(+J2669+M2669+T2669,4)</f>
        <v>0</v>
      </c>
      <c r="V2669" s="235"/>
    </row>
    <row r="2670" spans="1:22" ht="15.75" x14ac:dyDescent="0.25">
      <c r="A2670" s="231"/>
      <c r="B2670" s="232"/>
      <c r="C2670" s="400"/>
      <c r="D2670" s="233"/>
      <c r="E2670" s="405"/>
      <c r="F2670" s="405"/>
      <c r="G2670" s="405"/>
      <c r="H2670" s="408">
        <f>ROUND(+E2670+F2670+G2670,4)</f>
        <v>0</v>
      </c>
      <c r="I2670" s="234"/>
      <c r="J2670" s="411"/>
      <c r="K2670" s="411"/>
      <c r="L2670" s="414">
        <v>0.1</v>
      </c>
      <c r="M2670" s="414">
        <f>ROUND(+L2670*C2670,4)</f>
        <v>0</v>
      </c>
      <c r="N2670" s="414"/>
      <c r="O2670" s="414"/>
      <c r="P2670" s="414"/>
      <c r="Q2670" s="419">
        <f>ROUND(+N2670+O2670+P2670,4)</f>
        <v>0</v>
      </c>
      <c r="R2670" s="419">
        <f>ROUND(IF(+Q2670-H2670&lt;=0,0,Q2670-H2670),4)</f>
        <v>0</v>
      </c>
      <c r="S2670" s="423">
        <v>0.5</v>
      </c>
      <c r="T2670" s="419">
        <f>ROUND(+(R2670*C2670)*S2670,4)</f>
        <v>0</v>
      </c>
      <c r="U2670" s="419">
        <f>ROUND(+J2670+M2670+T2670,4)</f>
        <v>0</v>
      </c>
      <c r="V2670" s="235"/>
    </row>
    <row r="2671" spans="1:22" ht="15.75" x14ac:dyDescent="0.25">
      <c r="A2671" s="231"/>
      <c r="B2671" s="232"/>
      <c r="C2671" s="400"/>
      <c r="D2671" s="233"/>
      <c r="E2671" s="405"/>
      <c r="F2671" s="405"/>
      <c r="G2671" s="405"/>
      <c r="H2671" s="408">
        <f>ROUND(+E2671+F2671+G2671,4)</f>
        <v>0</v>
      </c>
      <c r="I2671" s="234"/>
      <c r="J2671" s="411"/>
      <c r="K2671" s="411"/>
      <c r="L2671" s="414">
        <v>0.1</v>
      </c>
      <c r="M2671" s="414">
        <f>ROUND(+L2671*C2671,4)</f>
        <v>0</v>
      </c>
      <c r="N2671" s="414"/>
      <c r="O2671" s="414"/>
      <c r="P2671" s="414"/>
      <c r="Q2671" s="419">
        <f>ROUND(+N2671+O2671+P2671,4)</f>
        <v>0</v>
      </c>
      <c r="R2671" s="419">
        <f>ROUND(IF(+Q2671-H2671&lt;=0,0,Q2671-H2671),4)</f>
        <v>0</v>
      </c>
      <c r="S2671" s="423">
        <v>0.5</v>
      </c>
      <c r="T2671" s="419">
        <f>ROUND(+(R2671*C2671)*S2671,4)</f>
        <v>0</v>
      </c>
      <c r="U2671" s="419">
        <f>ROUND(+J2671+M2671+T2671,4)</f>
        <v>0</v>
      </c>
      <c r="V2671" s="235"/>
    </row>
    <row r="2672" spans="1:22" ht="15.75" x14ac:dyDescent="0.25">
      <c r="A2672" s="231"/>
      <c r="B2672" s="232"/>
      <c r="C2672" s="400"/>
      <c r="D2672" s="233"/>
      <c r="E2672" s="405"/>
      <c r="F2672" s="405"/>
      <c r="G2672" s="405"/>
      <c r="H2672" s="408">
        <f>ROUND(+E2672+F2672+G2672,4)</f>
        <v>0</v>
      </c>
      <c r="I2672" s="234"/>
      <c r="J2672" s="411"/>
      <c r="K2672" s="411"/>
      <c r="L2672" s="414">
        <v>0.1</v>
      </c>
      <c r="M2672" s="414">
        <f>ROUND(+L2672*C2672,4)</f>
        <v>0</v>
      </c>
      <c r="N2672" s="414"/>
      <c r="O2672" s="414"/>
      <c r="P2672" s="414"/>
      <c r="Q2672" s="419">
        <f>ROUND(+N2672+O2672+P2672,4)</f>
        <v>0</v>
      </c>
      <c r="R2672" s="419">
        <f>ROUND(IF(+Q2672-H2672&lt;=0,0,Q2672-H2672),4)</f>
        <v>0</v>
      </c>
      <c r="S2672" s="423">
        <v>0.5</v>
      </c>
      <c r="T2672" s="419">
        <f>ROUND(+(R2672*C2672)*S2672,4)</f>
        <v>0</v>
      </c>
      <c r="U2672" s="419">
        <f>ROUND(+J2672+M2672+T2672,4)</f>
        <v>0</v>
      </c>
      <c r="V2672" s="235"/>
    </row>
    <row r="2673" spans="1:22" ht="15.75" x14ac:dyDescent="0.25">
      <c r="A2673" s="231"/>
      <c r="B2673" s="232"/>
      <c r="C2673" s="400"/>
      <c r="D2673" s="233"/>
      <c r="E2673" s="405"/>
      <c r="F2673" s="405"/>
      <c r="G2673" s="405"/>
      <c r="H2673" s="408">
        <f>ROUND(+E2673+F2673+G2673,4)</f>
        <v>0</v>
      </c>
      <c r="I2673" s="234"/>
      <c r="J2673" s="411"/>
      <c r="K2673" s="411"/>
      <c r="L2673" s="414">
        <v>0.1</v>
      </c>
      <c r="M2673" s="414">
        <f>ROUND(+L2673*C2673,4)</f>
        <v>0</v>
      </c>
      <c r="N2673" s="414"/>
      <c r="O2673" s="414"/>
      <c r="P2673" s="414"/>
      <c r="Q2673" s="419">
        <f>ROUND(+N2673+O2673+P2673,4)</f>
        <v>0</v>
      </c>
      <c r="R2673" s="419">
        <f>ROUND(IF(+Q2673-H2673&lt;=0,0,Q2673-H2673),4)</f>
        <v>0</v>
      </c>
      <c r="S2673" s="423">
        <v>0.5</v>
      </c>
      <c r="T2673" s="419">
        <f>ROUND(+(R2673*C2673)*S2673,4)</f>
        <v>0</v>
      </c>
      <c r="U2673" s="419">
        <f>ROUND(+J2673+M2673+T2673,4)</f>
        <v>0</v>
      </c>
      <c r="V2673" s="235"/>
    </row>
    <row r="2674" spans="1:22" ht="15.75" x14ac:dyDescent="0.25">
      <c r="A2674" s="231"/>
      <c r="B2674" s="232"/>
      <c r="C2674" s="400"/>
      <c r="D2674" s="233"/>
      <c r="E2674" s="405"/>
      <c r="F2674" s="405"/>
      <c r="G2674" s="405"/>
      <c r="H2674" s="408">
        <f>ROUND(+E2674+F2674+G2674,4)</f>
        <v>0</v>
      </c>
      <c r="I2674" s="234"/>
      <c r="J2674" s="411"/>
      <c r="K2674" s="411"/>
      <c r="L2674" s="414">
        <v>0.1</v>
      </c>
      <c r="M2674" s="414">
        <f>ROUND(+L2674*C2674,4)</f>
        <v>0</v>
      </c>
      <c r="N2674" s="414"/>
      <c r="O2674" s="414"/>
      <c r="P2674" s="414"/>
      <c r="Q2674" s="419">
        <f>ROUND(+N2674+O2674+P2674,4)</f>
        <v>0</v>
      </c>
      <c r="R2674" s="419">
        <f>ROUND(IF(+Q2674-H2674&lt;=0,0,Q2674-H2674),4)</f>
        <v>0</v>
      </c>
      <c r="S2674" s="423">
        <v>0.5</v>
      </c>
      <c r="T2674" s="419">
        <f>ROUND(+(R2674*C2674)*S2674,4)</f>
        <v>0</v>
      </c>
      <c r="U2674" s="419">
        <f>ROUND(+J2674+M2674+T2674,4)</f>
        <v>0</v>
      </c>
      <c r="V2674" s="235"/>
    </row>
    <row r="2675" spans="1:22" ht="15.75" x14ac:dyDescent="0.25">
      <c r="A2675" s="231"/>
      <c r="B2675" s="232"/>
      <c r="C2675" s="400"/>
      <c r="D2675" s="233"/>
      <c r="E2675" s="405"/>
      <c r="F2675" s="405"/>
      <c r="G2675" s="405"/>
      <c r="H2675" s="408">
        <f>ROUND(+E2675+F2675+G2675,4)</f>
        <v>0</v>
      </c>
      <c r="I2675" s="234"/>
      <c r="J2675" s="411"/>
      <c r="K2675" s="411"/>
      <c r="L2675" s="414">
        <v>0.1</v>
      </c>
      <c r="M2675" s="414">
        <f>ROUND(+L2675*C2675,4)</f>
        <v>0</v>
      </c>
      <c r="N2675" s="414"/>
      <c r="O2675" s="414"/>
      <c r="P2675" s="414"/>
      <c r="Q2675" s="419">
        <f>ROUND(+N2675+O2675+P2675,4)</f>
        <v>0</v>
      </c>
      <c r="R2675" s="419">
        <f>ROUND(IF(+Q2675-H2675&lt;=0,0,Q2675-H2675),4)</f>
        <v>0</v>
      </c>
      <c r="S2675" s="423">
        <v>0.5</v>
      </c>
      <c r="T2675" s="419">
        <f>ROUND(+(R2675*C2675)*S2675,4)</f>
        <v>0</v>
      </c>
      <c r="U2675" s="419">
        <f>ROUND(+J2675+M2675+T2675,4)</f>
        <v>0</v>
      </c>
      <c r="V2675" s="235"/>
    </row>
    <row r="2676" spans="1:22" ht="15.75" x14ac:dyDescent="0.25">
      <c r="A2676" s="231"/>
      <c r="B2676" s="232"/>
      <c r="C2676" s="400"/>
      <c r="D2676" s="233"/>
      <c r="E2676" s="405"/>
      <c r="F2676" s="405"/>
      <c r="G2676" s="405"/>
      <c r="H2676" s="408">
        <f>ROUND(+E2676+F2676+G2676,4)</f>
        <v>0</v>
      </c>
      <c r="I2676" s="234"/>
      <c r="J2676" s="411"/>
      <c r="K2676" s="411"/>
      <c r="L2676" s="414">
        <v>0.1</v>
      </c>
      <c r="M2676" s="414">
        <f>ROUND(+L2676*C2676,4)</f>
        <v>0</v>
      </c>
      <c r="N2676" s="414"/>
      <c r="O2676" s="414"/>
      <c r="P2676" s="414"/>
      <c r="Q2676" s="419">
        <f>ROUND(+N2676+O2676+P2676,4)</f>
        <v>0</v>
      </c>
      <c r="R2676" s="419">
        <f>ROUND(IF(+Q2676-H2676&lt;=0,0,Q2676-H2676),4)</f>
        <v>0</v>
      </c>
      <c r="S2676" s="423">
        <v>0.5</v>
      </c>
      <c r="T2676" s="419">
        <f>ROUND(+(R2676*C2676)*S2676,4)</f>
        <v>0</v>
      </c>
      <c r="U2676" s="419">
        <f>ROUND(+J2676+M2676+T2676,4)</f>
        <v>0</v>
      </c>
      <c r="V2676" s="235"/>
    </row>
    <row r="2677" spans="1:22" ht="15.75" x14ac:dyDescent="0.25">
      <c r="A2677" s="231"/>
      <c r="B2677" s="232"/>
      <c r="C2677" s="400"/>
      <c r="D2677" s="233"/>
      <c r="E2677" s="405"/>
      <c r="F2677" s="405"/>
      <c r="G2677" s="405"/>
      <c r="H2677" s="408">
        <f>ROUND(+E2677+F2677+G2677,4)</f>
        <v>0</v>
      </c>
      <c r="I2677" s="234"/>
      <c r="J2677" s="411"/>
      <c r="K2677" s="411"/>
      <c r="L2677" s="414">
        <v>0.1</v>
      </c>
      <c r="M2677" s="414">
        <f>ROUND(+L2677*C2677,4)</f>
        <v>0</v>
      </c>
      <c r="N2677" s="414"/>
      <c r="O2677" s="414"/>
      <c r="P2677" s="414"/>
      <c r="Q2677" s="419">
        <f>ROUND(+N2677+O2677+P2677,4)</f>
        <v>0</v>
      </c>
      <c r="R2677" s="419">
        <f>ROUND(IF(+Q2677-H2677&lt;=0,0,Q2677-H2677),4)</f>
        <v>0</v>
      </c>
      <c r="S2677" s="423">
        <v>0.5</v>
      </c>
      <c r="T2677" s="419">
        <f>ROUND(+(R2677*C2677)*S2677,4)</f>
        <v>0</v>
      </c>
      <c r="U2677" s="419">
        <f>ROUND(+J2677+M2677+T2677,4)</f>
        <v>0</v>
      </c>
      <c r="V2677" s="235"/>
    </row>
    <row r="2678" spans="1:22" ht="15.75" x14ac:dyDescent="0.25">
      <c r="A2678" s="231"/>
      <c r="B2678" s="232"/>
      <c r="C2678" s="400"/>
      <c r="D2678" s="233"/>
      <c r="E2678" s="405"/>
      <c r="F2678" s="405"/>
      <c r="G2678" s="405"/>
      <c r="H2678" s="408">
        <f>ROUND(+E2678+F2678+G2678,4)</f>
        <v>0</v>
      </c>
      <c r="I2678" s="234"/>
      <c r="J2678" s="411"/>
      <c r="K2678" s="411"/>
      <c r="L2678" s="414">
        <v>0.1</v>
      </c>
      <c r="M2678" s="414">
        <f>ROUND(+L2678*C2678,4)</f>
        <v>0</v>
      </c>
      <c r="N2678" s="414"/>
      <c r="O2678" s="414"/>
      <c r="P2678" s="414"/>
      <c r="Q2678" s="419">
        <f>ROUND(+N2678+O2678+P2678,4)</f>
        <v>0</v>
      </c>
      <c r="R2678" s="419">
        <f>ROUND(IF(+Q2678-H2678&lt;=0,0,Q2678-H2678),4)</f>
        <v>0</v>
      </c>
      <c r="S2678" s="423">
        <v>0.5</v>
      </c>
      <c r="T2678" s="419">
        <f>ROUND(+(R2678*C2678)*S2678,4)</f>
        <v>0</v>
      </c>
      <c r="U2678" s="419">
        <f>ROUND(+J2678+M2678+T2678,4)</f>
        <v>0</v>
      </c>
      <c r="V2678" s="235"/>
    </row>
    <row r="2679" spans="1:22" ht="15.75" x14ac:dyDescent="0.25">
      <c r="A2679" s="231"/>
      <c r="B2679" s="232"/>
      <c r="C2679" s="400"/>
      <c r="D2679" s="233"/>
      <c r="E2679" s="405"/>
      <c r="F2679" s="405"/>
      <c r="G2679" s="405"/>
      <c r="H2679" s="408">
        <f>ROUND(+E2679+F2679+G2679,4)</f>
        <v>0</v>
      </c>
      <c r="I2679" s="234"/>
      <c r="J2679" s="411"/>
      <c r="K2679" s="411"/>
      <c r="L2679" s="414">
        <v>0.1</v>
      </c>
      <c r="M2679" s="414">
        <f>ROUND(+L2679*C2679,4)</f>
        <v>0</v>
      </c>
      <c r="N2679" s="414"/>
      <c r="O2679" s="414"/>
      <c r="P2679" s="414"/>
      <c r="Q2679" s="419">
        <f>ROUND(+N2679+O2679+P2679,4)</f>
        <v>0</v>
      </c>
      <c r="R2679" s="419">
        <f>ROUND(IF(+Q2679-H2679&lt;=0,0,Q2679-H2679),4)</f>
        <v>0</v>
      </c>
      <c r="S2679" s="423">
        <v>0.5</v>
      </c>
      <c r="T2679" s="419">
        <f>ROUND(+(R2679*C2679)*S2679,4)</f>
        <v>0</v>
      </c>
      <c r="U2679" s="419">
        <f>ROUND(+J2679+M2679+T2679,4)</f>
        <v>0</v>
      </c>
      <c r="V2679" s="235"/>
    </row>
    <row r="2680" spans="1:22" ht="15.75" x14ac:dyDescent="0.25">
      <c r="A2680" s="231"/>
      <c r="B2680" s="232"/>
      <c r="C2680" s="400"/>
      <c r="D2680" s="233"/>
      <c r="E2680" s="405"/>
      <c r="F2680" s="405"/>
      <c r="G2680" s="405"/>
      <c r="H2680" s="408">
        <f>ROUND(+E2680+F2680+G2680,4)</f>
        <v>0</v>
      </c>
      <c r="I2680" s="234"/>
      <c r="J2680" s="411"/>
      <c r="K2680" s="411"/>
      <c r="L2680" s="414">
        <v>0.1</v>
      </c>
      <c r="M2680" s="414">
        <f>ROUND(+L2680*C2680,4)</f>
        <v>0</v>
      </c>
      <c r="N2680" s="414"/>
      <c r="O2680" s="414"/>
      <c r="P2680" s="414"/>
      <c r="Q2680" s="419">
        <f>ROUND(+N2680+O2680+P2680,4)</f>
        <v>0</v>
      </c>
      <c r="R2680" s="419">
        <f>ROUND(IF(+Q2680-H2680&lt;=0,0,Q2680-H2680),4)</f>
        <v>0</v>
      </c>
      <c r="S2680" s="423">
        <v>0.5</v>
      </c>
      <c r="T2680" s="419">
        <f>ROUND(+(R2680*C2680)*S2680,4)</f>
        <v>0</v>
      </c>
      <c r="U2680" s="419">
        <f>ROUND(+J2680+M2680+T2680,4)</f>
        <v>0</v>
      </c>
      <c r="V2680" s="235"/>
    </row>
    <row r="2681" spans="1:22" ht="15.75" x14ac:dyDescent="0.25">
      <c r="A2681" s="231"/>
      <c r="B2681" s="232"/>
      <c r="C2681" s="400"/>
      <c r="D2681" s="233"/>
      <c r="E2681" s="405"/>
      <c r="F2681" s="405"/>
      <c r="G2681" s="405"/>
      <c r="H2681" s="408">
        <f>ROUND(+E2681+F2681+G2681,4)</f>
        <v>0</v>
      </c>
      <c r="I2681" s="234"/>
      <c r="J2681" s="411"/>
      <c r="K2681" s="411"/>
      <c r="L2681" s="414">
        <v>0.1</v>
      </c>
      <c r="M2681" s="414">
        <f>ROUND(+L2681*C2681,4)</f>
        <v>0</v>
      </c>
      <c r="N2681" s="414"/>
      <c r="O2681" s="414"/>
      <c r="P2681" s="414"/>
      <c r="Q2681" s="419">
        <f>ROUND(+N2681+O2681+P2681,4)</f>
        <v>0</v>
      </c>
      <c r="R2681" s="419">
        <f>ROUND(IF(+Q2681-H2681&lt;=0,0,Q2681-H2681),4)</f>
        <v>0</v>
      </c>
      <c r="S2681" s="423">
        <v>0.5</v>
      </c>
      <c r="T2681" s="419">
        <f>ROUND(+(R2681*C2681)*S2681,4)</f>
        <v>0</v>
      </c>
      <c r="U2681" s="419">
        <f>ROUND(+J2681+M2681+T2681,4)</f>
        <v>0</v>
      </c>
      <c r="V2681" s="235"/>
    </row>
    <row r="2682" spans="1:22" ht="15.75" x14ac:dyDescent="0.25">
      <c r="A2682" s="231"/>
      <c r="B2682" s="232"/>
      <c r="C2682" s="400"/>
      <c r="D2682" s="233"/>
      <c r="E2682" s="405"/>
      <c r="F2682" s="405"/>
      <c r="G2682" s="405"/>
      <c r="H2682" s="408">
        <f>ROUND(+E2682+F2682+G2682,4)</f>
        <v>0</v>
      </c>
      <c r="I2682" s="234"/>
      <c r="J2682" s="411"/>
      <c r="K2682" s="411"/>
      <c r="L2682" s="414">
        <v>0.1</v>
      </c>
      <c r="M2682" s="414">
        <f>ROUND(+L2682*C2682,4)</f>
        <v>0</v>
      </c>
      <c r="N2682" s="414"/>
      <c r="O2682" s="414"/>
      <c r="P2682" s="414"/>
      <c r="Q2682" s="419">
        <f>ROUND(+N2682+O2682+P2682,4)</f>
        <v>0</v>
      </c>
      <c r="R2682" s="419">
        <f>ROUND(IF(+Q2682-H2682&lt;=0,0,Q2682-H2682),4)</f>
        <v>0</v>
      </c>
      <c r="S2682" s="423">
        <v>0.5</v>
      </c>
      <c r="T2682" s="419">
        <f>ROUND(+(R2682*C2682)*S2682,4)</f>
        <v>0</v>
      </c>
      <c r="U2682" s="419">
        <f>ROUND(+J2682+M2682+T2682,4)</f>
        <v>0</v>
      </c>
      <c r="V2682" s="235"/>
    </row>
    <row r="2683" spans="1:22" ht="15.75" x14ac:dyDescent="0.25">
      <c r="A2683" s="231"/>
      <c r="B2683" s="232"/>
      <c r="C2683" s="400"/>
      <c r="D2683" s="233"/>
      <c r="E2683" s="405"/>
      <c r="F2683" s="405"/>
      <c r="G2683" s="405"/>
      <c r="H2683" s="408">
        <f>ROUND(+E2683+F2683+G2683,4)</f>
        <v>0</v>
      </c>
      <c r="I2683" s="234"/>
      <c r="J2683" s="411"/>
      <c r="K2683" s="411"/>
      <c r="L2683" s="414">
        <v>0.1</v>
      </c>
      <c r="M2683" s="414">
        <f>ROUND(+L2683*C2683,4)</f>
        <v>0</v>
      </c>
      <c r="N2683" s="414"/>
      <c r="O2683" s="414"/>
      <c r="P2683" s="414"/>
      <c r="Q2683" s="419">
        <f>ROUND(+N2683+O2683+P2683,4)</f>
        <v>0</v>
      </c>
      <c r="R2683" s="419">
        <f>ROUND(IF(+Q2683-H2683&lt;=0,0,Q2683-H2683),4)</f>
        <v>0</v>
      </c>
      <c r="S2683" s="423">
        <v>0.5</v>
      </c>
      <c r="T2683" s="419">
        <f>ROUND(+(R2683*C2683)*S2683,4)</f>
        <v>0</v>
      </c>
      <c r="U2683" s="419">
        <f>ROUND(+J2683+M2683+T2683,4)</f>
        <v>0</v>
      </c>
      <c r="V2683" s="235"/>
    </row>
    <row r="2684" spans="1:22" ht="15.75" x14ac:dyDescent="0.25">
      <c r="A2684" s="231"/>
      <c r="B2684" s="232"/>
      <c r="C2684" s="400"/>
      <c r="D2684" s="233"/>
      <c r="E2684" s="405"/>
      <c r="F2684" s="405"/>
      <c r="G2684" s="405"/>
      <c r="H2684" s="408">
        <f>ROUND(+E2684+F2684+G2684,4)</f>
        <v>0</v>
      </c>
      <c r="I2684" s="234"/>
      <c r="J2684" s="411"/>
      <c r="K2684" s="411"/>
      <c r="L2684" s="414">
        <v>0.1</v>
      </c>
      <c r="M2684" s="414">
        <f>ROUND(+L2684*C2684,4)</f>
        <v>0</v>
      </c>
      <c r="N2684" s="414"/>
      <c r="O2684" s="414"/>
      <c r="P2684" s="414"/>
      <c r="Q2684" s="419">
        <f>ROUND(+N2684+O2684+P2684,4)</f>
        <v>0</v>
      </c>
      <c r="R2684" s="419">
        <f>ROUND(IF(+Q2684-H2684&lt;=0,0,Q2684-H2684),4)</f>
        <v>0</v>
      </c>
      <c r="S2684" s="423">
        <v>0.5</v>
      </c>
      <c r="T2684" s="419">
        <f>ROUND(+(R2684*C2684)*S2684,4)</f>
        <v>0</v>
      </c>
      <c r="U2684" s="419">
        <f>ROUND(+J2684+M2684+T2684,4)</f>
        <v>0</v>
      </c>
      <c r="V2684" s="235"/>
    </row>
    <row r="2685" spans="1:22" ht="15.75" x14ac:dyDescent="0.25">
      <c r="A2685" s="231"/>
      <c r="B2685" s="232"/>
      <c r="C2685" s="400"/>
      <c r="D2685" s="233"/>
      <c r="E2685" s="405"/>
      <c r="F2685" s="405"/>
      <c r="G2685" s="405"/>
      <c r="H2685" s="408">
        <f>ROUND(+E2685+F2685+G2685,4)</f>
        <v>0</v>
      </c>
      <c r="I2685" s="234"/>
      <c r="J2685" s="411"/>
      <c r="K2685" s="411"/>
      <c r="L2685" s="414">
        <v>0.1</v>
      </c>
      <c r="M2685" s="414">
        <f>ROUND(+L2685*C2685,4)</f>
        <v>0</v>
      </c>
      <c r="N2685" s="414"/>
      <c r="O2685" s="414"/>
      <c r="P2685" s="414"/>
      <c r="Q2685" s="419">
        <f>ROUND(+N2685+O2685+P2685,4)</f>
        <v>0</v>
      </c>
      <c r="R2685" s="419">
        <f>ROUND(IF(+Q2685-H2685&lt;=0,0,Q2685-H2685),4)</f>
        <v>0</v>
      </c>
      <c r="S2685" s="423">
        <v>0.5</v>
      </c>
      <c r="T2685" s="419">
        <f>ROUND(+(R2685*C2685)*S2685,4)</f>
        <v>0</v>
      </c>
      <c r="U2685" s="419">
        <f>ROUND(+J2685+M2685+T2685,4)</f>
        <v>0</v>
      </c>
      <c r="V2685" s="235"/>
    </row>
    <row r="2686" spans="1:22" ht="15.75" x14ac:dyDescent="0.25">
      <c r="A2686" s="231"/>
      <c r="B2686" s="232"/>
      <c r="C2686" s="400"/>
      <c r="D2686" s="233"/>
      <c r="E2686" s="405"/>
      <c r="F2686" s="405"/>
      <c r="G2686" s="405"/>
      <c r="H2686" s="408">
        <f>ROUND(+E2686+F2686+G2686,4)</f>
        <v>0</v>
      </c>
      <c r="I2686" s="234"/>
      <c r="J2686" s="411"/>
      <c r="K2686" s="411"/>
      <c r="L2686" s="414">
        <v>0.1</v>
      </c>
      <c r="M2686" s="414">
        <f>ROUND(+L2686*C2686,4)</f>
        <v>0</v>
      </c>
      <c r="N2686" s="414"/>
      <c r="O2686" s="414"/>
      <c r="P2686" s="414"/>
      <c r="Q2686" s="419">
        <f>ROUND(+N2686+O2686+P2686,4)</f>
        <v>0</v>
      </c>
      <c r="R2686" s="419">
        <f>ROUND(IF(+Q2686-H2686&lt;=0,0,Q2686-H2686),4)</f>
        <v>0</v>
      </c>
      <c r="S2686" s="423">
        <v>0.5</v>
      </c>
      <c r="T2686" s="419">
        <f>ROUND(+(R2686*C2686)*S2686,4)</f>
        <v>0</v>
      </c>
      <c r="U2686" s="419">
        <f>ROUND(+J2686+M2686+T2686,4)</f>
        <v>0</v>
      </c>
      <c r="V2686" s="235"/>
    </row>
    <row r="2687" spans="1:22" ht="15.75" x14ac:dyDescent="0.25">
      <c r="A2687" s="231"/>
      <c r="B2687" s="232"/>
      <c r="C2687" s="400"/>
      <c r="D2687" s="233"/>
      <c r="E2687" s="405"/>
      <c r="F2687" s="405"/>
      <c r="G2687" s="405"/>
      <c r="H2687" s="408">
        <f>ROUND(+E2687+F2687+G2687,4)</f>
        <v>0</v>
      </c>
      <c r="I2687" s="234"/>
      <c r="J2687" s="411"/>
      <c r="K2687" s="411"/>
      <c r="L2687" s="414">
        <v>0.1</v>
      </c>
      <c r="M2687" s="414">
        <f>ROUND(+L2687*C2687,4)</f>
        <v>0</v>
      </c>
      <c r="N2687" s="414"/>
      <c r="O2687" s="414"/>
      <c r="P2687" s="414"/>
      <c r="Q2687" s="419">
        <f>ROUND(+N2687+O2687+P2687,4)</f>
        <v>0</v>
      </c>
      <c r="R2687" s="419">
        <f>ROUND(IF(+Q2687-H2687&lt;=0,0,Q2687-H2687),4)</f>
        <v>0</v>
      </c>
      <c r="S2687" s="423">
        <v>0.5</v>
      </c>
      <c r="T2687" s="419">
        <f>ROUND(+(R2687*C2687)*S2687,4)</f>
        <v>0</v>
      </c>
      <c r="U2687" s="419">
        <f>ROUND(+J2687+M2687+T2687,4)</f>
        <v>0</v>
      </c>
      <c r="V2687" s="235"/>
    </row>
    <row r="2688" spans="1:22" ht="15.75" x14ac:dyDescent="0.25">
      <c r="A2688" s="231"/>
      <c r="B2688" s="232"/>
      <c r="C2688" s="400"/>
      <c r="D2688" s="233"/>
      <c r="E2688" s="405"/>
      <c r="F2688" s="405"/>
      <c r="G2688" s="405"/>
      <c r="H2688" s="408">
        <f>ROUND(+E2688+F2688+G2688,4)</f>
        <v>0</v>
      </c>
      <c r="I2688" s="234"/>
      <c r="J2688" s="411"/>
      <c r="K2688" s="411"/>
      <c r="L2688" s="414">
        <v>0.1</v>
      </c>
      <c r="M2688" s="414">
        <f>ROUND(+L2688*C2688,4)</f>
        <v>0</v>
      </c>
      <c r="N2688" s="414"/>
      <c r="O2688" s="414"/>
      <c r="P2688" s="414"/>
      <c r="Q2688" s="419">
        <f>ROUND(+N2688+O2688+P2688,4)</f>
        <v>0</v>
      </c>
      <c r="R2688" s="419">
        <f>ROUND(IF(+Q2688-H2688&lt;=0,0,Q2688-H2688),4)</f>
        <v>0</v>
      </c>
      <c r="S2688" s="423">
        <v>0.5</v>
      </c>
      <c r="T2688" s="419">
        <f>ROUND(+(R2688*C2688)*S2688,4)</f>
        <v>0</v>
      </c>
      <c r="U2688" s="419">
        <f>ROUND(+J2688+M2688+T2688,4)</f>
        <v>0</v>
      </c>
      <c r="V2688" s="235"/>
    </row>
    <row r="2689" spans="1:22" ht="15.75" x14ac:dyDescent="0.25">
      <c r="A2689" s="231"/>
      <c r="B2689" s="232"/>
      <c r="C2689" s="400"/>
      <c r="D2689" s="233"/>
      <c r="E2689" s="405"/>
      <c r="F2689" s="405"/>
      <c r="G2689" s="405"/>
      <c r="H2689" s="408">
        <f>ROUND(+E2689+F2689+G2689,4)</f>
        <v>0</v>
      </c>
      <c r="I2689" s="234"/>
      <c r="J2689" s="411"/>
      <c r="K2689" s="411"/>
      <c r="L2689" s="414">
        <v>0.1</v>
      </c>
      <c r="M2689" s="414">
        <f>ROUND(+L2689*C2689,4)</f>
        <v>0</v>
      </c>
      <c r="N2689" s="414"/>
      <c r="O2689" s="414"/>
      <c r="P2689" s="414"/>
      <c r="Q2689" s="419">
        <f>ROUND(+N2689+O2689+P2689,4)</f>
        <v>0</v>
      </c>
      <c r="R2689" s="419">
        <f>ROUND(IF(+Q2689-H2689&lt;=0,0,Q2689-H2689),4)</f>
        <v>0</v>
      </c>
      <c r="S2689" s="423">
        <v>0.5</v>
      </c>
      <c r="T2689" s="419">
        <f>ROUND(+(R2689*C2689)*S2689,4)</f>
        <v>0</v>
      </c>
      <c r="U2689" s="419">
        <f>ROUND(+J2689+M2689+T2689,4)</f>
        <v>0</v>
      </c>
      <c r="V2689" s="235"/>
    </row>
    <row r="2690" spans="1:22" ht="15.75" x14ac:dyDescent="0.25">
      <c r="A2690" s="231"/>
      <c r="B2690" s="232"/>
      <c r="C2690" s="400"/>
      <c r="D2690" s="233"/>
      <c r="E2690" s="405"/>
      <c r="F2690" s="405"/>
      <c r="G2690" s="405"/>
      <c r="H2690" s="408">
        <f>ROUND(+E2690+F2690+G2690,4)</f>
        <v>0</v>
      </c>
      <c r="I2690" s="234"/>
      <c r="J2690" s="411"/>
      <c r="K2690" s="411"/>
      <c r="L2690" s="414">
        <v>0.1</v>
      </c>
      <c r="M2690" s="414">
        <f>ROUND(+L2690*C2690,4)</f>
        <v>0</v>
      </c>
      <c r="N2690" s="414"/>
      <c r="O2690" s="414"/>
      <c r="P2690" s="414"/>
      <c r="Q2690" s="419">
        <f>ROUND(+N2690+O2690+P2690,4)</f>
        <v>0</v>
      </c>
      <c r="R2690" s="419">
        <f>ROUND(IF(+Q2690-H2690&lt;=0,0,Q2690-H2690),4)</f>
        <v>0</v>
      </c>
      <c r="S2690" s="423">
        <v>0.5</v>
      </c>
      <c r="T2690" s="419">
        <f>ROUND(+(R2690*C2690)*S2690,4)</f>
        <v>0</v>
      </c>
      <c r="U2690" s="419">
        <f>ROUND(+J2690+M2690+T2690,4)</f>
        <v>0</v>
      </c>
      <c r="V2690" s="235"/>
    </row>
    <row r="2691" spans="1:22" ht="15.75" x14ac:dyDescent="0.25">
      <c r="A2691" s="231"/>
      <c r="B2691" s="232"/>
      <c r="C2691" s="400"/>
      <c r="D2691" s="233"/>
      <c r="E2691" s="405"/>
      <c r="F2691" s="405"/>
      <c r="G2691" s="405"/>
      <c r="H2691" s="408">
        <f>ROUND(+E2691+F2691+G2691,4)</f>
        <v>0</v>
      </c>
      <c r="I2691" s="234"/>
      <c r="J2691" s="411"/>
      <c r="K2691" s="411"/>
      <c r="L2691" s="414">
        <v>0.1</v>
      </c>
      <c r="M2691" s="414">
        <f>ROUND(+L2691*C2691,4)</f>
        <v>0</v>
      </c>
      <c r="N2691" s="414"/>
      <c r="O2691" s="414"/>
      <c r="P2691" s="414"/>
      <c r="Q2691" s="419">
        <f>ROUND(+N2691+O2691+P2691,4)</f>
        <v>0</v>
      </c>
      <c r="R2691" s="419">
        <f>ROUND(IF(+Q2691-H2691&lt;=0,0,Q2691-H2691),4)</f>
        <v>0</v>
      </c>
      <c r="S2691" s="423">
        <v>0.5</v>
      </c>
      <c r="T2691" s="419">
        <f>ROUND(+(R2691*C2691)*S2691,4)</f>
        <v>0</v>
      </c>
      <c r="U2691" s="419">
        <f>ROUND(+J2691+M2691+T2691,4)</f>
        <v>0</v>
      </c>
      <c r="V2691" s="235"/>
    </row>
    <row r="2692" spans="1:22" ht="15.75" x14ac:dyDescent="0.25">
      <c r="A2692" s="231"/>
      <c r="B2692" s="232"/>
      <c r="C2692" s="400"/>
      <c r="D2692" s="233"/>
      <c r="E2692" s="405"/>
      <c r="F2692" s="405"/>
      <c r="G2692" s="405"/>
      <c r="H2692" s="408">
        <f>ROUND(+E2692+F2692+G2692,4)</f>
        <v>0</v>
      </c>
      <c r="I2692" s="234"/>
      <c r="J2692" s="411"/>
      <c r="K2692" s="411"/>
      <c r="L2692" s="414">
        <v>0.1</v>
      </c>
      <c r="M2692" s="414">
        <f>ROUND(+L2692*C2692,4)</f>
        <v>0</v>
      </c>
      <c r="N2692" s="414"/>
      <c r="O2692" s="414"/>
      <c r="P2692" s="414"/>
      <c r="Q2692" s="419">
        <f>ROUND(+N2692+O2692+P2692,4)</f>
        <v>0</v>
      </c>
      <c r="R2692" s="419">
        <f>ROUND(IF(+Q2692-H2692&lt;=0,0,Q2692-H2692),4)</f>
        <v>0</v>
      </c>
      <c r="S2692" s="423">
        <v>0.5</v>
      </c>
      <c r="T2692" s="419">
        <f>ROUND(+(R2692*C2692)*S2692,4)</f>
        <v>0</v>
      </c>
      <c r="U2692" s="419">
        <f>ROUND(+J2692+M2692+T2692,4)</f>
        <v>0</v>
      </c>
      <c r="V2692" s="235"/>
    </row>
    <row r="2693" spans="1:22" ht="15.75" x14ac:dyDescent="0.25">
      <c r="A2693" s="231"/>
      <c r="B2693" s="232"/>
      <c r="C2693" s="400"/>
      <c r="D2693" s="233"/>
      <c r="E2693" s="405"/>
      <c r="F2693" s="405"/>
      <c r="G2693" s="405"/>
      <c r="H2693" s="408">
        <f>ROUND(+E2693+F2693+G2693,4)</f>
        <v>0</v>
      </c>
      <c r="I2693" s="234"/>
      <c r="J2693" s="411"/>
      <c r="K2693" s="411"/>
      <c r="L2693" s="414">
        <v>0.1</v>
      </c>
      <c r="M2693" s="414">
        <f>ROUND(+L2693*C2693,4)</f>
        <v>0</v>
      </c>
      <c r="N2693" s="414"/>
      <c r="O2693" s="414"/>
      <c r="P2693" s="414"/>
      <c r="Q2693" s="419">
        <f>ROUND(+N2693+O2693+P2693,4)</f>
        <v>0</v>
      </c>
      <c r="R2693" s="419">
        <f>ROUND(IF(+Q2693-H2693&lt;=0,0,Q2693-H2693),4)</f>
        <v>0</v>
      </c>
      <c r="S2693" s="423">
        <v>0.5</v>
      </c>
      <c r="T2693" s="419">
        <f>ROUND(+(R2693*C2693)*S2693,4)</f>
        <v>0</v>
      </c>
      <c r="U2693" s="419">
        <f>ROUND(+J2693+M2693+T2693,4)</f>
        <v>0</v>
      </c>
      <c r="V2693" s="235"/>
    </row>
    <row r="2694" spans="1:22" ht="15.75" x14ac:dyDescent="0.25">
      <c r="A2694" s="231"/>
      <c r="B2694" s="232"/>
      <c r="C2694" s="400"/>
      <c r="D2694" s="233"/>
      <c r="E2694" s="405"/>
      <c r="F2694" s="405"/>
      <c r="G2694" s="405"/>
      <c r="H2694" s="408">
        <f>ROUND(+E2694+F2694+G2694,4)</f>
        <v>0</v>
      </c>
      <c r="I2694" s="234"/>
      <c r="J2694" s="411"/>
      <c r="K2694" s="411"/>
      <c r="L2694" s="414">
        <v>0.1</v>
      </c>
      <c r="M2694" s="414">
        <f>ROUND(+L2694*C2694,4)</f>
        <v>0</v>
      </c>
      <c r="N2694" s="414"/>
      <c r="O2694" s="414"/>
      <c r="P2694" s="414"/>
      <c r="Q2694" s="419">
        <f>ROUND(+N2694+O2694+P2694,4)</f>
        <v>0</v>
      </c>
      <c r="R2694" s="419">
        <f>ROUND(IF(+Q2694-H2694&lt;=0,0,Q2694-H2694),4)</f>
        <v>0</v>
      </c>
      <c r="S2694" s="423">
        <v>0.5</v>
      </c>
      <c r="T2694" s="419">
        <f>ROUND(+(R2694*C2694)*S2694,4)</f>
        <v>0</v>
      </c>
      <c r="U2694" s="419">
        <f>ROUND(+J2694+M2694+T2694,4)</f>
        <v>0</v>
      </c>
      <c r="V2694" s="235"/>
    </row>
    <row r="2695" spans="1:22" ht="15.75" x14ac:dyDescent="0.25">
      <c r="A2695" s="231"/>
      <c r="B2695" s="232"/>
      <c r="C2695" s="400"/>
      <c r="D2695" s="233"/>
      <c r="E2695" s="405"/>
      <c r="F2695" s="405"/>
      <c r="G2695" s="405"/>
      <c r="H2695" s="408">
        <f>ROUND(+E2695+F2695+G2695,4)</f>
        <v>0</v>
      </c>
      <c r="I2695" s="234"/>
      <c r="J2695" s="411"/>
      <c r="K2695" s="411"/>
      <c r="L2695" s="414">
        <v>0.1</v>
      </c>
      <c r="M2695" s="414">
        <f>ROUND(+L2695*C2695,4)</f>
        <v>0</v>
      </c>
      <c r="N2695" s="414"/>
      <c r="O2695" s="414"/>
      <c r="P2695" s="414"/>
      <c r="Q2695" s="419">
        <f>ROUND(+N2695+O2695+P2695,4)</f>
        <v>0</v>
      </c>
      <c r="R2695" s="419">
        <f>ROUND(IF(+Q2695-H2695&lt;=0,0,Q2695-H2695),4)</f>
        <v>0</v>
      </c>
      <c r="S2695" s="423">
        <v>0.5</v>
      </c>
      <c r="T2695" s="419">
        <f>ROUND(+(R2695*C2695)*S2695,4)</f>
        <v>0</v>
      </c>
      <c r="U2695" s="419">
        <f>ROUND(+J2695+M2695+T2695,4)</f>
        <v>0</v>
      </c>
      <c r="V2695" s="235"/>
    </row>
    <row r="2696" spans="1:22" ht="15.75" x14ac:dyDescent="0.25">
      <c r="A2696" s="231"/>
      <c r="B2696" s="232"/>
      <c r="C2696" s="400"/>
      <c r="D2696" s="233"/>
      <c r="E2696" s="405"/>
      <c r="F2696" s="405"/>
      <c r="G2696" s="405"/>
      <c r="H2696" s="408">
        <f>ROUND(+E2696+F2696+G2696,4)</f>
        <v>0</v>
      </c>
      <c r="I2696" s="234"/>
      <c r="J2696" s="411"/>
      <c r="K2696" s="411"/>
      <c r="L2696" s="414">
        <v>0.1</v>
      </c>
      <c r="M2696" s="414">
        <f>ROUND(+L2696*C2696,4)</f>
        <v>0</v>
      </c>
      <c r="N2696" s="414"/>
      <c r="O2696" s="414"/>
      <c r="P2696" s="414"/>
      <c r="Q2696" s="419">
        <f>ROUND(+N2696+O2696+P2696,4)</f>
        <v>0</v>
      </c>
      <c r="R2696" s="419">
        <f>ROUND(IF(+Q2696-H2696&lt;=0,0,Q2696-H2696),4)</f>
        <v>0</v>
      </c>
      <c r="S2696" s="423">
        <v>0.5</v>
      </c>
      <c r="T2696" s="419">
        <f>ROUND(+(R2696*C2696)*S2696,4)</f>
        <v>0</v>
      </c>
      <c r="U2696" s="419">
        <f>ROUND(+J2696+M2696+T2696,4)</f>
        <v>0</v>
      </c>
      <c r="V2696" s="235"/>
    </row>
    <row r="2697" spans="1:22" ht="15.75" x14ac:dyDescent="0.25">
      <c r="A2697" s="231"/>
      <c r="B2697" s="232"/>
      <c r="C2697" s="400"/>
      <c r="D2697" s="233"/>
      <c r="E2697" s="405"/>
      <c r="F2697" s="405"/>
      <c r="G2697" s="405"/>
      <c r="H2697" s="408">
        <f>ROUND(+E2697+F2697+G2697,4)</f>
        <v>0</v>
      </c>
      <c r="I2697" s="234"/>
      <c r="J2697" s="411"/>
      <c r="K2697" s="411"/>
      <c r="L2697" s="414">
        <v>0.1</v>
      </c>
      <c r="M2697" s="414">
        <f>ROUND(+L2697*C2697,4)</f>
        <v>0</v>
      </c>
      <c r="N2697" s="414"/>
      <c r="O2697" s="414"/>
      <c r="P2697" s="414"/>
      <c r="Q2697" s="419">
        <f>ROUND(+N2697+O2697+P2697,4)</f>
        <v>0</v>
      </c>
      <c r="R2697" s="419">
        <f>ROUND(IF(+Q2697-H2697&lt;=0,0,Q2697-H2697),4)</f>
        <v>0</v>
      </c>
      <c r="S2697" s="423">
        <v>0.5</v>
      </c>
      <c r="T2697" s="419">
        <f>ROUND(+(R2697*C2697)*S2697,4)</f>
        <v>0</v>
      </c>
      <c r="U2697" s="419">
        <f>ROUND(+J2697+M2697+T2697,4)</f>
        <v>0</v>
      </c>
      <c r="V2697" s="235"/>
    </row>
    <row r="2698" spans="1:22" ht="15.75" x14ac:dyDescent="0.25">
      <c r="A2698" s="231"/>
      <c r="B2698" s="232"/>
      <c r="C2698" s="400"/>
      <c r="D2698" s="233"/>
      <c r="E2698" s="405"/>
      <c r="F2698" s="405"/>
      <c r="G2698" s="405"/>
      <c r="H2698" s="408">
        <f>ROUND(+E2698+F2698+G2698,4)</f>
        <v>0</v>
      </c>
      <c r="I2698" s="234"/>
      <c r="J2698" s="411"/>
      <c r="K2698" s="411"/>
      <c r="L2698" s="414">
        <v>0.1</v>
      </c>
      <c r="M2698" s="414">
        <f>ROUND(+L2698*C2698,4)</f>
        <v>0</v>
      </c>
      <c r="N2698" s="414"/>
      <c r="O2698" s="414"/>
      <c r="P2698" s="414"/>
      <c r="Q2698" s="419">
        <f>ROUND(+N2698+O2698+P2698,4)</f>
        <v>0</v>
      </c>
      <c r="R2698" s="419">
        <f>ROUND(IF(+Q2698-H2698&lt;=0,0,Q2698-H2698),4)</f>
        <v>0</v>
      </c>
      <c r="S2698" s="423">
        <v>0.5</v>
      </c>
      <c r="T2698" s="419">
        <f>ROUND(+(R2698*C2698)*S2698,4)</f>
        <v>0</v>
      </c>
      <c r="U2698" s="419">
        <f>ROUND(+J2698+M2698+T2698,4)</f>
        <v>0</v>
      </c>
      <c r="V2698" s="235"/>
    </row>
    <row r="2699" spans="1:22" ht="15.75" x14ac:dyDescent="0.25">
      <c r="A2699" s="231"/>
      <c r="B2699" s="232"/>
      <c r="C2699" s="400"/>
      <c r="D2699" s="233"/>
      <c r="E2699" s="405"/>
      <c r="F2699" s="405"/>
      <c r="G2699" s="405"/>
      <c r="H2699" s="408">
        <f>ROUND(+E2699+F2699+G2699,4)</f>
        <v>0</v>
      </c>
      <c r="I2699" s="234"/>
      <c r="J2699" s="411"/>
      <c r="K2699" s="411"/>
      <c r="L2699" s="414">
        <v>0.1</v>
      </c>
      <c r="M2699" s="414">
        <f>ROUND(+L2699*C2699,4)</f>
        <v>0</v>
      </c>
      <c r="N2699" s="414"/>
      <c r="O2699" s="414"/>
      <c r="P2699" s="414"/>
      <c r="Q2699" s="419">
        <f>ROUND(+N2699+O2699+P2699,4)</f>
        <v>0</v>
      </c>
      <c r="R2699" s="419">
        <f>ROUND(IF(+Q2699-H2699&lt;=0,0,Q2699-H2699),4)</f>
        <v>0</v>
      </c>
      <c r="S2699" s="423">
        <v>0.5</v>
      </c>
      <c r="T2699" s="419">
        <f>ROUND(+(R2699*C2699)*S2699,4)</f>
        <v>0</v>
      </c>
      <c r="U2699" s="419">
        <f>ROUND(+J2699+M2699+T2699,4)</f>
        <v>0</v>
      </c>
      <c r="V2699" s="235"/>
    </row>
    <row r="2700" spans="1:22" ht="15.75" x14ac:dyDescent="0.25">
      <c r="A2700" s="231"/>
      <c r="B2700" s="232"/>
      <c r="C2700" s="400"/>
      <c r="D2700" s="233"/>
      <c r="E2700" s="405"/>
      <c r="F2700" s="405"/>
      <c r="G2700" s="405"/>
      <c r="H2700" s="408">
        <f>ROUND(+E2700+F2700+G2700,4)</f>
        <v>0</v>
      </c>
      <c r="I2700" s="234"/>
      <c r="J2700" s="411"/>
      <c r="K2700" s="411"/>
      <c r="L2700" s="414">
        <v>0.1</v>
      </c>
      <c r="M2700" s="414">
        <f>ROUND(+L2700*C2700,4)</f>
        <v>0</v>
      </c>
      <c r="N2700" s="414"/>
      <c r="O2700" s="414"/>
      <c r="P2700" s="414"/>
      <c r="Q2700" s="419">
        <f>ROUND(+N2700+O2700+P2700,4)</f>
        <v>0</v>
      </c>
      <c r="R2700" s="419">
        <f>ROUND(IF(+Q2700-H2700&lt;=0,0,Q2700-H2700),4)</f>
        <v>0</v>
      </c>
      <c r="S2700" s="423">
        <v>0.5</v>
      </c>
      <c r="T2700" s="419">
        <f>ROUND(+(R2700*C2700)*S2700,4)</f>
        <v>0</v>
      </c>
      <c r="U2700" s="419">
        <f>ROUND(+J2700+M2700+T2700,4)</f>
        <v>0</v>
      </c>
      <c r="V2700" s="235"/>
    </row>
    <row r="2701" spans="1:22" ht="15.75" x14ac:dyDescent="0.25">
      <c r="A2701" s="231"/>
      <c r="B2701" s="232"/>
      <c r="C2701" s="400"/>
      <c r="D2701" s="233"/>
      <c r="E2701" s="405"/>
      <c r="F2701" s="405"/>
      <c r="G2701" s="405"/>
      <c r="H2701" s="408">
        <f>ROUND(+E2701+F2701+G2701,4)</f>
        <v>0</v>
      </c>
      <c r="I2701" s="234"/>
      <c r="J2701" s="411"/>
      <c r="K2701" s="411"/>
      <c r="L2701" s="414">
        <v>0.1</v>
      </c>
      <c r="M2701" s="414">
        <f>ROUND(+L2701*C2701,4)</f>
        <v>0</v>
      </c>
      <c r="N2701" s="414"/>
      <c r="O2701" s="414"/>
      <c r="P2701" s="414"/>
      <c r="Q2701" s="419">
        <f>ROUND(+N2701+O2701+P2701,4)</f>
        <v>0</v>
      </c>
      <c r="R2701" s="419">
        <f>ROUND(IF(+Q2701-H2701&lt;=0,0,Q2701-H2701),4)</f>
        <v>0</v>
      </c>
      <c r="S2701" s="423">
        <v>0.5</v>
      </c>
      <c r="T2701" s="419">
        <f>ROUND(+(R2701*C2701)*S2701,4)</f>
        <v>0</v>
      </c>
      <c r="U2701" s="419">
        <f>ROUND(+J2701+M2701+T2701,4)</f>
        <v>0</v>
      </c>
      <c r="V2701" s="235"/>
    </row>
    <row r="2702" spans="1:22" ht="15.75" x14ac:dyDescent="0.25">
      <c r="A2702" s="231"/>
      <c r="B2702" s="232"/>
      <c r="C2702" s="400"/>
      <c r="D2702" s="233"/>
      <c r="E2702" s="405"/>
      <c r="F2702" s="405"/>
      <c r="G2702" s="405"/>
      <c r="H2702" s="408">
        <f>ROUND(+E2702+F2702+G2702,4)</f>
        <v>0</v>
      </c>
      <c r="I2702" s="234"/>
      <c r="J2702" s="411"/>
      <c r="K2702" s="411"/>
      <c r="L2702" s="414">
        <v>0.1</v>
      </c>
      <c r="M2702" s="414">
        <f>ROUND(+L2702*C2702,4)</f>
        <v>0</v>
      </c>
      <c r="N2702" s="414"/>
      <c r="O2702" s="414"/>
      <c r="P2702" s="414"/>
      <c r="Q2702" s="419">
        <f>ROUND(+N2702+O2702+P2702,4)</f>
        <v>0</v>
      </c>
      <c r="R2702" s="419">
        <f>ROUND(IF(+Q2702-H2702&lt;=0,0,Q2702-H2702),4)</f>
        <v>0</v>
      </c>
      <c r="S2702" s="423">
        <v>0.5</v>
      </c>
      <c r="T2702" s="419">
        <f>ROUND(+(R2702*C2702)*S2702,4)</f>
        <v>0</v>
      </c>
      <c r="U2702" s="419">
        <f>ROUND(+J2702+M2702+T2702,4)</f>
        <v>0</v>
      </c>
      <c r="V2702" s="235"/>
    </row>
    <row r="2703" spans="1:22" ht="15.75" x14ac:dyDescent="0.25">
      <c r="A2703" s="231"/>
      <c r="B2703" s="232"/>
      <c r="C2703" s="400"/>
      <c r="D2703" s="233"/>
      <c r="E2703" s="405"/>
      <c r="F2703" s="405"/>
      <c r="G2703" s="405"/>
      <c r="H2703" s="408">
        <f>ROUND(+E2703+F2703+G2703,4)</f>
        <v>0</v>
      </c>
      <c r="I2703" s="234"/>
      <c r="J2703" s="411"/>
      <c r="K2703" s="411"/>
      <c r="L2703" s="414">
        <v>0.1</v>
      </c>
      <c r="M2703" s="414">
        <f>ROUND(+L2703*C2703,4)</f>
        <v>0</v>
      </c>
      <c r="N2703" s="414"/>
      <c r="O2703" s="414"/>
      <c r="P2703" s="414"/>
      <c r="Q2703" s="419">
        <f>ROUND(+N2703+O2703+P2703,4)</f>
        <v>0</v>
      </c>
      <c r="R2703" s="419">
        <f>ROUND(IF(+Q2703-H2703&lt;=0,0,Q2703-H2703),4)</f>
        <v>0</v>
      </c>
      <c r="S2703" s="423">
        <v>0.5</v>
      </c>
      <c r="T2703" s="419">
        <f>ROUND(+(R2703*C2703)*S2703,4)</f>
        <v>0</v>
      </c>
      <c r="U2703" s="419">
        <f>ROUND(+J2703+M2703+T2703,4)</f>
        <v>0</v>
      </c>
      <c r="V2703" s="235"/>
    </row>
    <row r="2704" spans="1:22" ht="15.75" x14ac:dyDescent="0.25">
      <c r="A2704" s="231"/>
      <c r="B2704" s="232"/>
      <c r="C2704" s="400"/>
      <c r="D2704" s="233"/>
      <c r="E2704" s="405"/>
      <c r="F2704" s="405"/>
      <c r="G2704" s="405"/>
      <c r="H2704" s="408">
        <f>ROUND(+E2704+F2704+G2704,4)</f>
        <v>0</v>
      </c>
      <c r="I2704" s="234"/>
      <c r="J2704" s="411"/>
      <c r="K2704" s="411"/>
      <c r="L2704" s="414">
        <v>0.1</v>
      </c>
      <c r="M2704" s="414">
        <f>ROUND(+L2704*C2704,4)</f>
        <v>0</v>
      </c>
      <c r="N2704" s="414"/>
      <c r="O2704" s="414"/>
      <c r="P2704" s="414"/>
      <c r="Q2704" s="419">
        <f>ROUND(+N2704+O2704+P2704,4)</f>
        <v>0</v>
      </c>
      <c r="R2704" s="419">
        <f>ROUND(IF(+Q2704-H2704&lt;=0,0,Q2704-H2704),4)</f>
        <v>0</v>
      </c>
      <c r="S2704" s="423">
        <v>0.5</v>
      </c>
      <c r="T2704" s="419">
        <f>ROUND(+(R2704*C2704)*S2704,4)</f>
        <v>0</v>
      </c>
      <c r="U2704" s="419">
        <f>ROUND(+J2704+M2704+T2704,4)</f>
        <v>0</v>
      </c>
      <c r="V2704" s="235"/>
    </row>
    <row r="2705" spans="1:22" ht="15.75" x14ac:dyDescent="0.25">
      <c r="A2705" s="231"/>
      <c r="B2705" s="232"/>
      <c r="C2705" s="400"/>
      <c r="D2705" s="233"/>
      <c r="E2705" s="405"/>
      <c r="F2705" s="405"/>
      <c r="G2705" s="405"/>
      <c r="H2705" s="408">
        <f>ROUND(+E2705+F2705+G2705,4)</f>
        <v>0</v>
      </c>
      <c r="I2705" s="234"/>
      <c r="J2705" s="411"/>
      <c r="K2705" s="411"/>
      <c r="L2705" s="414">
        <v>0.1</v>
      </c>
      <c r="M2705" s="414">
        <f>ROUND(+L2705*C2705,4)</f>
        <v>0</v>
      </c>
      <c r="N2705" s="414"/>
      <c r="O2705" s="414"/>
      <c r="P2705" s="414"/>
      <c r="Q2705" s="419">
        <f>ROUND(+N2705+O2705+P2705,4)</f>
        <v>0</v>
      </c>
      <c r="R2705" s="419">
        <f>ROUND(IF(+Q2705-H2705&lt;=0,0,Q2705-H2705),4)</f>
        <v>0</v>
      </c>
      <c r="S2705" s="423">
        <v>0.5</v>
      </c>
      <c r="T2705" s="419">
        <f>ROUND(+(R2705*C2705)*S2705,4)</f>
        <v>0</v>
      </c>
      <c r="U2705" s="419">
        <f>ROUND(+J2705+M2705+T2705,4)</f>
        <v>0</v>
      </c>
      <c r="V2705" s="235"/>
    </row>
    <row r="2706" spans="1:22" ht="15.75" x14ac:dyDescent="0.25">
      <c r="A2706" s="231"/>
      <c r="B2706" s="232"/>
      <c r="C2706" s="400"/>
      <c r="D2706" s="233"/>
      <c r="E2706" s="405"/>
      <c r="F2706" s="405"/>
      <c r="G2706" s="405"/>
      <c r="H2706" s="408">
        <f>ROUND(+E2706+F2706+G2706,4)</f>
        <v>0</v>
      </c>
      <c r="I2706" s="234"/>
      <c r="J2706" s="411"/>
      <c r="K2706" s="411"/>
      <c r="L2706" s="414">
        <v>0.1</v>
      </c>
      <c r="M2706" s="414">
        <f>ROUND(+L2706*C2706,4)</f>
        <v>0</v>
      </c>
      <c r="N2706" s="414"/>
      <c r="O2706" s="414"/>
      <c r="P2706" s="414"/>
      <c r="Q2706" s="419">
        <f>ROUND(+N2706+O2706+P2706,4)</f>
        <v>0</v>
      </c>
      <c r="R2706" s="419">
        <f>ROUND(IF(+Q2706-H2706&lt;=0,0,Q2706-H2706),4)</f>
        <v>0</v>
      </c>
      <c r="S2706" s="423">
        <v>0.5</v>
      </c>
      <c r="T2706" s="419">
        <f>ROUND(+(R2706*C2706)*S2706,4)</f>
        <v>0</v>
      </c>
      <c r="U2706" s="419">
        <f>ROUND(+J2706+M2706+T2706,4)</f>
        <v>0</v>
      </c>
      <c r="V2706" s="235"/>
    </row>
    <row r="2707" spans="1:22" ht="15.75" x14ac:dyDescent="0.25">
      <c r="A2707" s="231"/>
      <c r="B2707" s="232"/>
      <c r="C2707" s="400"/>
      <c r="D2707" s="233"/>
      <c r="E2707" s="405"/>
      <c r="F2707" s="405"/>
      <c r="G2707" s="405"/>
      <c r="H2707" s="408">
        <f>ROUND(+E2707+F2707+G2707,4)</f>
        <v>0</v>
      </c>
      <c r="I2707" s="234"/>
      <c r="J2707" s="411"/>
      <c r="K2707" s="411"/>
      <c r="L2707" s="414">
        <v>0.1</v>
      </c>
      <c r="M2707" s="414">
        <f>ROUND(+L2707*C2707,4)</f>
        <v>0</v>
      </c>
      <c r="N2707" s="414"/>
      <c r="O2707" s="414"/>
      <c r="P2707" s="414"/>
      <c r="Q2707" s="419">
        <f>ROUND(+N2707+O2707+P2707,4)</f>
        <v>0</v>
      </c>
      <c r="R2707" s="419">
        <f>ROUND(IF(+Q2707-H2707&lt;=0,0,Q2707-H2707),4)</f>
        <v>0</v>
      </c>
      <c r="S2707" s="423">
        <v>0.5</v>
      </c>
      <c r="T2707" s="419">
        <f>ROUND(+(R2707*C2707)*S2707,4)</f>
        <v>0</v>
      </c>
      <c r="U2707" s="419">
        <f>ROUND(+J2707+M2707+T2707,4)</f>
        <v>0</v>
      </c>
      <c r="V2707" s="235"/>
    </row>
    <row r="2708" spans="1:22" ht="15.75" x14ac:dyDescent="0.25">
      <c r="A2708" s="231"/>
      <c r="B2708" s="232"/>
      <c r="C2708" s="400"/>
      <c r="D2708" s="233"/>
      <c r="E2708" s="405"/>
      <c r="F2708" s="405"/>
      <c r="G2708" s="405"/>
      <c r="H2708" s="408">
        <f>ROUND(+E2708+F2708+G2708,4)</f>
        <v>0</v>
      </c>
      <c r="I2708" s="234"/>
      <c r="J2708" s="411"/>
      <c r="K2708" s="411"/>
      <c r="L2708" s="414">
        <v>0.1</v>
      </c>
      <c r="M2708" s="414">
        <f>ROUND(+L2708*C2708,4)</f>
        <v>0</v>
      </c>
      <c r="N2708" s="414"/>
      <c r="O2708" s="414"/>
      <c r="P2708" s="414"/>
      <c r="Q2708" s="419">
        <f>ROUND(+N2708+O2708+P2708,4)</f>
        <v>0</v>
      </c>
      <c r="R2708" s="419">
        <f>ROUND(IF(+Q2708-H2708&lt;=0,0,Q2708-H2708),4)</f>
        <v>0</v>
      </c>
      <c r="S2708" s="423">
        <v>0.5</v>
      </c>
      <c r="T2708" s="419">
        <f>ROUND(+(R2708*C2708)*S2708,4)</f>
        <v>0</v>
      </c>
      <c r="U2708" s="419">
        <f>ROUND(+J2708+M2708+T2708,4)</f>
        <v>0</v>
      </c>
      <c r="V2708" s="235"/>
    </row>
    <row r="2709" spans="1:22" ht="15.75" x14ac:dyDescent="0.25">
      <c r="A2709" s="231"/>
      <c r="B2709" s="232"/>
      <c r="C2709" s="400"/>
      <c r="D2709" s="233"/>
      <c r="E2709" s="405"/>
      <c r="F2709" s="405"/>
      <c r="G2709" s="405"/>
      <c r="H2709" s="408">
        <f>ROUND(+E2709+F2709+G2709,4)</f>
        <v>0</v>
      </c>
      <c r="I2709" s="234"/>
      <c r="J2709" s="411"/>
      <c r="K2709" s="411"/>
      <c r="L2709" s="414">
        <v>0.1</v>
      </c>
      <c r="M2709" s="414">
        <f>ROUND(+L2709*C2709,4)</f>
        <v>0</v>
      </c>
      <c r="N2709" s="414"/>
      <c r="O2709" s="414"/>
      <c r="P2709" s="414"/>
      <c r="Q2709" s="419">
        <f>ROUND(+N2709+O2709+P2709,4)</f>
        <v>0</v>
      </c>
      <c r="R2709" s="419">
        <f>ROUND(IF(+Q2709-H2709&lt;=0,0,Q2709-H2709),4)</f>
        <v>0</v>
      </c>
      <c r="S2709" s="423">
        <v>0.5</v>
      </c>
      <c r="T2709" s="419">
        <f>ROUND(+(R2709*C2709)*S2709,4)</f>
        <v>0</v>
      </c>
      <c r="U2709" s="419">
        <f>ROUND(+J2709+M2709+T2709,4)</f>
        <v>0</v>
      </c>
      <c r="V2709" s="235"/>
    </row>
    <row r="2710" spans="1:22" ht="15.75" x14ac:dyDescent="0.25">
      <c r="A2710" s="231"/>
      <c r="B2710" s="232"/>
      <c r="C2710" s="400"/>
      <c r="D2710" s="233"/>
      <c r="E2710" s="405"/>
      <c r="F2710" s="405"/>
      <c r="G2710" s="405"/>
      <c r="H2710" s="408">
        <f>ROUND(+E2710+F2710+G2710,4)</f>
        <v>0</v>
      </c>
      <c r="I2710" s="234"/>
      <c r="J2710" s="411"/>
      <c r="K2710" s="411"/>
      <c r="L2710" s="414">
        <v>0.1</v>
      </c>
      <c r="M2710" s="414">
        <f>ROUND(+L2710*C2710,4)</f>
        <v>0</v>
      </c>
      <c r="N2710" s="414"/>
      <c r="O2710" s="414"/>
      <c r="P2710" s="414"/>
      <c r="Q2710" s="419">
        <f>ROUND(+N2710+O2710+P2710,4)</f>
        <v>0</v>
      </c>
      <c r="R2710" s="419">
        <f>ROUND(IF(+Q2710-H2710&lt;=0,0,Q2710-H2710),4)</f>
        <v>0</v>
      </c>
      <c r="S2710" s="423">
        <v>0.5</v>
      </c>
      <c r="T2710" s="419">
        <f>ROUND(+(R2710*C2710)*S2710,4)</f>
        <v>0</v>
      </c>
      <c r="U2710" s="419">
        <f>ROUND(+J2710+M2710+T2710,4)</f>
        <v>0</v>
      </c>
      <c r="V2710" s="235"/>
    </row>
    <row r="2711" spans="1:22" ht="15.75" x14ac:dyDescent="0.25">
      <c r="A2711" s="231"/>
      <c r="B2711" s="232"/>
      <c r="C2711" s="400"/>
      <c r="D2711" s="233"/>
      <c r="E2711" s="405"/>
      <c r="F2711" s="405"/>
      <c r="G2711" s="405"/>
      <c r="H2711" s="408">
        <f>ROUND(+E2711+F2711+G2711,4)</f>
        <v>0</v>
      </c>
      <c r="I2711" s="234"/>
      <c r="J2711" s="411"/>
      <c r="K2711" s="411"/>
      <c r="L2711" s="414">
        <v>0.1</v>
      </c>
      <c r="M2711" s="414">
        <f>ROUND(+L2711*C2711,4)</f>
        <v>0</v>
      </c>
      <c r="N2711" s="414"/>
      <c r="O2711" s="414"/>
      <c r="P2711" s="414"/>
      <c r="Q2711" s="419">
        <f>ROUND(+N2711+O2711+P2711,4)</f>
        <v>0</v>
      </c>
      <c r="R2711" s="419">
        <f>ROUND(IF(+Q2711-H2711&lt;=0,0,Q2711-H2711),4)</f>
        <v>0</v>
      </c>
      <c r="S2711" s="423">
        <v>0.5</v>
      </c>
      <c r="T2711" s="419">
        <f>ROUND(+(R2711*C2711)*S2711,4)</f>
        <v>0</v>
      </c>
      <c r="U2711" s="419">
        <f>ROUND(+J2711+M2711+T2711,4)</f>
        <v>0</v>
      </c>
      <c r="V2711" s="235"/>
    </row>
    <row r="2712" spans="1:22" ht="15.75" x14ac:dyDescent="0.25">
      <c r="A2712" s="231"/>
      <c r="B2712" s="232"/>
      <c r="C2712" s="400"/>
      <c r="D2712" s="233"/>
      <c r="E2712" s="405"/>
      <c r="F2712" s="405"/>
      <c r="G2712" s="405"/>
      <c r="H2712" s="408">
        <f>ROUND(+E2712+F2712+G2712,4)</f>
        <v>0</v>
      </c>
      <c r="I2712" s="234"/>
      <c r="J2712" s="411"/>
      <c r="K2712" s="411"/>
      <c r="L2712" s="414">
        <v>0.1</v>
      </c>
      <c r="M2712" s="414">
        <f>ROUND(+L2712*C2712,4)</f>
        <v>0</v>
      </c>
      <c r="N2712" s="414"/>
      <c r="O2712" s="414"/>
      <c r="P2712" s="414"/>
      <c r="Q2712" s="419">
        <f>ROUND(+N2712+O2712+P2712,4)</f>
        <v>0</v>
      </c>
      <c r="R2712" s="419">
        <f>ROUND(IF(+Q2712-H2712&lt;=0,0,Q2712-H2712),4)</f>
        <v>0</v>
      </c>
      <c r="S2712" s="423">
        <v>0.5</v>
      </c>
      <c r="T2712" s="419">
        <f>ROUND(+(R2712*C2712)*S2712,4)</f>
        <v>0</v>
      </c>
      <c r="U2712" s="419">
        <f>ROUND(+J2712+M2712+T2712,4)</f>
        <v>0</v>
      </c>
      <c r="V2712" s="235"/>
    </row>
    <row r="2713" spans="1:22" ht="15.75" x14ac:dyDescent="0.25">
      <c r="A2713" s="231"/>
      <c r="B2713" s="232"/>
      <c r="C2713" s="400"/>
      <c r="D2713" s="233"/>
      <c r="E2713" s="405"/>
      <c r="F2713" s="405"/>
      <c r="G2713" s="405"/>
      <c r="H2713" s="408">
        <f>ROUND(+E2713+F2713+G2713,4)</f>
        <v>0</v>
      </c>
      <c r="I2713" s="234"/>
      <c r="J2713" s="411"/>
      <c r="K2713" s="411"/>
      <c r="L2713" s="414">
        <v>0.1</v>
      </c>
      <c r="M2713" s="414">
        <f>ROUND(+L2713*C2713,4)</f>
        <v>0</v>
      </c>
      <c r="N2713" s="414"/>
      <c r="O2713" s="414"/>
      <c r="P2713" s="414"/>
      <c r="Q2713" s="419">
        <f>ROUND(+N2713+O2713+P2713,4)</f>
        <v>0</v>
      </c>
      <c r="R2713" s="419">
        <f>ROUND(IF(+Q2713-H2713&lt;=0,0,Q2713-H2713),4)</f>
        <v>0</v>
      </c>
      <c r="S2713" s="423">
        <v>0.5</v>
      </c>
      <c r="T2713" s="419">
        <f>ROUND(+(R2713*C2713)*S2713,4)</f>
        <v>0</v>
      </c>
      <c r="U2713" s="419">
        <f>ROUND(+J2713+M2713+T2713,4)</f>
        <v>0</v>
      </c>
      <c r="V2713" s="235"/>
    </row>
    <row r="2714" spans="1:22" ht="15.75" x14ac:dyDescent="0.25">
      <c r="A2714" s="231"/>
      <c r="B2714" s="232"/>
      <c r="C2714" s="400"/>
      <c r="D2714" s="233"/>
      <c r="E2714" s="405"/>
      <c r="F2714" s="405"/>
      <c r="G2714" s="405"/>
      <c r="H2714" s="408">
        <f>ROUND(+E2714+F2714+G2714,4)</f>
        <v>0</v>
      </c>
      <c r="I2714" s="234"/>
      <c r="J2714" s="411"/>
      <c r="K2714" s="411"/>
      <c r="L2714" s="414">
        <v>0.1</v>
      </c>
      <c r="M2714" s="414">
        <f>ROUND(+L2714*C2714,4)</f>
        <v>0</v>
      </c>
      <c r="N2714" s="414"/>
      <c r="O2714" s="414"/>
      <c r="P2714" s="414"/>
      <c r="Q2714" s="419">
        <f>ROUND(+N2714+O2714+P2714,4)</f>
        <v>0</v>
      </c>
      <c r="R2714" s="419">
        <f>ROUND(IF(+Q2714-H2714&lt;=0,0,Q2714-H2714),4)</f>
        <v>0</v>
      </c>
      <c r="S2714" s="423">
        <v>0.5</v>
      </c>
      <c r="T2714" s="419">
        <f>ROUND(+(R2714*C2714)*S2714,4)</f>
        <v>0</v>
      </c>
      <c r="U2714" s="419">
        <f>ROUND(+J2714+M2714+T2714,4)</f>
        <v>0</v>
      </c>
      <c r="V2714" s="235"/>
    </row>
    <row r="2715" spans="1:22" ht="15.75" x14ac:dyDescent="0.25">
      <c r="A2715" s="231"/>
      <c r="B2715" s="232"/>
      <c r="C2715" s="400"/>
      <c r="D2715" s="233"/>
      <c r="E2715" s="405"/>
      <c r="F2715" s="405"/>
      <c r="G2715" s="405"/>
      <c r="H2715" s="408">
        <f>ROUND(+E2715+F2715+G2715,4)</f>
        <v>0</v>
      </c>
      <c r="I2715" s="234"/>
      <c r="J2715" s="411"/>
      <c r="K2715" s="411"/>
      <c r="L2715" s="414">
        <v>0.1</v>
      </c>
      <c r="M2715" s="414">
        <f>ROUND(+L2715*C2715,4)</f>
        <v>0</v>
      </c>
      <c r="N2715" s="414"/>
      <c r="O2715" s="414"/>
      <c r="P2715" s="414"/>
      <c r="Q2715" s="419">
        <f>ROUND(+N2715+O2715+P2715,4)</f>
        <v>0</v>
      </c>
      <c r="R2715" s="419">
        <f>ROUND(IF(+Q2715-H2715&lt;=0,0,Q2715-H2715),4)</f>
        <v>0</v>
      </c>
      <c r="S2715" s="423">
        <v>0.5</v>
      </c>
      <c r="T2715" s="419">
        <f>ROUND(+(R2715*C2715)*S2715,4)</f>
        <v>0</v>
      </c>
      <c r="U2715" s="419">
        <f>ROUND(+J2715+M2715+T2715,4)</f>
        <v>0</v>
      </c>
      <c r="V2715" s="235"/>
    </row>
    <row r="2716" spans="1:22" ht="15.75" x14ac:dyDescent="0.25">
      <c r="A2716" s="231"/>
      <c r="B2716" s="232"/>
      <c r="C2716" s="400"/>
      <c r="D2716" s="233"/>
      <c r="E2716" s="405"/>
      <c r="F2716" s="405"/>
      <c r="G2716" s="405"/>
      <c r="H2716" s="408">
        <f>ROUND(+E2716+F2716+G2716,4)</f>
        <v>0</v>
      </c>
      <c r="I2716" s="234"/>
      <c r="J2716" s="411"/>
      <c r="K2716" s="411"/>
      <c r="L2716" s="414">
        <v>0.1</v>
      </c>
      <c r="M2716" s="414">
        <f>ROUND(+L2716*C2716,4)</f>
        <v>0</v>
      </c>
      <c r="N2716" s="414"/>
      <c r="O2716" s="414"/>
      <c r="P2716" s="414"/>
      <c r="Q2716" s="419">
        <f>ROUND(+N2716+O2716+P2716,4)</f>
        <v>0</v>
      </c>
      <c r="R2716" s="419">
        <f>ROUND(IF(+Q2716-H2716&lt;=0,0,Q2716-H2716),4)</f>
        <v>0</v>
      </c>
      <c r="S2716" s="423">
        <v>0.5</v>
      </c>
      <c r="T2716" s="419">
        <f>ROUND(+(R2716*C2716)*S2716,4)</f>
        <v>0</v>
      </c>
      <c r="U2716" s="419">
        <f>ROUND(+J2716+M2716+T2716,4)</f>
        <v>0</v>
      </c>
      <c r="V2716" s="235"/>
    </row>
    <row r="2717" spans="1:22" ht="15.75" x14ac:dyDescent="0.25">
      <c r="A2717" s="231"/>
      <c r="B2717" s="232"/>
      <c r="C2717" s="400"/>
      <c r="D2717" s="233"/>
      <c r="E2717" s="405"/>
      <c r="F2717" s="405"/>
      <c r="G2717" s="405"/>
      <c r="H2717" s="408">
        <f>ROUND(+E2717+F2717+G2717,4)</f>
        <v>0</v>
      </c>
      <c r="I2717" s="234"/>
      <c r="J2717" s="411"/>
      <c r="K2717" s="411"/>
      <c r="L2717" s="414">
        <v>0.1</v>
      </c>
      <c r="M2717" s="414">
        <f>ROUND(+L2717*C2717,4)</f>
        <v>0</v>
      </c>
      <c r="N2717" s="414"/>
      <c r="O2717" s="414"/>
      <c r="P2717" s="414"/>
      <c r="Q2717" s="419">
        <f>ROUND(+N2717+O2717+P2717,4)</f>
        <v>0</v>
      </c>
      <c r="R2717" s="419">
        <f>ROUND(IF(+Q2717-H2717&lt;=0,0,Q2717-H2717),4)</f>
        <v>0</v>
      </c>
      <c r="S2717" s="423">
        <v>0.5</v>
      </c>
      <c r="T2717" s="419">
        <f>ROUND(+(R2717*C2717)*S2717,4)</f>
        <v>0</v>
      </c>
      <c r="U2717" s="419">
        <f>ROUND(+J2717+M2717+T2717,4)</f>
        <v>0</v>
      </c>
      <c r="V2717" s="235"/>
    </row>
    <row r="2718" spans="1:22" ht="15.75" x14ac:dyDescent="0.25">
      <c r="A2718" s="231"/>
      <c r="B2718" s="232"/>
      <c r="C2718" s="400"/>
      <c r="D2718" s="233"/>
      <c r="E2718" s="405"/>
      <c r="F2718" s="405"/>
      <c r="G2718" s="405"/>
      <c r="H2718" s="408">
        <f>ROUND(+E2718+F2718+G2718,4)</f>
        <v>0</v>
      </c>
      <c r="I2718" s="234"/>
      <c r="J2718" s="411"/>
      <c r="K2718" s="411"/>
      <c r="L2718" s="414">
        <v>0.1</v>
      </c>
      <c r="M2718" s="414">
        <f>ROUND(+L2718*C2718,4)</f>
        <v>0</v>
      </c>
      <c r="N2718" s="414"/>
      <c r="O2718" s="414"/>
      <c r="P2718" s="414"/>
      <c r="Q2718" s="419">
        <f>ROUND(+N2718+O2718+P2718,4)</f>
        <v>0</v>
      </c>
      <c r="R2718" s="419">
        <f>ROUND(IF(+Q2718-H2718&lt;=0,0,Q2718-H2718),4)</f>
        <v>0</v>
      </c>
      <c r="S2718" s="423">
        <v>0.5</v>
      </c>
      <c r="T2718" s="419">
        <f>ROUND(+(R2718*C2718)*S2718,4)</f>
        <v>0</v>
      </c>
      <c r="U2718" s="419">
        <f>ROUND(+J2718+M2718+T2718,4)</f>
        <v>0</v>
      </c>
      <c r="V2718" s="235"/>
    </row>
    <row r="2719" spans="1:22" ht="15.75" x14ac:dyDescent="0.25">
      <c r="A2719" s="231"/>
      <c r="B2719" s="232"/>
      <c r="C2719" s="400"/>
      <c r="D2719" s="233"/>
      <c r="E2719" s="405"/>
      <c r="F2719" s="405"/>
      <c r="G2719" s="405"/>
      <c r="H2719" s="408">
        <f>ROUND(+E2719+F2719+G2719,4)</f>
        <v>0</v>
      </c>
      <c r="I2719" s="234"/>
      <c r="J2719" s="411"/>
      <c r="K2719" s="411"/>
      <c r="L2719" s="414">
        <v>0.1</v>
      </c>
      <c r="M2719" s="414">
        <f>ROUND(+L2719*C2719,4)</f>
        <v>0</v>
      </c>
      <c r="N2719" s="414"/>
      <c r="O2719" s="414"/>
      <c r="P2719" s="414"/>
      <c r="Q2719" s="419">
        <f>ROUND(+N2719+O2719+P2719,4)</f>
        <v>0</v>
      </c>
      <c r="R2719" s="419">
        <f>ROUND(IF(+Q2719-H2719&lt;=0,0,Q2719-H2719),4)</f>
        <v>0</v>
      </c>
      <c r="S2719" s="423">
        <v>0.5</v>
      </c>
      <c r="T2719" s="419">
        <f>ROUND(+(R2719*C2719)*S2719,4)</f>
        <v>0</v>
      </c>
      <c r="U2719" s="419">
        <f>ROUND(+J2719+M2719+T2719,4)</f>
        <v>0</v>
      </c>
      <c r="V2719" s="235"/>
    </row>
    <row r="2720" spans="1:22" ht="15.75" x14ac:dyDescent="0.25">
      <c r="A2720" s="231"/>
      <c r="B2720" s="232"/>
      <c r="C2720" s="400"/>
      <c r="D2720" s="233"/>
      <c r="E2720" s="405"/>
      <c r="F2720" s="405"/>
      <c r="G2720" s="405"/>
      <c r="H2720" s="408">
        <f>ROUND(+E2720+F2720+G2720,4)</f>
        <v>0</v>
      </c>
      <c r="I2720" s="234"/>
      <c r="J2720" s="411"/>
      <c r="K2720" s="411"/>
      <c r="L2720" s="414">
        <v>0.1</v>
      </c>
      <c r="M2720" s="414">
        <f>ROUND(+L2720*C2720,4)</f>
        <v>0</v>
      </c>
      <c r="N2720" s="414"/>
      <c r="O2720" s="414"/>
      <c r="P2720" s="414"/>
      <c r="Q2720" s="419">
        <f>ROUND(+N2720+O2720+P2720,4)</f>
        <v>0</v>
      </c>
      <c r="R2720" s="419">
        <f>ROUND(IF(+Q2720-H2720&lt;=0,0,Q2720-H2720),4)</f>
        <v>0</v>
      </c>
      <c r="S2720" s="423">
        <v>0.5</v>
      </c>
      <c r="T2720" s="419">
        <f>ROUND(+(R2720*C2720)*S2720,4)</f>
        <v>0</v>
      </c>
      <c r="U2720" s="419">
        <f>ROUND(+J2720+M2720+T2720,4)</f>
        <v>0</v>
      </c>
      <c r="V2720" s="235"/>
    </row>
    <row r="2721" spans="1:22" ht="15.75" x14ac:dyDescent="0.25">
      <c r="A2721" s="231"/>
      <c r="B2721" s="232"/>
      <c r="C2721" s="400"/>
      <c r="D2721" s="233"/>
      <c r="E2721" s="405"/>
      <c r="F2721" s="405"/>
      <c r="G2721" s="405"/>
      <c r="H2721" s="408">
        <f>ROUND(+E2721+F2721+G2721,4)</f>
        <v>0</v>
      </c>
      <c r="I2721" s="234"/>
      <c r="J2721" s="411"/>
      <c r="K2721" s="411"/>
      <c r="L2721" s="414">
        <v>0.1</v>
      </c>
      <c r="M2721" s="414">
        <f>ROUND(+L2721*C2721,4)</f>
        <v>0</v>
      </c>
      <c r="N2721" s="414"/>
      <c r="O2721" s="414"/>
      <c r="P2721" s="414"/>
      <c r="Q2721" s="419">
        <f>ROUND(+N2721+O2721+P2721,4)</f>
        <v>0</v>
      </c>
      <c r="R2721" s="419">
        <f>ROUND(IF(+Q2721-H2721&lt;=0,0,Q2721-H2721),4)</f>
        <v>0</v>
      </c>
      <c r="S2721" s="423">
        <v>0.5</v>
      </c>
      <c r="T2721" s="419">
        <f>ROUND(+(R2721*C2721)*S2721,4)</f>
        <v>0</v>
      </c>
      <c r="U2721" s="419">
        <f>ROUND(+J2721+M2721+T2721,4)</f>
        <v>0</v>
      </c>
      <c r="V2721" s="235"/>
    </row>
    <row r="2722" spans="1:22" ht="15.75" x14ac:dyDescent="0.25">
      <c r="A2722" s="231"/>
      <c r="B2722" s="232"/>
      <c r="C2722" s="400"/>
      <c r="D2722" s="233"/>
      <c r="E2722" s="405"/>
      <c r="F2722" s="405"/>
      <c r="G2722" s="405"/>
      <c r="H2722" s="408">
        <f>ROUND(+E2722+F2722+G2722,4)</f>
        <v>0</v>
      </c>
      <c r="I2722" s="234"/>
      <c r="J2722" s="411"/>
      <c r="K2722" s="411"/>
      <c r="L2722" s="414">
        <v>0.1</v>
      </c>
      <c r="M2722" s="414">
        <f>ROUND(+L2722*C2722,4)</f>
        <v>0</v>
      </c>
      <c r="N2722" s="414"/>
      <c r="O2722" s="414"/>
      <c r="P2722" s="414"/>
      <c r="Q2722" s="419">
        <f>ROUND(+N2722+O2722+P2722,4)</f>
        <v>0</v>
      </c>
      <c r="R2722" s="419">
        <f>ROUND(IF(+Q2722-H2722&lt;=0,0,Q2722-H2722),4)</f>
        <v>0</v>
      </c>
      <c r="S2722" s="423">
        <v>0.5</v>
      </c>
      <c r="T2722" s="419">
        <f>ROUND(+(R2722*C2722)*S2722,4)</f>
        <v>0</v>
      </c>
      <c r="U2722" s="419">
        <f>ROUND(+J2722+M2722+T2722,4)</f>
        <v>0</v>
      </c>
      <c r="V2722" s="235"/>
    </row>
    <row r="2723" spans="1:22" ht="15.75" x14ac:dyDescent="0.25">
      <c r="A2723" s="231"/>
      <c r="B2723" s="232"/>
      <c r="C2723" s="400"/>
      <c r="D2723" s="233"/>
      <c r="E2723" s="405"/>
      <c r="F2723" s="405"/>
      <c r="G2723" s="405"/>
      <c r="H2723" s="408">
        <f>ROUND(+E2723+F2723+G2723,4)</f>
        <v>0</v>
      </c>
      <c r="I2723" s="234"/>
      <c r="J2723" s="411"/>
      <c r="K2723" s="411"/>
      <c r="L2723" s="414">
        <v>0.1</v>
      </c>
      <c r="M2723" s="414">
        <f>ROUND(+L2723*C2723,4)</f>
        <v>0</v>
      </c>
      <c r="N2723" s="414"/>
      <c r="O2723" s="414"/>
      <c r="P2723" s="414"/>
      <c r="Q2723" s="419">
        <f>ROUND(+N2723+O2723+P2723,4)</f>
        <v>0</v>
      </c>
      <c r="R2723" s="419">
        <f>ROUND(IF(+Q2723-H2723&lt;=0,0,Q2723-H2723),4)</f>
        <v>0</v>
      </c>
      <c r="S2723" s="423">
        <v>0.5</v>
      </c>
      <c r="T2723" s="419">
        <f>ROUND(+(R2723*C2723)*S2723,4)</f>
        <v>0</v>
      </c>
      <c r="U2723" s="419">
        <f>ROUND(+J2723+M2723+T2723,4)</f>
        <v>0</v>
      </c>
      <c r="V2723" s="235"/>
    </row>
    <row r="2724" spans="1:22" ht="15.75" x14ac:dyDescent="0.25">
      <c r="A2724" s="231"/>
      <c r="B2724" s="232"/>
      <c r="C2724" s="400"/>
      <c r="D2724" s="233"/>
      <c r="E2724" s="405"/>
      <c r="F2724" s="405"/>
      <c r="G2724" s="405"/>
      <c r="H2724" s="408">
        <f>ROUND(+E2724+F2724+G2724,4)</f>
        <v>0</v>
      </c>
      <c r="I2724" s="234"/>
      <c r="J2724" s="411"/>
      <c r="K2724" s="411"/>
      <c r="L2724" s="414">
        <v>0.1</v>
      </c>
      <c r="M2724" s="414">
        <f>ROUND(+L2724*C2724,4)</f>
        <v>0</v>
      </c>
      <c r="N2724" s="414"/>
      <c r="O2724" s="414"/>
      <c r="P2724" s="414"/>
      <c r="Q2724" s="419">
        <f>ROUND(+N2724+O2724+P2724,4)</f>
        <v>0</v>
      </c>
      <c r="R2724" s="419">
        <f>ROUND(IF(+Q2724-H2724&lt;=0,0,Q2724-H2724),4)</f>
        <v>0</v>
      </c>
      <c r="S2724" s="423">
        <v>0.5</v>
      </c>
      <c r="T2724" s="419">
        <f>ROUND(+(R2724*C2724)*S2724,4)</f>
        <v>0</v>
      </c>
      <c r="U2724" s="419">
        <f>ROUND(+J2724+M2724+T2724,4)</f>
        <v>0</v>
      </c>
      <c r="V2724" s="235"/>
    </row>
    <row r="2725" spans="1:22" ht="15.75" x14ac:dyDescent="0.25">
      <c r="A2725" s="231"/>
      <c r="B2725" s="232"/>
      <c r="C2725" s="400"/>
      <c r="D2725" s="233"/>
      <c r="E2725" s="405"/>
      <c r="F2725" s="405"/>
      <c r="G2725" s="405"/>
      <c r="H2725" s="408">
        <f>ROUND(+E2725+F2725+G2725,4)</f>
        <v>0</v>
      </c>
      <c r="I2725" s="234"/>
      <c r="J2725" s="411"/>
      <c r="K2725" s="411"/>
      <c r="L2725" s="414">
        <v>0.1</v>
      </c>
      <c r="M2725" s="414">
        <f>ROUND(+L2725*C2725,4)</f>
        <v>0</v>
      </c>
      <c r="N2725" s="414"/>
      <c r="O2725" s="414"/>
      <c r="P2725" s="414"/>
      <c r="Q2725" s="419">
        <f>ROUND(+N2725+O2725+P2725,4)</f>
        <v>0</v>
      </c>
      <c r="R2725" s="419">
        <f>ROUND(IF(+Q2725-H2725&lt;=0,0,Q2725-H2725),4)</f>
        <v>0</v>
      </c>
      <c r="S2725" s="423">
        <v>0.5</v>
      </c>
      <c r="T2725" s="419">
        <f>ROUND(+(R2725*C2725)*S2725,4)</f>
        <v>0</v>
      </c>
      <c r="U2725" s="419">
        <f>ROUND(+J2725+M2725+T2725,4)</f>
        <v>0</v>
      </c>
      <c r="V2725" s="235"/>
    </row>
    <row r="2726" spans="1:22" ht="15.75" x14ac:dyDescent="0.25">
      <c r="A2726" s="231"/>
      <c r="B2726" s="232"/>
      <c r="C2726" s="400"/>
      <c r="D2726" s="233"/>
      <c r="E2726" s="405"/>
      <c r="F2726" s="405"/>
      <c r="G2726" s="405"/>
      <c r="H2726" s="408">
        <f>ROUND(+E2726+F2726+G2726,4)</f>
        <v>0</v>
      </c>
      <c r="I2726" s="234"/>
      <c r="J2726" s="411"/>
      <c r="K2726" s="411"/>
      <c r="L2726" s="414">
        <v>0.1</v>
      </c>
      <c r="M2726" s="414">
        <f>ROUND(+L2726*C2726,4)</f>
        <v>0</v>
      </c>
      <c r="N2726" s="414"/>
      <c r="O2726" s="414"/>
      <c r="P2726" s="414"/>
      <c r="Q2726" s="419">
        <f>ROUND(+N2726+O2726+P2726,4)</f>
        <v>0</v>
      </c>
      <c r="R2726" s="419">
        <f>ROUND(IF(+Q2726-H2726&lt;=0,0,Q2726-H2726),4)</f>
        <v>0</v>
      </c>
      <c r="S2726" s="423">
        <v>0.5</v>
      </c>
      <c r="T2726" s="419">
        <f>ROUND(+(R2726*C2726)*S2726,4)</f>
        <v>0</v>
      </c>
      <c r="U2726" s="419">
        <f>ROUND(+J2726+M2726+T2726,4)</f>
        <v>0</v>
      </c>
      <c r="V2726" s="235"/>
    </row>
    <row r="2727" spans="1:22" ht="15.75" x14ac:dyDescent="0.25">
      <c r="A2727" s="231"/>
      <c r="B2727" s="232"/>
      <c r="C2727" s="400"/>
      <c r="D2727" s="233"/>
      <c r="E2727" s="405"/>
      <c r="F2727" s="405"/>
      <c r="G2727" s="405"/>
      <c r="H2727" s="408">
        <f>ROUND(+E2727+F2727+G2727,4)</f>
        <v>0</v>
      </c>
      <c r="I2727" s="234"/>
      <c r="J2727" s="411"/>
      <c r="K2727" s="411"/>
      <c r="L2727" s="414">
        <v>0.1</v>
      </c>
      <c r="M2727" s="414">
        <f>ROUND(+L2727*C2727,4)</f>
        <v>0</v>
      </c>
      <c r="N2727" s="414"/>
      <c r="O2727" s="414"/>
      <c r="P2727" s="414"/>
      <c r="Q2727" s="419">
        <f>ROUND(+N2727+O2727+P2727,4)</f>
        <v>0</v>
      </c>
      <c r="R2727" s="419">
        <f>ROUND(IF(+Q2727-H2727&lt;=0,0,Q2727-H2727),4)</f>
        <v>0</v>
      </c>
      <c r="S2727" s="423">
        <v>0.5</v>
      </c>
      <c r="T2727" s="419">
        <f>ROUND(+(R2727*C2727)*S2727,4)</f>
        <v>0</v>
      </c>
      <c r="U2727" s="419">
        <f>ROUND(+J2727+M2727+T2727,4)</f>
        <v>0</v>
      </c>
      <c r="V2727" s="235"/>
    </row>
    <row r="2728" spans="1:22" ht="15.75" x14ac:dyDescent="0.25">
      <c r="A2728" s="231"/>
      <c r="B2728" s="232"/>
      <c r="C2728" s="400"/>
      <c r="D2728" s="233"/>
      <c r="E2728" s="405"/>
      <c r="F2728" s="405"/>
      <c r="G2728" s="405"/>
      <c r="H2728" s="408">
        <f>ROUND(+E2728+F2728+G2728,4)</f>
        <v>0</v>
      </c>
      <c r="I2728" s="234"/>
      <c r="J2728" s="411"/>
      <c r="K2728" s="411"/>
      <c r="L2728" s="414">
        <v>0.1</v>
      </c>
      <c r="M2728" s="414">
        <f>ROUND(+L2728*C2728,4)</f>
        <v>0</v>
      </c>
      <c r="N2728" s="414"/>
      <c r="O2728" s="414"/>
      <c r="P2728" s="414"/>
      <c r="Q2728" s="419">
        <f>ROUND(+N2728+O2728+P2728,4)</f>
        <v>0</v>
      </c>
      <c r="R2728" s="419">
        <f>ROUND(IF(+Q2728-H2728&lt;=0,0,Q2728-H2728),4)</f>
        <v>0</v>
      </c>
      <c r="S2728" s="423">
        <v>0.5</v>
      </c>
      <c r="T2728" s="419">
        <f>ROUND(+(R2728*C2728)*S2728,4)</f>
        <v>0</v>
      </c>
      <c r="U2728" s="419">
        <f>ROUND(+J2728+M2728+T2728,4)</f>
        <v>0</v>
      </c>
      <c r="V2728" s="235"/>
    </row>
    <row r="2729" spans="1:22" ht="15.75" x14ac:dyDescent="0.25">
      <c r="A2729" s="231"/>
      <c r="B2729" s="232"/>
      <c r="C2729" s="400"/>
      <c r="D2729" s="233"/>
      <c r="E2729" s="405"/>
      <c r="F2729" s="405"/>
      <c r="G2729" s="405"/>
      <c r="H2729" s="408">
        <f>ROUND(+E2729+F2729+G2729,4)</f>
        <v>0</v>
      </c>
      <c r="I2729" s="234"/>
      <c r="J2729" s="411"/>
      <c r="K2729" s="411"/>
      <c r="L2729" s="414">
        <v>0.1</v>
      </c>
      <c r="M2729" s="414">
        <f>ROUND(+L2729*C2729,4)</f>
        <v>0</v>
      </c>
      <c r="N2729" s="414"/>
      <c r="O2729" s="414"/>
      <c r="P2729" s="414"/>
      <c r="Q2729" s="419">
        <f>ROUND(+N2729+O2729+P2729,4)</f>
        <v>0</v>
      </c>
      <c r="R2729" s="419">
        <f>ROUND(IF(+Q2729-H2729&lt;=0,0,Q2729-H2729),4)</f>
        <v>0</v>
      </c>
      <c r="S2729" s="423">
        <v>0.5</v>
      </c>
      <c r="T2729" s="419">
        <f>ROUND(+(R2729*C2729)*S2729,4)</f>
        <v>0</v>
      </c>
      <c r="U2729" s="419">
        <f>ROUND(+J2729+M2729+T2729,4)</f>
        <v>0</v>
      </c>
      <c r="V2729" s="235"/>
    </row>
    <row r="2730" spans="1:22" ht="15.75" x14ac:dyDescent="0.25">
      <c r="A2730" s="231"/>
      <c r="B2730" s="232"/>
      <c r="C2730" s="400"/>
      <c r="D2730" s="233"/>
      <c r="E2730" s="405"/>
      <c r="F2730" s="405"/>
      <c r="G2730" s="405"/>
      <c r="H2730" s="408">
        <f>ROUND(+E2730+F2730+G2730,4)</f>
        <v>0</v>
      </c>
      <c r="I2730" s="234"/>
      <c r="J2730" s="411"/>
      <c r="K2730" s="411"/>
      <c r="L2730" s="414">
        <v>0.1</v>
      </c>
      <c r="M2730" s="414">
        <f>ROUND(+L2730*C2730,4)</f>
        <v>0</v>
      </c>
      <c r="N2730" s="414"/>
      <c r="O2730" s="414"/>
      <c r="P2730" s="414"/>
      <c r="Q2730" s="419">
        <f>ROUND(+N2730+O2730+P2730,4)</f>
        <v>0</v>
      </c>
      <c r="R2730" s="419">
        <f>ROUND(IF(+Q2730-H2730&lt;=0,0,Q2730-H2730),4)</f>
        <v>0</v>
      </c>
      <c r="S2730" s="423">
        <v>0.5</v>
      </c>
      <c r="T2730" s="419">
        <f>ROUND(+(R2730*C2730)*S2730,4)</f>
        <v>0</v>
      </c>
      <c r="U2730" s="419">
        <f>ROUND(+J2730+M2730+T2730,4)</f>
        <v>0</v>
      </c>
      <c r="V2730" s="235"/>
    </row>
    <row r="2731" spans="1:22" ht="15.75" x14ac:dyDescent="0.25">
      <c r="A2731" s="231"/>
      <c r="B2731" s="232"/>
      <c r="C2731" s="400"/>
      <c r="D2731" s="233"/>
      <c r="E2731" s="405"/>
      <c r="F2731" s="405"/>
      <c r="G2731" s="405"/>
      <c r="H2731" s="408">
        <f>ROUND(+E2731+F2731+G2731,4)</f>
        <v>0</v>
      </c>
      <c r="I2731" s="234"/>
      <c r="J2731" s="411"/>
      <c r="K2731" s="411"/>
      <c r="L2731" s="414">
        <v>0.1</v>
      </c>
      <c r="M2731" s="414">
        <f>ROUND(+L2731*C2731,4)</f>
        <v>0</v>
      </c>
      <c r="N2731" s="414"/>
      <c r="O2731" s="414"/>
      <c r="P2731" s="414"/>
      <c r="Q2731" s="419">
        <f>ROUND(+N2731+O2731+P2731,4)</f>
        <v>0</v>
      </c>
      <c r="R2731" s="419">
        <f>ROUND(IF(+Q2731-H2731&lt;=0,0,Q2731-H2731),4)</f>
        <v>0</v>
      </c>
      <c r="S2731" s="423">
        <v>0.5</v>
      </c>
      <c r="T2731" s="419">
        <f>ROUND(+(R2731*C2731)*S2731,4)</f>
        <v>0</v>
      </c>
      <c r="U2731" s="419">
        <f>ROUND(+J2731+M2731+T2731,4)</f>
        <v>0</v>
      </c>
      <c r="V2731" s="235"/>
    </row>
    <row r="2732" spans="1:22" ht="15.75" x14ac:dyDescent="0.25">
      <c r="A2732" s="231"/>
      <c r="B2732" s="232"/>
      <c r="C2732" s="400"/>
      <c r="D2732" s="233"/>
      <c r="E2732" s="405"/>
      <c r="F2732" s="405"/>
      <c r="G2732" s="405"/>
      <c r="H2732" s="408">
        <f>ROUND(+E2732+F2732+G2732,4)</f>
        <v>0</v>
      </c>
      <c r="I2732" s="234"/>
      <c r="J2732" s="411"/>
      <c r="K2732" s="411"/>
      <c r="L2732" s="414">
        <v>0.1</v>
      </c>
      <c r="M2732" s="414">
        <f>ROUND(+L2732*C2732,4)</f>
        <v>0</v>
      </c>
      <c r="N2732" s="414"/>
      <c r="O2732" s="414"/>
      <c r="P2732" s="414"/>
      <c r="Q2732" s="419">
        <f>ROUND(+N2732+O2732+P2732,4)</f>
        <v>0</v>
      </c>
      <c r="R2732" s="419">
        <f>ROUND(IF(+Q2732-H2732&lt;=0,0,Q2732-H2732),4)</f>
        <v>0</v>
      </c>
      <c r="S2732" s="423">
        <v>0.5</v>
      </c>
      <c r="T2732" s="419">
        <f>ROUND(+(R2732*C2732)*S2732,4)</f>
        <v>0</v>
      </c>
      <c r="U2732" s="419">
        <f>ROUND(+J2732+M2732+T2732,4)</f>
        <v>0</v>
      </c>
      <c r="V2732" s="235"/>
    </row>
    <row r="2733" spans="1:22" ht="15.75" x14ac:dyDescent="0.25">
      <c r="A2733" s="231"/>
      <c r="B2733" s="232"/>
      <c r="C2733" s="400"/>
      <c r="D2733" s="233"/>
      <c r="E2733" s="405"/>
      <c r="F2733" s="405"/>
      <c r="G2733" s="405"/>
      <c r="H2733" s="408">
        <f>ROUND(+E2733+F2733+G2733,4)</f>
        <v>0</v>
      </c>
      <c r="I2733" s="234"/>
      <c r="J2733" s="411"/>
      <c r="K2733" s="411"/>
      <c r="L2733" s="414">
        <v>0.1</v>
      </c>
      <c r="M2733" s="414">
        <f>ROUND(+L2733*C2733,4)</f>
        <v>0</v>
      </c>
      <c r="N2733" s="414"/>
      <c r="O2733" s="414"/>
      <c r="P2733" s="414"/>
      <c r="Q2733" s="419">
        <f>ROUND(+N2733+O2733+P2733,4)</f>
        <v>0</v>
      </c>
      <c r="R2733" s="419">
        <f>ROUND(IF(+Q2733-H2733&lt;=0,0,Q2733-H2733),4)</f>
        <v>0</v>
      </c>
      <c r="S2733" s="423">
        <v>0.5</v>
      </c>
      <c r="T2733" s="419">
        <f>ROUND(+(R2733*C2733)*S2733,4)</f>
        <v>0</v>
      </c>
      <c r="U2733" s="419">
        <f>ROUND(+J2733+M2733+T2733,4)</f>
        <v>0</v>
      </c>
      <c r="V2733" s="235"/>
    </row>
    <row r="2734" spans="1:22" ht="15.75" x14ac:dyDescent="0.25">
      <c r="A2734" s="231"/>
      <c r="B2734" s="232"/>
      <c r="C2734" s="400"/>
      <c r="D2734" s="233"/>
      <c r="E2734" s="405"/>
      <c r="F2734" s="405"/>
      <c r="G2734" s="405"/>
      <c r="H2734" s="408">
        <f>ROUND(+E2734+F2734+G2734,4)</f>
        <v>0</v>
      </c>
      <c r="I2734" s="234"/>
      <c r="J2734" s="411"/>
      <c r="K2734" s="411"/>
      <c r="L2734" s="414">
        <v>0.1</v>
      </c>
      <c r="M2734" s="414">
        <f>ROUND(+L2734*C2734,4)</f>
        <v>0</v>
      </c>
      <c r="N2734" s="414"/>
      <c r="O2734" s="414"/>
      <c r="P2734" s="414"/>
      <c r="Q2734" s="419">
        <f>ROUND(+N2734+O2734+P2734,4)</f>
        <v>0</v>
      </c>
      <c r="R2734" s="419">
        <f>ROUND(IF(+Q2734-H2734&lt;=0,0,Q2734-H2734),4)</f>
        <v>0</v>
      </c>
      <c r="S2734" s="423">
        <v>0.5</v>
      </c>
      <c r="T2734" s="419">
        <f>ROUND(+(R2734*C2734)*S2734,4)</f>
        <v>0</v>
      </c>
      <c r="U2734" s="419">
        <f>ROUND(+J2734+M2734+T2734,4)</f>
        <v>0</v>
      </c>
      <c r="V2734" s="235"/>
    </row>
    <row r="2735" spans="1:22" ht="15.75" x14ac:dyDescent="0.25">
      <c r="A2735" s="231"/>
      <c r="B2735" s="232"/>
      <c r="C2735" s="400"/>
      <c r="D2735" s="233"/>
      <c r="E2735" s="405"/>
      <c r="F2735" s="405"/>
      <c r="G2735" s="405"/>
      <c r="H2735" s="408">
        <f>ROUND(+E2735+F2735+G2735,4)</f>
        <v>0</v>
      </c>
      <c r="I2735" s="234"/>
      <c r="J2735" s="411"/>
      <c r="K2735" s="411"/>
      <c r="L2735" s="414">
        <v>0.1</v>
      </c>
      <c r="M2735" s="414">
        <f>ROUND(+L2735*C2735,4)</f>
        <v>0</v>
      </c>
      <c r="N2735" s="414"/>
      <c r="O2735" s="414"/>
      <c r="P2735" s="414"/>
      <c r="Q2735" s="419">
        <f>ROUND(+N2735+O2735+P2735,4)</f>
        <v>0</v>
      </c>
      <c r="R2735" s="419">
        <f>ROUND(IF(+Q2735-H2735&lt;=0,0,Q2735-H2735),4)</f>
        <v>0</v>
      </c>
      <c r="S2735" s="423">
        <v>0.5</v>
      </c>
      <c r="T2735" s="419">
        <f>ROUND(+(R2735*C2735)*S2735,4)</f>
        <v>0</v>
      </c>
      <c r="U2735" s="419">
        <f>ROUND(+J2735+M2735+T2735,4)</f>
        <v>0</v>
      </c>
      <c r="V2735" s="235"/>
    </row>
    <row r="2736" spans="1:22" ht="15.75" x14ac:dyDescent="0.25">
      <c r="A2736" s="231"/>
      <c r="B2736" s="232"/>
      <c r="C2736" s="400"/>
      <c r="D2736" s="233"/>
      <c r="E2736" s="405"/>
      <c r="F2736" s="405"/>
      <c r="G2736" s="405"/>
      <c r="H2736" s="408">
        <f>ROUND(+E2736+F2736+G2736,4)</f>
        <v>0</v>
      </c>
      <c r="I2736" s="234"/>
      <c r="J2736" s="411"/>
      <c r="K2736" s="411"/>
      <c r="L2736" s="414">
        <v>0.1</v>
      </c>
      <c r="M2736" s="414">
        <f>ROUND(+L2736*C2736,4)</f>
        <v>0</v>
      </c>
      <c r="N2736" s="414"/>
      <c r="O2736" s="414"/>
      <c r="P2736" s="414"/>
      <c r="Q2736" s="419">
        <f>ROUND(+N2736+O2736+P2736,4)</f>
        <v>0</v>
      </c>
      <c r="R2736" s="419">
        <f>ROUND(IF(+Q2736-H2736&lt;=0,0,Q2736-H2736),4)</f>
        <v>0</v>
      </c>
      <c r="S2736" s="423">
        <v>0.5</v>
      </c>
      <c r="T2736" s="419">
        <f>ROUND(+(R2736*C2736)*S2736,4)</f>
        <v>0</v>
      </c>
      <c r="U2736" s="419">
        <f>ROUND(+J2736+M2736+T2736,4)</f>
        <v>0</v>
      </c>
      <c r="V2736" s="235"/>
    </row>
    <row r="2737" spans="1:22" ht="15.75" x14ac:dyDescent="0.25">
      <c r="A2737" s="231"/>
      <c r="B2737" s="232"/>
      <c r="C2737" s="400"/>
      <c r="D2737" s="233"/>
      <c r="E2737" s="405"/>
      <c r="F2737" s="405"/>
      <c r="G2737" s="405"/>
      <c r="H2737" s="408">
        <f>ROUND(+E2737+F2737+G2737,4)</f>
        <v>0</v>
      </c>
      <c r="I2737" s="234"/>
      <c r="J2737" s="411"/>
      <c r="K2737" s="411"/>
      <c r="L2737" s="414">
        <v>0.1</v>
      </c>
      <c r="M2737" s="414">
        <f>ROUND(+L2737*C2737,4)</f>
        <v>0</v>
      </c>
      <c r="N2737" s="414"/>
      <c r="O2737" s="414"/>
      <c r="P2737" s="414"/>
      <c r="Q2737" s="419">
        <f>ROUND(+N2737+O2737+P2737,4)</f>
        <v>0</v>
      </c>
      <c r="R2737" s="419">
        <f>ROUND(IF(+Q2737-H2737&lt;=0,0,Q2737-H2737),4)</f>
        <v>0</v>
      </c>
      <c r="S2737" s="423">
        <v>0.5</v>
      </c>
      <c r="T2737" s="419">
        <f>ROUND(+(R2737*C2737)*S2737,4)</f>
        <v>0</v>
      </c>
      <c r="U2737" s="419">
        <f>ROUND(+J2737+M2737+T2737,4)</f>
        <v>0</v>
      </c>
      <c r="V2737" s="235"/>
    </row>
    <row r="2738" spans="1:22" ht="15.75" x14ac:dyDescent="0.25">
      <c r="A2738" s="231"/>
      <c r="B2738" s="232"/>
      <c r="C2738" s="400"/>
      <c r="D2738" s="233"/>
      <c r="E2738" s="405"/>
      <c r="F2738" s="405"/>
      <c r="G2738" s="405"/>
      <c r="H2738" s="408">
        <f>ROUND(+E2738+F2738+G2738,4)</f>
        <v>0</v>
      </c>
      <c r="I2738" s="234"/>
      <c r="J2738" s="411"/>
      <c r="K2738" s="411"/>
      <c r="L2738" s="414">
        <v>0.1</v>
      </c>
      <c r="M2738" s="414">
        <f>ROUND(+L2738*C2738,4)</f>
        <v>0</v>
      </c>
      <c r="N2738" s="414"/>
      <c r="O2738" s="414"/>
      <c r="P2738" s="414"/>
      <c r="Q2738" s="419">
        <f>ROUND(+N2738+O2738+P2738,4)</f>
        <v>0</v>
      </c>
      <c r="R2738" s="419">
        <f>ROUND(IF(+Q2738-H2738&lt;=0,0,Q2738-H2738),4)</f>
        <v>0</v>
      </c>
      <c r="S2738" s="423">
        <v>0.5</v>
      </c>
      <c r="T2738" s="419">
        <f>ROUND(+(R2738*C2738)*S2738,4)</f>
        <v>0</v>
      </c>
      <c r="U2738" s="419">
        <f>ROUND(+J2738+M2738+T2738,4)</f>
        <v>0</v>
      </c>
      <c r="V2738" s="235"/>
    </row>
    <row r="2739" spans="1:22" ht="15.75" x14ac:dyDescent="0.25">
      <c r="A2739" s="231"/>
      <c r="B2739" s="232"/>
      <c r="C2739" s="400"/>
      <c r="D2739" s="233"/>
      <c r="E2739" s="405"/>
      <c r="F2739" s="405"/>
      <c r="G2739" s="405"/>
      <c r="H2739" s="408">
        <f>ROUND(+E2739+F2739+G2739,4)</f>
        <v>0</v>
      </c>
      <c r="I2739" s="234"/>
      <c r="J2739" s="411"/>
      <c r="K2739" s="411"/>
      <c r="L2739" s="414">
        <v>0.1</v>
      </c>
      <c r="M2739" s="414">
        <f>ROUND(+L2739*C2739,4)</f>
        <v>0</v>
      </c>
      <c r="N2739" s="414"/>
      <c r="O2739" s="414"/>
      <c r="P2739" s="414"/>
      <c r="Q2739" s="419">
        <f>ROUND(+N2739+O2739+P2739,4)</f>
        <v>0</v>
      </c>
      <c r="R2739" s="419">
        <f>ROUND(IF(+Q2739-H2739&lt;=0,0,Q2739-H2739),4)</f>
        <v>0</v>
      </c>
      <c r="S2739" s="423">
        <v>0.5</v>
      </c>
      <c r="T2739" s="419">
        <f>ROUND(+(R2739*C2739)*S2739,4)</f>
        <v>0</v>
      </c>
      <c r="U2739" s="419">
        <f>ROUND(+J2739+M2739+T2739,4)</f>
        <v>0</v>
      </c>
      <c r="V2739" s="235"/>
    </row>
    <row r="2740" spans="1:22" ht="15.75" x14ac:dyDescent="0.25">
      <c r="A2740" s="231"/>
      <c r="B2740" s="232"/>
      <c r="C2740" s="400"/>
      <c r="D2740" s="233"/>
      <c r="E2740" s="405"/>
      <c r="F2740" s="405"/>
      <c r="G2740" s="405"/>
      <c r="H2740" s="408">
        <f>ROUND(+E2740+F2740+G2740,4)</f>
        <v>0</v>
      </c>
      <c r="I2740" s="234"/>
      <c r="J2740" s="411"/>
      <c r="K2740" s="411"/>
      <c r="L2740" s="414">
        <v>0.1</v>
      </c>
      <c r="M2740" s="414">
        <f>ROUND(+L2740*C2740,4)</f>
        <v>0</v>
      </c>
      <c r="N2740" s="414"/>
      <c r="O2740" s="414"/>
      <c r="P2740" s="414"/>
      <c r="Q2740" s="419">
        <f>ROUND(+N2740+O2740+P2740,4)</f>
        <v>0</v>
      </c>
      <c r="R2740" s="419">
        <f>ROUND(IF(+Q2740-H2740&lt;=0,0,Q2740-H2740),4)</f>
        <v>0</v>
      </c>
      <c r="S2740" s="423">
        <v>0.5</v>
      </c>
      <c r="T2740" s="419">
        <f>ROUND(+(R2740*C2740)*S2740,4)</f>
        <v>0</v>
      </c>
      <c r="U2740" s="419">
        <f>ROUND(+J2740+M2740+T2740,4)</f>
        <v>0</v>
      </c>
      <c r="V2740" s="235"/>
    </row>
    <row r="2741" spans="1:22" ht="15.75" x14ac:dyDescent="0.25">
      <c r="A2741" s="231"/>
      <c r="B2741" s="232"/>
      <c r="C2741" s="400"/>
      <c r="D2741" s="233"/>
      <c r="E2741" s="405"/>
      <c r="F2741" s="405"/>
      <c r="G2741" s="405"/>
      <c r="H2741" s="408">
        <f>ROUND(+E2741+F2741+G2741,4)</f>
        <v>0</v>
      </c>
      <c r="I2741" s="234"/>
      <c r="J2741" s="411"/>
      <c r="K2741" s="411"/>
      <c r="L2741" s="414">
        <v>0.1</v>
      </c>
      <c r="M2741" s="414">
        <f>ROUND(+L2741*C2741,4)</f>
        <v>0</v>
      </c>
      <c r="N2741" s="414"/>
      <c r="O2741" s="414"/>
      <c r="P2741" s="414"/>
      <c r="Q2741" s="419">
        <f>ROUND(+N2741+O2741+P2741,4)</f>
        <v>0</v>
      </c>
      <c r="R2741" s="419">
        <f>ROUND(IF(+Q2741-H2741&lt;=0,0,Q2741-H2741),4)</f>
        <v>0</v>
      </c>
      <c r="S2741" s="423">
        <v>0.5</v>
      </c>
      <c r="T2741" s="419">
        <f>ROUND(+(R2741*C2741)*S2741,4)</f>
        <v>0</v>
      </c>
      <c r="U2741" s="419">
        <f>ROUND(+J2741+M2741+T2741,4)</f>
        <v>0</v>
      </c>
      <c r="V2741" s="235"/>
    </row>
    <row r="2742" spans="1:22" ht="15.75" x14ac:dyDescent="0.25">
      <c r="A2742" s="231"/>
      <c r="B2742" s="232"/>
      <c r="C2742" s="400"/>
      <c r="D2742" s="233"/>
      <c r="E2742" s="405"/>
      <c r="F2742" s="405"/>
      <c r="G2742" s="405"/>
      <c r="H2742" s="408">
        <f>ROUND(+E2742+F2742+G2742,4)</f>
        <v>0</v>
      </c>
      <c r="I2742" s="234"/>
      <c r="J2742" s="411"/>
      <c r="K2742" s="411"/>
      <c r="L2742" s="414">
        <v>0.1</v>
      </c>
      <c r="M2742" s="414">
        <f>ROUND(+L2742*C2742,4)</f>
        <v>0</v>
      </c>
      <c r="N2742" s="414"/>
      <c r="O2742" s="414"/>
      <c r="P2742" s="414"/>
      <c r="Q2742" s="419">
        <f>ROUND(+N2742+O2742+P2742,4)</f>
        <v>0</v>
      </c>
      <c r="R2742" s="419">
        <f>ROUND(IF(+Q2742-H2742&lt;=0,0,Q2742-H2742),4)</f>
        <v>0</v>
      </c>
      <c r="S2742" s="423">
        <v>0.5</v>
      </c>
      <c r="T2742" s="419">
        <f>ROUND(+(R2742*C2742)*S2742,4)</f>
        <v>0</v>
      </c>
      <c r="U2742" s="419">
        <f>ROUND(+J2742+M2742+T2742,4)</f>
        <v>0</v>
      </c>
      <c r="V2742" s="235"/>
    </row>
    <row r="2743" spans="1:22" ht="15.75" x14ac:dyDescent="0.25">
      <c r="A2743" s="231"/>
      <c r="B2743" s="232"/>
      <c r="C2743" s="400"/>
      <c r="D2743" s="233"/>
      <c r="E2743" s="405"/>
      <c r="F2743" s="405"/>
      <c r="G2743" s="405"/>
      <c r="H2743" s="408">
        <f>ROUND(+E2743+F2743+G2743,4)</f>
        <v>0</v>
      </c>
      <c r="I2743" s="234"/>
      <c r="J2743" s="411"/>
      <c r="K2743" s="411"/>
      <c r="L2743" s="414">
        <v>0.1</v>
      </c>
      <c r="M2743" s="414">
        <f>ROUND(+L2743*C2743,4)</f>
        <v>0</v>
      </c>
      <c r="N2743" s="414"/>
      <c r="O2743" s="414"/>
      <c r="P2743" s="414"/>
      <c r="Q2743" s="419">
        <f>ROUND(+N2743+O2743+P2743,4)</f>
        <v>0</v>
      </c>
      <c r="R2743" s="419">
        <f>ROUND(IF(+Q2743-H2743&lt;=0,0,Q2743-H2743),4)</f>
        <v>0</v>
      </c>
      <c r="S2743" s="423">
        <v>0.5</v>
      </c>
      <c r="T2743" s="419">
        <f>ROUND(+(R2743*C2743)*S2743,4)</f>
        <v>0</v>
      </c>
      <c r="U2743" s="419">
        <f>ROUND(+J2743+M2743+T2743,4)</f>
        <v>0</v>
      </c>
      <c r="V2743" s="235"/>
    </row>
    <row r="2744" spans="1:22" ht="15.75" x14ac:dyDescent="0.25">
      <c r="A2744" s="231"/>
      <c r="B2744" s="232"/>
      <c r="C2744" s="400"/>
      <c r="D2744" s="233"/>
      <c r="E2744" s="405"/>
      <c r="F2744" s="405"/>
      <c r="G2744" s="405"/>
      <c r="H2744" s="408">
        <f>ROUND(+E2744+F2744+G2744,4)</f>
        <v>0</v>
      </c>
      <c r="I2744" s="234"/>
      <c r="J2744" s="411"/>
      <c r="K2744" s="411"/>
      <c r="L2744" s="414">
        <v>0.1</v>
      </c>
      <c r="M2744" s="414">
        <f>ROUND(+L2744*C2744,4)</f>
        <v>0</v>
      </c>
      <c r="N2744" s="414"/>
      <c r="O2744" s="414"/>
      <c r="P2744" s="414"/>
      <c r="Q2744" s="419">
        <f>ROUND(+N2744+O2744+P2744,4)</f>
        <v>0</v>
      </c>
      <c r="R2744" s="419">
        <f>ROUND(IF(+Q2744-H2744&lt;=0,0,Q2744-H2744),4)</f>
        <v>0</v>
      </c>
      <c r="S2744" s="423">
        <v>0.5</v>
      </c>
      <c r="T2744" s="419">
        <f>ROUND(+(R2744*C2744)*S2744,4)</f>
        <v>0</v>
      </c>
      <c r="U2744" s="419">
        <f>ROUND(+J2744+M2744+T2744,4)</f>
        <v>0</v>
      </c>
      <c r="V2744" s="235"/>
    </row>
    <row r="2745" spans="1:22" ht="15.75" x14ac:dyDescent="0.25">
      <c r="A2745" s="231"/>
      <c r="B2745" s="232"/>
      <c r="C2745" s="400"/>
      <c r="D2745" s="233"/>
      <c r="E2745" s="405"/>
      <c r="F2745" s="405"/>
      <c r="G2745" s="405"/>
      <c r="H2745" s="408">
        <f>ROUND(+E2745+F2745+G2745,4)</f>
        <v>0</v>
      </c>
      <c r="I2745" s="234"/>
      <c r="J2745" s="411"/>
      <c r="K2745" s="411"/>
      <c r="L2745" s="414">
        <v>0.1</v>
      </c>
      <c r="M2745" s="414">
        <f>ROUND(+L2745*C2745,4)</f>
        <v>0</v>
      </c>
      <c r="N2745" s="414"/>
      <c r="O2745" s="414"/>
      <c r="P2745" s="414"/>
      <c r="Q2745" s="419">
        <f>ROUND(+N2745+O2745+P2745,4)</f>
        <v>0</v>
      </c>
      <c r="R2745" s="419">
        <f>ROUND(IF(+Q2745-H2745&lt;=0,0,Q2745-H2745),4)</f>
        <v>0</v>
      </c>
      <c r="S2745" s="423">
        <v>0.5</v>
      </c>
      <c r="T2745" s="419">
        <f>ROUND(+(R2745*C2745)*S2745,4)</f>
        <v>0</v>
      </c>
      <c r="U2745" s="419">
        <f>ROUND(+J2745+M2745+T2745,4)</f>
        <v>0</v>
      </c>
      <c r="V2745" s="235"/>
    </row>
    <row r="2746" spans="1:22" ht="15.75" x14ac:dyDescent="0.25">
      <c r="A2746" s="231"/>
      <c r="B2746" s="232"/>
      <c r="C2746" s="400"/>
      <c r="D2746" s="233"/>
      <c r="E2746" s="405"/>
      <c r="F2746" s="405"/>
      <c r="G2746" s="405"/>
      <c r="H2746" s="408">
        <f>ROUND(+E2746+F2746+G2746,4)</f>
        <v>0</v>
      </c>
      <c r="I2746" s="234"/>
      <c r="J2746" s="411"/>
      <c r="K2746" s="411"/>
      <c r="L2746" s="414">
        <v>0.1</v>
      </c>
      <c r="M2746" s="414">
        <f>ROUND(+L2746*C2746,4)</f>
        <v>0</v>
      </c>
      <c r="N2746" s="414"/>
      <c r="O2746" s="414"/>
      <c r="P2746" s="414"/>
      <c r="Q2746" s="419">
        <f>ROUND(+N2746+O2746+P2746,4)</f>
        <v>0</v>
      </c>
      <c r="R2746" s="419">
        <f>ROUND(IF(+Q2746-H2746&lt;=0,0,Q2746-H2746),4)</f>
        <v>0</v>
      </c>
      <c r="S2746" s="423">
        <v>0.5</v>
      </c>
      <c r="T2746" s="419">
        <f>ROUND(+(R2746*C2746)*S2746,4)</f>
        <v>0</v>
      </c>
      <c r="U2746" s="419">
        <f>ROUND(+J2746+M2746+T2746,4)</f>
        <v>0</v>
      </c>
      <c r="V2746" s="235"/>
    </row>
    <row r="2747" spans="1:22" ht="15.75" x14ac:dyDescent="0.25">
      <c r="A2747" s="231"/>
      <c r="B2747" s="232"/>
      <c r="C2747" s="400"/>
      <c r="D2747" s="233"/>
      <c r="E2747" s="405"/>
      <c r="F2747" s="405"/>
      <c r="G2747" s="405"/>
      <c r="H2747" s="408">
        <f>ROUND(+E2747+F2747+G2747,4)</f>
        <v>0</v>
      </c>
      <c r="I2747" s="234"/>
      <c r="J2747" s="411"/>
      <c r="K2747" s="411"/>
      <c r="L2747" s="414">
        <v>0.1</v>
      </c>
      <c r="M2747" s="414">
        <f>ROUND(+L2747*C2747,4)</f>
        <v>0</v>
      </c>
      <c r="N2747" s="414"/>
      <c r="O2747" s="414"/>
      <c r="P2747" s="414"/>
      <c r="Q2747" s="419">
        <f>ROUND(+N2747+O2747+P2747,4)</f>
        <v>0</v>
      </c>
      <c r="R2747" s="419">
        <f>ROUND(IF(+Q2747-H2747&lt;=0,0,Q2747-H2747),4)</f>
        <v>0</v>
      </c>
      <c r="S2747" s="423">
        <v>0.5</v>
      </c>
      <c r="T2747" s="419">
        <f>ROUND(+(R2747*C2747)*S2747,4)</f>
        <v>0</v>
      </c>
      <c r="U2747" s="419">
        <f>ROUND(+J2747+M2747+T2747,4)</f>
        <v>0</v>
      </c>
      <c r="V2747" s="235"/>
    </row>
    <row r="2748" spans="1:22" ht="15.75" x14ac:dyDescent="0.25">
      <c r="A2748" s="231"/>
      <c r="B2748" s="232"/>
      <c r="C2748" s="400"/>
      <c r="D2748" s="233"/>
      <c r="E2748" s="405"/>
      <c r="F2748" s="405"/>
      <c r="G2748" s="405"/>
      <c r="H2748" s="408">
        <f>ROUND(+E2748+F2748+G2748,4)</f>
        <v>0</v>
      </c>
      <c r="I2748" s="234"/>
      <c r="J2748" s="411"/>
      <c r="K2748" s="411"/>
      <c r="L2748" s="414">
        <v>0.1</v>
      </c>
      <c r="M2748" s="414">
        <f>ROUND(+L2748*C2748,4)</f>
        <v>0</v>
      </c>
      <c r="N2748" s="414"/>
      <c r="O2748" s="414"/>
      <c r="P2748" s="414"/>
      <c r="Q2748" s="419">
        <f>ROUND(+N2748+O2748+P2748,4)</f>
        <v>0</v>
      </c>
      <c r="R2748" s="419">
        <f>ROUND(IF(+Q2748-H2748&lt;=0,0,Q2748-H2748),4)</f>
        <v>0</v>
      </c>
      <c r="S2748" s="423">
        <v>0.5</v>
      </c>
      <c r="T2748" s="419">
        <f>ROUND(+(R2748*C2748)*S2748,4)</f>
        <v>0</v>
      </c>
      <c r="U2748" s="419">
        <f>ROUND(+J2748+M2748+T2748,4)</f>
        <v>0</v>
      </c>
      <c r="V2748" s="235"/>
    </row>
    <row r="2749" spans="1:22" ht="15.75" x14ac:dyDescent="0.25">
      <c r="A2749" s="231"/>
      <c r="B2749" s="232"/>
      <c r="C2749" s="400"/>
      <c r="D2749" s="233"/>
      <c r="E2749" s="405"/>
      <c r="F2749" s="405"/>
      <c r="G2749" s="405"/>
      <c r="H2749" s="408">
        <f>ROUND(+E2749+F2749+G2749,4)</f>
        <v>0</v>
      </c>
      <c r="I2749" s="234"/>
      <c r="J2749" s="411"/>
      <c r="K2749" s="411"/>
      <c r="L2749" s="414">
        <v>0.1</v>
      </c>
      <c r="M2749" s="414">
        <f>ROUND(+L2749*C2749,4)</f>
        <v>0</v>
      </c>
      <c r="N2749" s="414"/>
      <c r="O2749" s="414"/>
      <c r="P2749" s="414"/>
      <c r="Q2749" s="419">
        <f>ROUND(+N2749+O2749+P2749,4)</f>
        <v>0</v>
      </c>
      <c r="R2749" s="419">
        <f>ROUND(IF(+Q2749-H2749&lt;=0,0,Q2749-H2749),4)</f>
        <v>0</v>
      </c>
      <c r="S2749" s="423">
        <v>0.5</v>
      </c>
      <c r="T2749" s="419">
        <f>ROUND(+(R2749*C2749)*S2749,4)</f>
        <v>0</v>
      </c>
      <c r="U2749" s="419">
        <f>ROUND(+J2749+M2749+T2749,4)</f>
        <v>0</v>
      </c>
      <c r="V2749" s="235"/>
    </row>
    <row r="2750" spans="1:22" ht="15.75" x14ac:dyDescent="0.25">
      <c r="A2750" s="231"/>
      <c r="B2750" s="232"/>
      <c r="C2750" s="400"/>
      <c r="D2750" s="233"/>
      <c r="E2750" s="405"/>
      <c r="F2750" s="405"/>
      <c r="G2750" s="405"/>
      <c r="H2750" s="408">
        <f>ROUND(+E2750+F2750+G2750,4)</f>
        <v>0</v>
      </c>
      <c r="I2750" s="234"/>
      <c r="J2750" s="411"/>
      <c r="K2750" s="411"/>
      <c r="L2750" s="414">
        <v>0.1</v>
      </c>
      <c r="M2750" s="414">
        <f>ROUND(+L2750*C2750,4)</f>
        <v>0</v>
      </c>
      <c r="N2750" s="414"/>
      <c r="O2750" s="414"/>
      <c r="P2750" s="414"/>
      <c r="Q2750" s="419">
        <f>ROUND(+N2750+O2750+P2750,4)</f>
        <v>0</v>
      </c>
      <c r="R2750" s="419">
        <f>ROUND(IF(+Q2750-H2750&lt;=0,0,Q2750-H2750),4)</f>
        <v>0</v>
      </c>
      <c r="S2750" s="423">
        <v>0.5</v>
      </c>
      <c r="T2750" s="419">
        <f>ROUND(+(R2750*C2750)*S2750,4)</f>
        <v>0</v>
      </c>
      <c r="U2750" s="419">
        <f>ROUND(+J2750+M2750+T2750,4)</f>
        <v>0</v>
      </c>
      <c r="V2750" s="235"/>
    </row>
    <row r="2751" spans="1:22" ht="15.75" x14ac:dyDescent="0.25">
      <c r="A2751" s="231"/>
      <c r="B2751" s="232"/>
      <c r="C2751" s="400"/>
      <c r="D2751" s="233"/>
      <c r="E2751" s="405"/>
      <c r="F2751" s="405"/>
      <c r="G2751" s="405"/>
      <c r="H2751" s="408">
        <f>ROUND(+E2751+F2751+G2751,4)</f>
        <v>0</v>
      </c>
      <c r="I2751" s="234"/>
      <c r="J2751" s="411"/>
      <c r="K2751" s="411"/>
      <c r="L2751" s="414">
        <v>0.1</v>
      </c>
      <c r="M2751" s="414">
        <f>ROUND(+L2751*C2751,4)</f>
        <v>0</v>
      </c>
      <c r="N2751" s="414"/>
      <c r="O2751" s="414"/>
      <c r="P2751" s="414"/>
      <c r="Q2751" s="419">
        <f>ROUND(+N2751+O2751+P2751,4)</f>
        <v>0</v>
      </c>
      <c r="R2751" s="419">
        <f>ROUND(IF(+Q2751-H2751&lt;=0,0,Q2751-H2751),4)</f>
        <v>0</v>
      </c>
      <c r="S2751" s="423">
        <v>0.5</v>
      </c>
      <c r="T2751" s="419">
        <f>ROUND(+(R2751*C2751)*S2751,4)</f>
        <v>0</v>
      </c>
      <c r="U2751" s="419">
        <f>ROUND(+J2751+M2751+T2751,4)</f>
        <v>0</v>
      </c>
      <c r="V2751" s="235"/>
    </row>
    <row r="2752" spans="1:22" ht="15.75" x14ac:dyDescent="0.25">
      <c r="A2752" s="231"/>
      <c r="B2752" s="232"/>
      <c r="C2752" s="400"/>
      <c r="D2752" s="233"/>
      <c r="E2752" s="405"/>
      <c r="F2752" s="405"/>
      <c r="G2752" s="405"/>
      <c r="H2752" s="408">
        <f>ROUND(+E2752+F2752+G2752,4)</f>
        <v>0</v>
      </c>
      <c r="I2752" s="234"/>
      <c r="J2752" s="411"/>
      <c r="K2752" s="411"/>
      <c r="L2752" s="414">
        <v>0.1</v>
      </c>
      <c r="M2752" s="414">
        <f>ROUND(+L2752*C2752,4)</f>
        <v>0</v>
      </c>
      <c r="N2752" s="414"/>
      <c r="O2752" s="414"/>
      <c r="P2752" s="414"/>
      <c r="Q2752" s="419">
        <f>ROUND(+N2752+O2752+P2752,4)</f>
        <v>0</v>
      </c>
      <c r="R2752" s="419">
        <f>ROUND(IF(+Q2752-H2752&lt;=0,0,Q2752-H2752),4)</f>
        <v>0</v>
      </c>
      <c r="S2752" s="423">
        <v>0.5</v>
      </c>
      <c r="T2752" s="419">
        <f>ROUND(+(R2752*C2752)*S2752,4)</f>
        <v>0</v>
      </c>
      <c r="U2752" s="419">
        <f>ROUND(+J2752+M2752+T2752,4)</f>
        <v>0</v>
      </c>
      <c r="V2752" s="235"/>
    </row>
    <row r="2753" spans="1:22" ht="15.75" x14ac:dyDescent="0.25">
      <c r="A2753" s="231"/>
      <c r="B2753" s="232"/>
      <c r="C2753" s="400"/>
      <c r="D2753" s="233"/>
      <c r="E2753" s="405"/>
      <c r="F2753" s="405"/>
      <c r="G2753" s="405"/>
      <c r="H2753" s="408">
        <f>ROUND(+E2753+F2753+G2753,4)</f>
        <v>0</v>
      </c>
      <c r="I2753" s="234"/>
      <c r="J2753" s="411"/>
      <c r="K2753" s="411"/>
      <c r="L2753" s="414">
        <v>0.1</v>
      </c>
      <c r="M2753" s="414">
        <f>ROUND(+L2753*C2753,4)</f>
        <v>0</v>
      </c>
      <c r="N2753" s="414"/>
      <c r="O2753" s="414"/>
      <c r="P2753" s="414"/>
      <c r="Q2753" s="419">
        <f>ROUND(+N2753+O2753+P2753,4)</f>
        <v>0</v>
      </c>
      <c r="R2753" s="419">
        <f>ROUND(IF(+Q2753-H2753&lt;=0,0,Q2753-H2753),4)</f>
        <v>0</v>
      </c>
      <c r="S2753" s="423">
        <v>0.5</v>
      </c>
      <c r="T2753" s="419">
        <f>ROUND(+(R2753*C2753)*S2753,4)</f>
        <v>0</v>
      </c>
      <c r="U2753" s="419">
        <f>ROUND(+J2753+M2753+T2753,4)</f>
        <v>0</v>
      </c>
      <c r="V2753" s="235"/>
    </row>
    <row r="2754" spans="1:22" ht="15.75" x14ac:dyDescent="0.25">
      <c r="A2754" s="231"/>
      <c r="B2754" s="232"/>
      <c r="C2754" s="400"/>
      <c r="D2754" s="233"/>
      <c r="E2754" s="405"/>
      <c r="F2754" s="405"/>
      <c r="G2754" s="405"/>
      <c r="H2754" s="408">
        <f>ROUND(+E2754+F2754+G2754,4)</f>
        <v>0</v>
      </c>
      <c r="I2754" s="234"/>
      <c r="J2754" s="411"/>
      <c r="K2754" s="411"/>
      <c r="L2754" s="414">
        <v>0.1</v>
      </c>
      <c r="M2754" s="414">
        <f>ROUND(+L2754*C2754,4)</f>
        <v>0</v>
      </c>
      <c r="N2754" s="414"/>
      <c r="O2754" s="414"/>
      <c r="P2754" s="414"/>
      <c r="Q2754" s="419">
        <f>ROUND(+N2754+O2754+P2754,4)</f>
        <v>0</v>
      </c>
      <c r="R2754" s="419">
        <f>ROUND(IF(+Q2754-H2754&lt;=0,0,Q2754-H2754),4)</f>
        <v>0</v>
      </c>
      <c r="S2754" s="423">
        <v>0.5</v>
      </c>
      <c r="T2754" s="419">
        <f>ROUND(+(R2754*C2754)*S2754,4)</f>
        <v>0</v>
      </c>
      <c r="U2754" s="419">
        <f>ROUND(+J2754+M2754+T2754,4)</f>
        <v>0</v>
      </c>
      <c r="V2754" s="235"/>
    </row>
    <row r="2755" spans="1:22" ht="15.75" x14ac:dyDescent="0.25">
      <c r="A2755" s="231"/>
      <c r="B2755" s="232"/>
      <c r="C2755" s="400"/>
      <c r="D2755" s="233"/>
      <c r="E2755" s="405"/>
      <c r="F2755" s="405"/>
      <c r="G2755" s="405"/>
      <c r="H2755" s="408">
        <f>ROUND(+E2755+F2755+G2755,4)</f>
        <v>0</v>
      </c>
      <c r="I2755" s="234"/>
      <c r="J2755" s="411"/>
      <c r="K2755" s="411"/>
      <c r="L2755" s="414">
        <v>0.1</v>
      </c>
      <c r="M2755" s="414">
        <f>ROUND(+L2755*C2755,4)</f>
        <v>0</v>
      </c>
      <c r="N2755" s="414"/>
      <c r="O2755" s="414"/>
      <c r="P2755" s="414"/>
      <c r="Q2755" s="419">
        <f>ROUND(+N2755+O2755+P2755,4)</f>
        <v>0</v>
      </c>
      <c r="R2755" s="419">
        <f>ROUND(IF(+Q2755-H2755&lt;=0,0,Q2755-H2755),4)</f>
        <v>0</v>
      </c>
      <c r="S2755" s="423">
        <v>0.5</v>
      </c>
      <c r="T2755" s="419">
        <f>ROUND(+(R2755*C2755)*S2755,4)</f>
        <v>0</v>
      </c>
      <c r="U2755" s="419">
        <f>ROUND(+J2755+M2755+T2755,4)</f>
        <v>0</v>
      </c>
      <c r="V2755" s="235"/>
    </row>
    <row r="2756" spans="1:22" ht="15.75" x14ac:dyDescent="0.25">
      <c r="A2756" s="231"/>
      <c r="B2756" s="232"/>
      <c r="C2756" s="400"/>
      <c r="D2756" s="233"/>
      <c r="E2756" s="405"/>
      <c r="F2756" s="405"/>
      <c r="G2756" s="405"/>
      <c r="H2756" s="408">
        <f>ROUND(+E2756+F2756+G2756,4)</f>
        <v>0</v>
      </c>
      <c r="I2756" s="234"/>
      <c r="J2756" s="411"/>
      <c r="K2756" s="411"/>
      <c r="L2756" s="414">
        <v>0.1</v>
      </c>
      <c r="M2756" s="414">
        <f>ROUND(+L2756*C2756,4)</f>
        <v>0</v>
      </c>
      <c r="N2756" s="414"/>
      <c r="O2756" s="414"/>
      <c r="P2756" s="414"/>
      <c r="Q2756" s="419">
        <f>ROUND(+N2756+O2756+P2756,4)</f>
        <v>0</v>
      </c>
      <c r="R2756" s="419">
        <f>ROUND(IF(+Q2756-H2756&lt;=0,0,Q2756-H2756),4)</f>
        <v>0</v>
      </c>
      <c r="S2756" s="423">
        <v>0.5</v>
      </c>
      <c r="T2756" s="419">
        <f>ROUND(+(R2756*C2756)*S2756,4)</f>
        <v>0</v>
      </c>
      <c r="U2756" s="419">
        <f>ROUND(+J2756+M2756+T2756,4)</f>
        <v>0</v>
      </c>
      <c r="V2756" s="235"/>
    </row>
    <row r="2757" spans="1:22" ht="15.75" x14ac:dyDescent="0.25">
      <c r="A2757" s="231"/>
      <c r="B2757" s="232"/>
      <c r="C2757" s="400"/>
      <c r="D2757" s="233"/>
      <c r="E2757" s="405"/>
      <c r="F2757" s="405"/>
      <c r="G2757" s="405"/>
      <c r="H2757" s="408">
        <f>ROUND(+E2757+F2757+G2757,4)</f>
        <v>0</v>
      </c>
      <c r="I2757" s="234"/>
      <c r="J2757" s="411"/>
      <c r="K2757" s="411"/>
      <c r="L2757" s="414">
        <v>0.1</v>
      </c>
      <c r="M2757" s="414">
        <f>ROUND(+L2757*C2757,4)</f>
        <v>0</v>
      </c>
      <c r="N2757" s="414"/>
      <c r="O2757" s="414"/>
      <c r="P2757" s="414"/>
      <c r="Q2757" s="419">
        <f>ROUND(+N2757+O2757+P2757,4)</f>
        <v>0</v>
      </c>
      <c r="R2757" s="419">
        <f>ROUND(IF(+Q2757-H2757&lt;=0,0,Q2757-H2757),4)</f>
        <v>0</v>
      </c>
      <c r="S2757" s="423">
        <v>0.5</v>
      </c>
      <c r="T2757" s="419">
        <f>ROUND(+(R2757*C2757)*S2757,4)</f>
        <v>0</v>
      </c>
      <c r="U2757" s="419">
        <f>ROUND(+J2757+M2757+T2757,4)</f>
        <v>0</v>
      </c>
      <c r="V2757" s="235"/>
    </row>
    <row r="2758" spans="1:22" ht="15.75" x14ac:dyDescent="0.25">
      <c r="A2758" s="231"/>
      <c r="B2758" s="232"/>
      <c r="C2758" s="400"/>
      <c r="D2758" s="233"/>
      <c r="E2758" s="405"/>
      <c r="F2758" s="405"/>
      <c r="G2758" s="405"/>
      <c r="H2758" s="408">
        <f>ROUND(+E2758+F2758+G2758,4)</f>
        <v>0</v>
      </c>
      <c r="I2758" s="234"/>
      <c r="J2758" s="411"/>
      <c r="K2758" s="411"/>
      <c r="L2758" s="414">
        <v>0.1</v>
      </c>
      <c r="M2758" s="414">
        <f>ROUND(+L2758*C2758,4)</f>
        <v>0</v>
      </c>
      <c r="N2758" s="414"/>
      <c r="O2758" s="414"/>
      <c r="P2758" s="414"/>
      <c r="Q2758" s="419">
        <f>ROUND(+N2758+O2758+P2758,4)</f>
        <v>0</v>
      </c>
      <c r="R2758" s="419">
        <f>ROUND(IF(+Q2758-H2758&lt;=0,0,Q2758-H2758),4)</f>
        <v>0</v>
      </c>
      <c r="S2758" s="423">
        <v>0.5</v>
      </c>
      <c r="T2758" s="419">
        <f>ROUND(+(R2758*C2758)*S2758,4)</f>
        <v>0</v>
      </c>
      <c r="U2758" s="419">
        <f>ROUND(+J2758+M2758+T2758,4)</f>
        <v>0</v>
      </c>
      <c r="V2758" s="235"/>
    </row>
    <row r="2759" spans="1:22" ht="15.75" x14ac:dyDescent="0.25">
      <c r="A2759" s="231"/>
      <c r="B2759" s="232"/>
      <c r="C2759" s="400"/>
      <c r="D2759" s="233"/>
      <c r="E2759" s="405"/>
      <c r="F2759" s="405"/>
      <c r="G2759" s="405"/>
      <c r="H2759" s="408">
        <f>ROUND(+E2759+F2759+G2759,4)</f>
        <v>0</v>
      </c>
      <c r="I2759" s="234"/>
      <c r="J2759" s="411"/>
      <c r="K2759" s="411"/>
      <c r="L2759" s="414">
        <v>0.1</v>
      </c>
      <c r="M2759" s="414">
        <f>ROUND(+L2759*C2759,4)</f>
        <v>0</v>
      </c>
      <c r="N2759" s="414"/>
      <c r="O2759" s="414"/>
      <c r="P2759" s="414"/>
      <c r="Q2759" s="419">
        <f>ROUND(+N2759+O2759+P2759,4)</f>
        <v>0</v>
      </c>
      <c r="R2759" s="419">
        <f>ROUND(IF(+Q2759-H2759&lt;=0,0,Q2759-H2759),4)</f>
        <v>0</v>
      </c>
      <c r="S2759" s="423">
        <v>0.5</v>
      </c>
      <c r="T2759" s="419">
        <f>ROUND(+(R2759*C2759)*S2759,4)</f>
        <v>0</v>
      </c>
      <c r="U2759" s="419">
        <f>ROUND(+J2759+M2759+T2759,4)</f>
        <v>0</v>
      </c>
      <c r="V2759" s="235"/>
    </row>
    <row r="2760" spans="1:22" ht="15.75" x14ac:dyDescent="0.25">
      <c r="A2760" s="231"/>
      <c r="B2760" s="232"/>
      <c r="C2760" s="400"/>
      <c r="D2760" s="233"/>
      <c r="E2760" s="405"/>
      <c r="F2760" s="405"/>
      <c r="G2760" s="405"/>
      <c r="H2760" s="408">
        <f>ROUND(+E2760+F2760+G2760,4)</f>
        <v>0</v>
      </c>
      <c r="I2760" s="234"/>
      <c r="J2760" s="411"/>
      <c r="K2760" s="411"/>
      <c r="L2760" s="414">
        <v>0.1</v>
      </c>
      <c r="M2760" s="414">
        <f>ROUND(+L2760*C2760,4)</f>
        <v>0</v>
      </c>
      <c r="N2760" s="414"/>
      <c r="O2760" s="414"/>
      <c r="P2760" s="414"/>
      <c r="Q2760" s="419">
        <f>ROUND(+N2760+O2760+P2760,4)</f>
        <v>0</v>
      </c>
      <c r="R2760" s="419">
        <f>ROUND(IF(+Q2760-H2760&lt;=0,0,Q2760-H2760),4)</f>
        <v>0</v>
      </c>
      <c r="S2760" s="423">
        <v>0.5</v>
      </c>
      <c r="T2760" s="419">
        <f>ROUND(+(R2760*C2760)*S2760,4)</f>
        <v>0</v>
      </c>
      <c r="U2760" s="419">
        <f>ROUND(+J2760+M2760+T2760,4)</f>
        <v>0</v>
      </c>
      <c r="V2760" s="235"/>
    </row>
    <row r="2761" spans="1:22" ht="15.75" x14ac:dyDescent="0.25">
      <c r="A2761" s="231"/>
      <c r="B2761" s="232"/>
      <c r="C2761" s="400"/>
      <c r="D2761" s="233"/>
      <c r="E2761" s="405"/>
      <c r="F2761" s="405"/>
      <c r="G2761" s="405"/>
      <c r="H2761" s="408">
        <f>ROUND(+E2761+F2761+G2761,4)</f>
        <v>0</v>
      </c>
      <c r="I2761" s="234"/>
      <c r="J2761" s="411"/>
      <c r="K2761" s="411"/>
      <c r="L2761" s="414">
        <v>0.1</v>
      </c>
      <c r="M2761" s="414">
        <f>ROUND(+L2761*C2761,4)</f>
        <v>0</v>
      </c>
      <c r="N2761" s="414"/>
      <c r="O2761" s="414"/>
      <c r="P2761" s="414"/>
      <c r="Q2761" s="419">
        <f>ROUND(+N2761+O2761+P2761,4)</f>
        <v>0</v>
      </c>
      <c r="R2761" s="419">
        <f>ROUND(IF(+Q2761-H2761&lt;=0,0,Q2761-H2761),4)</f>
        <v>0</v>
      </c>
      <c r="S2761" s="423">
        <v>0.5</v>
      </c>
      <c r="T2761" s="419">
        <f>ROUND(+(R2761*C2761)*S2761,4)</f>
        <v>0</v>
      </c>
      <c r="U2761" s="419">
        <f>ROUND(+J2761+M2761+T2761,4)</f>
        <v>0</v>
      </c>
      <c r="V2761" s="235"/>
    </row>
    <row r="2762" spans="1:22" ht="15.75" x14ac:dyDescent="0.25">
      <c r="A2762" s="231"/>
      <c r="B2762" s="232"/>
      <c r="C2762" s="400"/>
      <c r="D2762" s="233"/>
      <c r="E2762" s="405"/>
      <c r="F2762" s="405"/>
      <c r="G2762" s="405"/>
      <c r="H2762" s="408">
        <f>ROUND(+E2762+F2762+G2762,4)</f>
        <v>0</v>
      </c>
      <c r="I2762" s="234"/>
      <c r="J2762" s="411"/>
      <c r="K2762" s="411"/>
      <c r="L2762" s="414">
        <v>0.1</v>
      </c>
      <c r="M2762" s="414">
        <f>ROUND(+L2762*C2762,4)</f>
        <v>0</v>
      </c>
      <c r="N2762" s="414"/>
      <c r="O2762" s="414"/>
      <c r="P2762" s="414"/>
      <c r="Q2762" s="419">
        <f>ROUND(+N2762+O2762+P2762,4)</f>
        <v>0</v>
      </c>
      <c r="R2762" s="419">
        <f>ROUND(IF(+Q2762-H2762&lt;=0,0,Q2762-H2762),4)</f>
        <v>0</v>
      </c>
      <c r="S2762" s="423">
        <v>0.5</v>
      </c>
      <c r="T2762" s="419">
        <f>ROUND(+(R2762*C2762)*S2762,4)</f>
        <v>0</v>
      </c>
      <c r="U2762" s="419">
        <f>ROUND(+J2762+M2762+T2762,4)</f>
        <v>0</v>
      </c>
      <c r="V2762" s="235"/>
    </row>
    <row r="2763" spans="1:22" ht="15.75" x14ac:dyDescent="0.25">
      <c r="A2763" s="231"/>
      <c r="B2763" s="232"/>
      <c r="C2763" s="400"/>
      <c r="D2763" s="233"/>
      <c r="E2763" s="405"/>
      <c r="F2763" s="405"/>
      <c r="G2763" s="405"/>
      <c r="H2763" s="408">
        <f>ROUND(+E2763+F2763+G2763,4)</f>
        <v>0</v>
      </c>
      <c r="I2763" s="234"/>
      <c r="J2763" s="411"/>
      <c r="K2763" s="411"/>
      <c r="L2763" s="414">
        <v>0.1</v>
      </c>
      <c r="M2763" s="414">
        <f>ROUND(+L2763*C2763,4)</f>
        <v>0</v>
      </c>
      <c r="N2763" s="414"/>
      <c r="O2763" s="414"/>
      <c r="P2763" s="414"/>
      <c r="Q2763" s="419">
        <f>ROUND(+N2763+O2763+P2763,4)</f>
        <v>0</v>
      </c>
      <c r="R2763" s="419">
        <f>ROUND(IF(+Q2763-H2763&lt;=0,0,Q2763-H2763),4)</f>
        <v>0</v>
      </c>
      <c r="S2763" s="423">
        <v>0.5</v>
      </c>
      <c r="T2763" s="419">
        <f>ROUND(+(R2763*C2763)*S2763,4)</f>
        <v>0</v>
      </c>
      <c r="U2763" s="419">
        <f>ROUND(+J2763+M2763+T2763,4)</f>
        <v>0</v>
      </c>
      <c r="V2763" s="235"/>
    </row>
    <row r="2764" spans="1:22" ht="15.75" x14ac:dyDescent="0.25">
      <c r="A2764" s="231"/>
      <c r="B2764" s="232"/>
      <c r="C2764" s="400"/>
      <c r="D2764" s="233"/>
      <c r="E2764" s="405"/>
      <c r="F2764" s="405"/>
      <c r="G2764" s="405"/>
      <c r="H2764" s="408">
        <f>ROUND(+E2764+F2764+G2764,4)</f>
        <v>0</v>
      </c>
      <c r="I2764" s="234"/>
      <c r="J2764" s="411"/>
      <c r="K2764" s="411"/>
      <c r="L2764" s="414">
        <v>0.1</v>
      </c>
      <c r="M2764" s="414">
        <f>ROUND(+L2764*C2764,4)</f>
        <v>0</v>
      </c>
      <c r="N2764" s="414"/>
      <c r="O2764" s="414"/>
      <c r="P2764" s="414"/>
      <c r="Q2764" s="419">
        <f>ROUND(+N2764+O2764+P2764,4)</f>
        <v>0</v>
      </c>
      <c r="R2764" s="419">
        <f>ROUND(IF(+Q2764-H2764&lt;=0,0,Q2764-H2764),4)</f>
        <v>0</v>
      </c>
      <c r="S2764" s="423">
        <v>0.5</v>
      </c>
      <c r="T2764" s="419">
        <f>ROUND(+(R2764*C2764)*S2764,4)</f>
        <v>0</v>
      </c>
      <c r="U2764" s="419">
        <f>ROUND(+J2764+M2764+T2764,4)</f>
        <v>0</v>
      </c>
      <c r="V2764" s="235"/>
    </row>
    <row r="2765" spans="1:22" ht="15.75" x14ac:dyDescent="0.25">
      <c r="A2765" s="231"/>
      <c r="B2765" s="232"/>
      <c r="C2765" s="400"/>
      <c r="D2765" s="233"/>
      <c r="E2765" s="405"/>
      <c r="F2765" s="405"/>
      <c r="G2765" s="405"/>
      <c r="H2765" s="408">
        <f>ROUND(+E2765+F2765+G2765,4)</f>
        <v>0</v>
      </c>
      <c r="I2765" s="234"/>
      <c r="J2765" s="411"/>
      <c r="K2765" s="411"/>
      <c r="L2765" s="414">
        <v>0.1</v>
      </c>
      <c r="M2765" s="414">
        <f>ROUND(+L2765*C2765,4)</f>
        <v>0</v>
      </c>
      <c r="N2765" s="414"/>
      <c r="O2765" s="414"/>
      <c r="P2765" s="414"/>
      <c r="Q2765" s="419">
        <f>ROUND(+N2765+O2765+P2765,4)</f>
        <v>0</v>
      </c>
      <c r="R2765" s="419">
        <f>ROUND(IF(+Q2765-H2765&lt;=0,0,Q2765-H2765),4)</f>
        <v>0</v>
      </c>
      <c r="S2765" s="423">
        <v>0.5</v>
      </c>
      <c r="T2765" s="419">
        <f>ROUND(+(R2765*C2765)*S2765,4)</f>
        <v>0</v>
      </c>
      <c r="U2765" s="419">
        <f>ROUND(+J2765+M2765+T2765,4)</f>
        <v>0</v>
      </c>
      <c r="V2765" s="235"/>
    </row>
    <row r="2766" spans="1:22" ht="15.75" x14ac:dyDescent="0.25">
      <c r="A2766" s="231"/>
      <c r="B2766" s="232"/>
      <c r="C2766" s="400"/>
      <c r="D2766" s="233"/>
      <c r="E2766" s="405"/>
      <c r="F2766" s="405"/>
      <c r="G2766" s="405"/>
      <c r="H2766" s="408">
        <f>ROUND(+E2766+F2766+G2766,4)</f>
        <v>0</v>
      </c>
      <c r="I2766" s="234"/>
      <c r="J2766" s="411"/>
      <c r="K2766" s="411"/>
      <c r="L2766" s="414">
        <v>0.1</v>
      </c>
      <c r="M2766" s="414">
        <f>ROUND(+L2766*C2766,4)</f>
        <v>0</v>
      </c>
      <c r="N2766" s="414"/>
      <c r="O2766" s="414"/>
      <c r="P2766" s="414"/>
      <c r="Q2766" s="419">
        <f>ROUND(+N2766+O2766+P2766,4)</f>
        <v>0</v>
      </c>
      <c r="R2766" s="419">
        <f>ROUND(IF(+Q2766-H2766&lt;=0,0,Q2766-H2766),4)</f>
        <v>0</v>
      </c>
      <c r="S2766" s="423">
        <v>0.5</v>
      </c>
      <c r="T2766" s="419">
        <f>ROUND(+(R2766*C2766)*S2766,4)</f>
        <v>0</v>
      </c>
      <c r="U2766" s="419">
        <f>ROUND(+J2766+M2766+T2766,4)</f>
        <v>0</v>
      </c>
      <c r="V2766" s="235"/>
    </row>
    <row r="2767" spans="1:22" ht="15.75" x14ac:dyDescent="0.25">
      <c r="A2767" s="231"/>
      <c r="B2767" s="232"/>
      <c r="C2767" s="400"/>
      <c r="D2767" s="233"/>
      <c r="E2767" s="405"/>
      <c r="F2767" s="405"/>
      <c r="G2767" s="405"/>
      <c r="H2767" s="408">
        <f>ROUND(+E2767+F2767+G2767,4)</f>
        <v>0</v>
      </c>
      <c r="I2767" s="234"/>
      <c r="J2767" s="411"/>
      <c r="K2767" s="411"/>
      <c r="L2767" s="414">
        <v>0.1</v>
      </c>
      <c r="M2767" s="414">
        <f>ROUND(+L2767*C2767,4)</f>
        <v>0</v>
      </c>
      <c r="N2767" s="414"/>
      <c r="O2767" s="414"/>
      <c r="P2767" s="414"/>
      <c r="Q2767" s="419">
        <f>ROUND(+N2767+O2767+P2767,4)</f>
        <v>0</v>
      </c>
      <c r="R2767" s="419">
        <f>ROUND(IF(+Q2767-H2767&lt;=0,0,Q2767-H2767),4)</f>
        <v>0</v>
      </c>
      <c r="S2767" s="423">
        <v>0.5</v>
      </c>
      <c r="T2767" s="419">
        <f>ROUND(+(R2767*C2767)*S2767,4)</f>
        <v>0</v>
      </c>
      <c r="U2767" s="419">
        <f>ROUND(+J2767+M2767+T2767,4)</f>
        <v>0</v>
      </c>
      <c r="V2767" s="235"/>
    </row>
    <row r="2768" spans="1:22" ht="15.75" x14ac:dyDescent="0.25">
      <c r="A2768" s="231"/>
      <c r="B2768" s="232"/>
      <c r="C2768" s="400"/>
      <c r="D2768" s="233"/>
      <c r="E2768" s="405"/>
      <c r="F2768" s="405"/>
      <c r="G2768" s="405"/>
      <c r="H2768" s="408">
        <f>ROUND(+E2768+F2768+G2768,4)</f>
        <v>0</v>
      </c>
      <c r="I2768" s="234"/>
      <c r="J2768" s="411"/>
      <c r="K2768" s="411"/>
      <c r="L2768" s="414">
        <v>0.1</v>
      </c>
      <c r="M2768" s="414">
        <f>ROUND(+L2768*C2768,4)</f>
        <v>0</v>
      </c>
      <c r="N2768" s="414"/>
      <c r="O2768" s="414"/>
      <c r="P2768" s="414"/>
      <c r="Q2768" s="419">
        <f>ROUND(+N2768+O2768+P2768,4)</f>
        <v>0</v>
      </c>
      <c r="R2768" s="419">
        <f>ROUND(IF(+Q2768-H2768&lt;=0,0,Q2768-H2768),4)</f>
        <v>0</v>
      </c>
      <c r="S2768" s="423">
        <v>0.5</v>
      </c>
      <c r="T2768" s="419">
        <f>ROUND(+(R2768*C2768)*S2768,4)</f>
        <v>0</v>
      </c>
      <c r="U2768" s="419">
        <f>ROUND(+J2768+M2768+T2768,4)</f>
        <v>0</v>
      </c>
      <c r="V2768" s="235"/>
    </row>
    <row r="2769" spans="1:22" ht="15.75" x14ac:dyDescent="0.25">
      <c r="A2769" s="231"/>
      <c r="B2769" s="232"/>
      <c r="C2769" s="400"/>
      <c r="D2769" s="233"/>
      <c r="E2769" s="405"/>
      <c r="F2769" s="405"/>
      <c r="G2769" s="405"/>
      <c r="H2769" s="408">
        <f>ROUND(+E2769+F2769+G2769,4)</f>
        <v>0</v>
      </c>
      <c r="I2769" s="234"/>
      <c r="J2769" s="411"/>
      <c r="K2769" s="411"/>
      <c r="L2769" s="414">
        <v>0.1</v>
      </c>
      <c r="M2769" s="414">
        <f>ROUND(+L2769*C2769,4)</f>
        <v>0</v>
      </c>
      <c r="N2769" s="414"/>
      <c r="O2769" s="414"/>
      <c r="P2769" s="414"/>
      <c r="Q2769" s="419">
        <f>ROUND(+N2769+O2769+P2769,4)</f>
        <v>0</v>
      </c>
      <c r="R2769" s="419">
        <f>ROUND(IF(+Q2769-H2769&lt;=0,0,Q2769-H2769),4)</f>
        <v>0</v>
      </c>
      <c r="S2769" s="423">
        <v>0.5</v>
      </c>
      <c r="T2769" s="419">
        <f>ROUND(+(R2769*C2769)*S2769,4)</f>
        <v>0</v>
      </c>
      <c r="U2769" s="419">
        <f>ROUND(+J2769+M2769+T2769,4)</f>
        <v>0</v>
      </c>
      <c r="V2769" s="235"/>
    </row>
    <row r="2770" spans="1:22" ht="15.75" x14ac:dyDescent="0.25">
      <c r="A2770" s="231"/>
      <c r="B2770" s="232"/>
      <c r="C2770" s="400"/>
      <c r="D2770" s="233"/>
      <c r="E2770" s="405"/>
      <c r="F2770" s="405"/>
      <c r="G2770" s="405"/>
      <c r="H2770" s="408">
        <f>ROUND(+E2770+F2770+G2770,4)</f>
        <v>0</v>
      </c>
      <c r="I2770" s="234"/>
      <c r="J2770" s="411"/>
      <c r="K2770" s="411"/>
      <c r="L2770" s="414">
        <v>0.1</v>
      </c>
      <c r="M2770" s="414">
        <f>ROUND(+L2770*C2770,4)</f>
        <v>0</v>
      </c>
      <c r="N2770" s="414"/>
      <c r="O2770" s="414"/>
      <c r="P2770" s="414"/>
      <c r="Q2770" s="419">
        <f>ROUND(+N2770+O2770+P2770,4)</f>
        <v>0</v>
      </c>
      <c r="R2770" s="419">
        <f>ROUND(IF(+Q2770-H2770&lt;=0,0,Q2770-H2770),4)</f>
        <v>0</v>
      </c>
      <c r="S2770" s="423">
        <v>0.5</v>
      </c>
      <c r="T2770" s="419">
        <f>ROUND(+(R2770*C2770)*S2770,4)</f>
        <v>0</v>
      </c>
      <c r="U2770" s="419">
        <f>ROUND(+J2770+M2770+T2770,4)</f>
        <v>0</v>
      </c>
      <c r="V2770" s="235"/>
    </row>
    <row r="2771" spans="1:22" ht="15.75" x14ac:dyDescent="0.25">
      <c r="A2771" s="231"/>
      <c r="B2771" s="232"/>
      <c r="C2771" s="400"/>
      <c r="D2771" s="233"/>
      <c r="E2771" s="405"/>
      <c r="F2771" s="405"/>
      <c r="G2771" s="405"/>
      <c r="H2771" s="408">
        <f>ROUND(+E2771+F2771+G2771,4)</f>
        <v>0</v>
      </c>
      <c r="I2771" s="234"/>
      <c r="J2771" s="411"/>
      <c r="K2771" s="411"/>
      <c r="L2771" s="414">
        <v>0.1</v>
      </c>
      <c r="M2771" s="414">
        <f>ROUND(+L2771*C2771,4)</f>
        <v>0</v>
      </c>
      <c r="N2771" s="414"/>
      <c r="O2771" s="414"/>
      <c r="P2771" s="414"/>
      <c r="Q2771" s="419">
        <f>ROUND(+N2771+O2771+P2771,4)</f>
        <v>0</v>
      </c>
      <c r="R2771" s="419">
        <f>ROUND(IF(+Q2771-H2771&lt;=0,0,Q2771-H2771),4)</f>
        <v>0</v>
      </c>
      <c r="S2771" s="423">
        <v>0.5</v>
      </c>
      <c r="T2771" s="419">
        <f>ROUND(+(R2771*C2771)*S2771,4)</f>
        <v>0</v>
      </c>
      <c r="U2771" s="419">
        <f>ROUND(+J2771+M2771+T2771,4)</f>
        <v>0</v>
      </c>
      <c r="V2771" s="235"/>
    </row>
    <row r="2772" spans="1:22" ht="15.75" x14ac:dyDescent="0.25">
      <c r="A2772" s="231"/>
      <c r="B2772" s="232"/>
      <c r="C2772" s="400"/>
      <c r="D2772" s="233"/>
      <c r="E2772" s="405"/>
      <c r="F2772" s="405"/>
      <c r="G2772" s="405"/>
      <c r="H2772" s="408">
        <f>ROUND(+E2772+F2772+G2772,4)</f>
        <v>0</v>
      </c>
      <c r="I2772" s="234"/>
      <c r="J2772" s="411"/>
      <c r="K2772" s="411"/>
      <c r="L2772" s="414">
        <v>0.1</v>
      </c>
      <c r="M2772" s="414">
        <f>ROUND(+L2772*C2772,4)</f>
        <v>0</v>
      </c>
      <c r="N2772" s="414"/>
      <c r="O2772" s="414"/>
      <c r="P2772" s="414"/>
      <c r="Q2772" s="419">
        <f>ROUND(+N2772+O2772+P2772,4)</f>
        <v>0</v>
      </c>
      <c r="R2772" s="419">
        <f>ROUND(IF(+Q2772-H2772&lt;=0,0,Q2772-H2772),4)</f>
        <v>0</v>
      </c>
      <c r="S2772" s="423">
        <v>0.5</v>
      </c>
      <c r="T2772" s="419">
        <f>ROUND(+(R2772*C2772)*S2772,4)</f>
        <v>0</v>
      </c>
      <c r="U2772" s="419">
        <f>ROUND(+J2772+M2772+T2772,4)</f>
        <v>0</v>
      </c>
      <c r="V2772" s="235"/>
    </row>
    <row r="2773" spans="1:22" ht="15.75" x14ac:dyDescent="0.25">
      <c r="A2773" s="231"/>
      <c r="B2773" s="232"/>
      <c r="C2773" s="400"/>
      <c r="D2773" s="233"/>
      <c r="E2773" s="405"/>
      <c r="F2773" s="405"/>
      <c r="G2773" s="405"/>
      <c r="H2773" s="408">
        <f>ROUND(+E2773+F2773+G2773,4)</f>
        <v>0</v>
      </c>
      <c r="I2773" s="234"/>
      <c r="J2773" s="411"/>
      <c r="K2773" s="411"/>
      <c r="L2773" s="414">
        <v>0.1</v>
      </c>
      <c r="M2773" s="414">
        <f>ROUND(+L2773*C2773,4)</f>
        <v>0</v>
      </c>
      <c r="N2773" s="414"/>
      <c r="O2773" s="414"/>
      <c r="P2773" s="414"/>
      <c r="Q2773" s="419">
        <f>ROUND(+N2773+O2773+P2773,4)</f>
        <v>0</v>
      </c>
      <c r="R2773" s="419">
        <f>ROUND(IF(+Q2773-H2773&lt;=0,0,Q2773-H2773),4)</f>
        <v>0</v>
      </c>
      <c r="S2773" s="423">
        <v>0.5</v>
      </c>
      <c r="T2773" s="419">
        <f>ROUND(+(R2773*C2773)*S2773,4)</f>
        <v>0</v>
      </c>
      <c r="U2773" s="419">
        <f>ROUND(+J2773+M2773+T2773,4)</f>
        <v>0</v>
      </c>
      <c r="V2773" s="235"/>
    </row>
    <row r="2774" spans="1:22" ht="15.75" x14ac:dyDescent="0.25">
      <c r="A2774" s="231"/>
      <c r="B2774" s="232"/>
      <c r="C2774" s="400"/>
      <c r="D2774" s="233"/>
      <c r="E2774" s="405"/>
      <c r="F2774" s="405"/>
      <c r="G2774" s="405"/>
      <c r="H2774" s="408">
        <f>ROUND(+E2774+F2774+G2774,4)</f>
        <v>0</v>
      </c>
      <c r="I2774" s="234"/>
      <c r="J2774" s="411"/>
      <c r="K2774" s="411"/>
      <c r="L2774" s="414">
        <v>0.1</v>
      </c>
      <c r="M2774" s="414">
        <f>ROUND(+L2774*C2774,4)</f>
        <v>0</v>
      </c>
      <c r="N2774" s="414"/>
      <c r="O2774" s="414"/>
      <c r="P2774" s="414"/>
      <c r="Q2774" s="419">
        <f>ROUND(+N2774+O2774+P2774,4)</f>
        <v>0</v>
      </c>
      <c r="R2774" s="419">
        <f>ROUND(IF(+Q2774-H2774&lt;=0,0,Q2774-H2774),4)</f>
        <v>0</v>
      </c>
      <c r="S2774" s="423">
        <v>0.5</v>
      </c>
      <c r="T2774" s="419">
        <f>ROUND(+(R2774*C2774)*S2774,4)</f>
        <v>0</v>
      </c>
      <c r="U2774" s="419">
        <f>ROUND(+J2774+M2774+T2774,4)</f>
        <v>0</v>
      </c>
      <c r="V2774" s="235"/>
    </row>
    <row r="2775" spans="1:22" ht="15.75" x14ac:dyDescent="0.25">
      <c r="A2775" s="231"/>
      <c r="B2775" s="232"/>
      <c r="C2775" s="400"/>
      <c r="D2775" s="233"/>
      <c r="E2775" s="405"/>
      <c r="F2775" s="405"/>
      <c r="G2775" s="405"/>
      <c r="H2775" s="408">
        <f>ROUND(+E2775+F2775+G2775,4)</f>
        <v>0</v>
      </c>
      <c r="I2775" s="234"/>
      <c r="J2775" s="411"/>
      <c r="K2775" s="411"/>
      <c r="L2775" s="414">
        <v>0.1</v>
      </c>
      <c r="M2775" s="414">
        <f>ROUND(+L2775*C2775,4)</f>
        <v>0</v>
      </c>
      <c r="N2775" s="414"/>
      <c r="O2775" s="414"/>
      <c r="P2775" s="414"/>
      <c r="Q2775" s="419">
        <f>ROUND(+N2775+O2775+P2775,4)</f>
        <v>0</v>
      </c>
      <c r="R2775" s="419">
        <f>ROUND(IF(+Q2775-H2775&lt;=0,0,Q2775-H2775),4)</f>
        <v>0</v>
      </c>
      <c r="S2775" s="423">
        <v>0.5</v>
      </c>
      <c r="T2775" s="419">
        <f>ROUND(+(R2775*C2775)*S2775,4)</f>
        <v>0</v>
      </c>
      <c r="U2775" s="419">
        <f>ROUND(+J2775+M2775+T2775,4)</f>
        <v>0</v>
      </c>
      <c r="V2775" s="235"/>
    </row>
    <row r="2776" spans="1:22" ht="15.75" x14ac:dyDescent="0.25">
      <c r="A2776" s="231"/>
      <c r="B2776" s="232"/>
      <c r="C2776" s="400"/>
      <c r="D2776" s="233"/>
      <c r="E2776" s="405"/>
      <c r="F2776" s="405"/>
      <c r="G2776" s="405"/>
      <c r="H2776" s="408">
        <f>ROUND(+E2776+F2776+G2776,4)</f>
        <v>0</v>
      </c>
      <c r="I2776" s="234"/>
      <c r="J2776" s="411"/>
      <c r="K2776" s="411"/>
      <c r="L2776" s="414">
        <v>0.1</v>
      </c>
      <c r="M2776" s="414">
        <f>ROUND(+L2776*C2776,4)</f>
        <v>0</v>
      </c>
      <c r="N2776" s="414"/>
      <c r="O2776" s="414"/>
      <c r="P2776" s="414"/>
      <c r="Q2776" s="419">
        <f>ROUND(+N2776+O2776+P2776,4)</f>
        <v>0</v>
      </c>
      <c r="R2776" s="419">
        <f>ROUND(IF(+Q2776-H2776&lt;=0,0,Q2776-H2776),4)</f>
        <v>0</v>
      </c>
      <c r="S2776" s="423">
        <v>0.5</v>
      </c>
      <c r="T2776" s="419">
        <f>ROUND(+(R2776*C2776)*S2776,4)</f>
        <v>0</v>
      </c>
      <c r="U2776" s="419">
        <f>ROUND(+J2776+M2776+T2776,4)</f>
        <v>0</v>
      </c>
      <c r="V2776" s="235"/>
    </row>
    <row r="2777" spans="1:22" ht="15.75" x14ac:dyDescent="0.25">
      <c r="A2777" s="231"/>
      <c r="B2777" s="232"/>
      <c r="C2777" s="400"/>
      <c r="D2777" s="233"/>
      <c r="E2777" s="405"/>
      <c r="F2777" s="405"/>
      <c r="G2777" s="405"/>
      <c r="H2777" s="408">
        <f>ROUND(+E2777+F2777+G2777,4)</f>
        <v>0</v>
      </c>
      <c r="I2777" s="234"/>
      <c r="J2777" s="411"/>
      <c r="K2777" s="411"/>
      <c r="L2777" s="414">
        <v>0.1</v>
      </c>
      <c r="M2777" s="414">
        <f>ROUND(+L2777*C2777,4)</f>
        <v>0</v>
      </c>
      <c r="N2777" s="414"/>
      <c r="O2777" s="414"/>
      <c r="P2777" s="414"/>
      <c r="Q2777" s="419">
        <f>ROUND(+N2777+O2777+P2777,4)</f>
        <v>0</v>
      </c>
      <c r="R2777" s="419">
        <f>ROUND(IF(+Q2777-H2777&lt;=0,0,Q2777-H2777),4)</f>
        <v>0</v>
      </c>
      <c r="S2777" s="423">
        <v>0.5</v>
      </c>
      <c r="T2777" s="419">
        <f>ROUND(+(R2777*C2777)*S2777,4)</f>
        <v>0</v>
      </c>
      <c r="U2777" s="419">
        <f>ROUND(+J2777+M2777+T2777,4)</f>
        <v>0</v>
      </c>
      <c r="V2777" s="235"/>
    </row>
    <row r="2778" spans="1:22" ht="15.75" x14ac:dyDescent="0.25">
      <c r="A2778" s="231"/>
      <c r="B2778" s="232"/>
      <c r="C2778" s="400"/>
      <c r="D2778" s="233"/>
      <c r="E2778" s="405"/>
      <c r="F2778" s="405"/>
      <c r="G2778" s="405"/>
      <c r="H2778" s="408">
        <f>ROUND(+E2778+F2778+G2778,4)</f>
        <v>0</v>
      </c>
      <c r="I2778" s="234"/>
      <c r="J2778" s="411"/>
      <c r="K2778" s="411"/>
      <c r="L2778" s="414">
        <v>0.1</v>
      </c>
      <c r="M2778" s="414">
        <f>ROUND(+L2778*C2778,4)</f>
        <v>0</v>
      </c>
      <c r="N2778" s="414"/>
      <c r="O2778" s="414"/>
      <c r="P2778" s="414"/>
      <c r="Q2778" s="419">
        <f>ROUND(+N2778+O2778+P2778,4)</f>
        <v>0</v>
      </c>
      <c r="R2778" s="419">
        <f>ROUND(IF(+Q2778-H2778&lt;=0,0,Q2778-H2778),4)</f>
        <v>0</v>
      </c>
      <c r="S2778" s="423">
        <v>0.5</v>
      </c>
      <c r="T2778" s="419">
        <f>ROUND(+(R2778*C2778)*S2778,4)</f>
        <v>0</v>
      </c>
      <c r="U2778" s="419">
        <f>ROUND(+J2778+M2778+T2778,4)</f>
        <v>0</v>
      </c>
      <c r="V2778" s="235"/>
    </row>
    <row r="2779" spans="1:22" ht="15.75" x14ac:dyDescent="0.25">
      <c r="A2779" s="231"/>
      <c r="B2779" s="232"/>
      <c r="C2779" s="400"/>
      <c r="D2779" s="233"/>
      <c r="E2779" s="405"/>
      <c r="F2779" s="405"/>
      <c r="G2779" s="405"/>
      <c r="H2779" s="408">
        <f>ROUND(+E2779+F2779+G2779,4)</f>
        <v>0</v>
      </c>
      <c r="I2779" s="234"/>
      <c r="J2779" s="411"/>
      <c r="K2779" s="411"/>
      <c r="L2779" s="414">
        <v>0.1</v>
      </c>
      <c r="M2779" s="414">
        <f>ROUND(+L2779*C2779,4)</f>
        <v>0</v>
      </c>
      <c r="N2779" s="414"/>
      <c r="O2779" s="414"/>
      <c r="P2779" s="414"/>
      <c r="Q2779" s="419">
        <f>ROUND(+N2779+O2779+P2779,4)</f>
        <v>0</v>
      </c>
      <c r="R2779" s="419">
        <f>ROUND(IF(+Q2779-H2779&lt;=0,0,Q2779-H2779),4)</f>
        <v>0</v>
      </c>
      <c r="S2779" s="423">
        <v>0.5</v>
      </c>
      <c r="T2779" s="419">
        <f>ROUND(+(R2779*C2779)*S2779,4)</f>
        <v>0</v>
      </c>
      <c r="U2779" s="419">
        <f>ROUND(+J2779+M2779+T2779,4)</f>
        <v>0</v>
      </c>
      <c r="V2779" s="235"/>
    </row>
    <row r="2780" spans="1:22" ht="15.75" x14ac:dyDescent="0.25">
      <c r="A2780" s="231"/>
      <c r="B2780" s="232"/>
      <c r="C2780" s="400"/>
      <c r="D2780" s="233"/>
      <c r="E2780" s="405"/>
      <c r="F2780" s="405"/>
      <c r="G2780" s="405"/>
      <c r="H2780" s="408">
        <f>ROUND(+E2780+F2780+G2780,4)</f>
        <v>0</v>
      </c>
      <c r="I2780" s="234"/>
      <c r="J2780" s="411"/>
      <c r="K2780" s="411"/>
      <c r="L2780" s="414">
        <v>0.1</v>
      </c>
      <c r="M2780" s="414">
        <f>ROUND(+L2780*C2780,4)</f>
        <v>0</v>
      </c>
      <c r="N2780" s="414"/>
      <c r="O2780" s="414"/>
      <c r="P2780" s="414"/>
      <c r="Q2780" s="419">
        <f>ROUND(+N2780+O2780+P2780,4)</f>
        <v>0</v>
      </c>
      <c r="R2780" s="419">
        <f>ROUND(IF(+Q2780-H2780&lt;=0,0,Q2780-H2780),4)</f>
        <v>0</v>
      </c>
      <c r="S2780" s="423">
        <v>0.5</v>
      </c>
      <c r="T2780" s="419">
        <f>ROUND(+(R2780*C2780)*S2780,4)</f>
        <v>0</v>
      </c>
      <c r="U2780" s="419">
        <f>ROUND(+J2780+M2780+T2780,4)</f>
        <v>0</v>
      </c>
      <c r="V2780" s="235"/>
    </row>
    <row r="2781" spans="1:22" ht="15.75" x14ac:dyDescent="0.25">
      <c r="A2781" s="231"/>
      <c r="B2781" s="232"/>
      <c r="C2781" s="400"/>
      <c r="D2781" s="233"/>
      <c r="E2781" s="405"/>
      <c r="F2781" s="405"/>
      <c r="G2781" s="405"/>
      <c r="H2781" s="408">
        <f>ROUND(+E2781+F2781+G2781,4)</f>
        <v>0</v>
      </c>
      <c r="I2781" s="234"/>
      <c r="J2781" s="411"/>
      <c r="K2781" s="411"/>
      <c r="L2781" s="414">
        <v>0.1</v>
      </c>
      <c r="M2781" s="414">
        <f>ROUND(+L2781*C2781,4)</f>
        <v>0</v>
      </c>
      <c r="N2781" s="414"/>
      <c r="O2781" s="414"/>
      <c r="P2781" s="414"/>
      <c r="Q2781" s="419">
        <f>ROUND(+N2781+O2781+P2781,4)</f>
        <v>0</v>
      </c>
      <c r="R2781" s="419">
        <f>ROUND(IF(+Q2781-H2781&lt;=0,0,Q2781-H2781),4)</f>
        <v>0</v>
      </c>
      <c r="S2781" s="423">
        <v>0.5</v>
      </c>
      <c r="T2781" s="419">
        <f>ROUND(+(R2781*C2781)*S2781,4)</f>
        <v>0</v>
      </c>
      <c r="U2781" s="419">
        <f>ROUND(+J2781+M2781+T2781,4)</f>
        <v>0</v>
      </c>
      <c r="V2781" s="235"/>
    </row>
    <row r="2782" spans="1:22" ht="15.75" x14ac:dyDescent="0.25">
      <c r="A2782" s="231"/>
      <c r="B2782" s="232"/>
      <c r="C2782" s="400"/>
      <c r="D2782" s="233"/>
      <c r="E2782" s="405"/>
      <c r="F2782" s="405"/>
      <c r="G2782" s="405"/>
      <c r="H2782" s="408">
        <f>ROUND(+E2782+F2782+G2782,4)</f>
        <v>0</v>
      </c>
      <c r="I2782" s="234"/>
      <c r="J2782" s="411"/>
      <c r="K2782" s="411"/>
      <c r="L2782" s="414">
        <v>0.1</v>
      </c>
      <c r="M2782" s="414">
        <f>ROUND(+L2782*C2782,4)</f>
        <v>0</v>
      </c>
      <c r="N2782" s="414"/>
      <c r="O2782" s="414"/>
      <c r="P2782" s="414"/>
      <c r="Q2782" s="419">
        <f>ROUND(+N2782+O2782+P2782,4)</f>
        <v>0</v>
      </c>
      <c r="R2782" s="419">
        <f>ROUND(IF(+Q2782-H2782&lt;=0,0,Q2782-H2782),4)</f>
        <v>0</v>
      </c>
      <c r="S2782" s="423">
        <v>0.5</v>
      </c>
      <c r="T2782" s="419">
        <f>ROUND(+(R2782*C2782)*S2782,4)</f>
        <v>0</v>
      </c>
      <c r="U2782" s="419">
        <f>ROUND(+J2782+M2782+T2782,4)</f>
        <v>0</v>
      </c>
      <c r="V2782" s="235"/>
    </row>
    <row r="2783" spans="1:22" ht="15.75" x14ac:dyDescent="0.25">
      <c r="A2783" s="231"/>
      <c r="B2783" s="232"/>
      <c r="C2783" s="400"/>
      <c r="D2783" s="233"/>
      <c r="E2783" s="405"/>
      <c r="F2783" s="405"/>
      <c r="G2783" s="405"/>
      <c r="H2783" s="408">
        <f>ROUND(+E2783+F2783+G2783,4)</f>
        <v>0</v>
      </c>
      <c r="I2783" s="234"/>
      <c r="J2783" s="411"/>
      <c r="K2783" s="411"/>
      <c r="L2783" s="414">
        <v>0.1</v>
      </c>
      <c r="M2783" s="414">
        <f>ROUND(+L2783*C2783,4)</f>
        <v>0</v>
      </c>
      <c r="N2783" s="414"/>
      <c r="O2783" s="414"/>
      <c r="P2783" s="414"/>
      <c r="Q2783" s="419">
        <f>ROUND(+N2783+O2783+P2783,4)</f>
        <v>0</v>
      </c>
      <c r="R2783" s="419">
        <f>ROUND(IF(+Q2783-H2783&lt;=0,0,Q2783-H2783),4)</f>
        <v>0</v>
      </c>
      <c r="S2783" s="423">
        <v>0.5</v>
      </c>
      <c r="T2783" s="419">
        <f>ROUND(+(R2783*C2783)*S2783,4)</f>
        <v>0</v>
      </c>
      <c r="U2783" s="419">
        <f>ROUND(+J2783+M2783+T2783,4)</f>
        <v>0</v>
      </c>
      <c r="V2783" s="235"/>
    </row>
    <row r="2784" spans="1:22" ht="15.75" x14ac:dyDescent="0.25">
      <c r="A2784" s="231"/>
      <c r="B2784" s="232"/>
      <c r="C2784" s="400"/>
      <c r="D2784" s="233"/>
      <c r="E2784" s="405"/>
      <c r="F2784" s="405"/>
      <c r="G2784" s="405"/>
      <c r="H2784" s="408">
        <f>ROUND(+E2784+F2784+G2784,4)</f>
        <v>0</v>
      </c>
      <c r="I2784" s="234"/>
      <c r="J2784" s="411"/>
      <c r="K2784" s="411"/>
      <c r="L2784" s="414">
        <v>0.1</v>
      </c>
      <c r="M2784" s="414">
        <f>ROUND(+L2784*C2784,4)</f>
        <v>0</v>
      </c>
      <c r="N2784" s="414"/>
      <c r="O2784" s="414"/>
      <c r="P2784" s="414"/>
      <c r="Q2784" s="419">
        <f>ROUND(+N2784+O2784+P2784,4)</f>
        <v>0</v>
      </c>
      <c r="R2784" s="419">
        <f>ROUND(IF(+Q2784-H2784&lt;=0,0,Q2784-H2784),4)</f>
        <v>0</v>
      </c>
      <c r="S2784" s="423">
        <v>0.5</v>
      </c>
      <c r="T2784" s="419">
        <f>ROUND(+(R2784*C2784)*S2784,4)</f>
        <v>0</v>
      </c>
      <c r="U2784" s="419">
        <f>ROUND(+J2784+M2784+T2784,4)</f>
        <v>0</v>
      </c>
      <c r="V2784" s="235"/>
    </row>
    <row r="2785" spans="1:41" ht="15.75" x14ac:dyDescent="0.25">
      <c r="A2785" s="231"/>
      <c r="B2785" s="232"/>
      <c r="C2785" s="400"/>
      <c r="D2785" s="233"/>
      <c r="E2785" s="405"/>
      <c r="F2785" s="405"/>
      <c r="G2785" s="405"/>
      <c r="H2785" s="408">
        <f>ROUND(+E2785+F2785+G2785,4)</f>
        <v>0</v>
      </c>
      <c r="I2785" s="234"/>
      <c r="J2785" s="411"/>
      <c r="K2785" s="411"/>
      <c r="L2785" s="414">
        <v>0.1</v>
      </c>
      <c r="M2785" s="414">
        <f>ROUND(+L2785*C2785,4)</f>
        <v>0</v>
      </c>
      <c r="N2785" s="414"/>
      <c r="O2785" s="414"/>
      <c r="P2785" s="414"/>
      <c r="Q2785" s="419">
        <f>ROUND(+N2785+O2785+P2785,4)</f>
        <v>0</v>
      </c>
      <c r="R2785" s="419">
        <f>ROUND(IF(+Q2785-H2785&lt;=0,0,Q2785-H2785),4)</f>
        <v>0</v>
      </c>
      <c r="S2785" s="423">
        <v>0.5</v>
      </c>
      <c r="T2785" s="419">
        <f>ROUND(+(R2785*C2785)*S2785,4)</f>
        <v>0</v>
      </c>
      <c r="U2785" s="419">
        <f>ROUND(+J2785+M2785+T2785,4)</f>
        <v>0</v>
      </c>
      <c r="V2785" s="235"/>
    </row>
    <row r="2786" spans="1:41" ht="15.75" x14ac:dyDescent="0.25">
      <c r="A2786" s="231"/>
      <c r="B2786" s="232"/>
      <c r="C2786" s="400"/>
      <c r="D2786" s="233"/>
      <c r="E2786" s="405"/>
      <c r="F2786" s="405"/>
      <c r="G2786" s="405"/>
      <c r="H2786" s="408">
        <f>ROUND(+E2786+F2786+G2786,4)</f>
        <v>0</v>
      </c>
      <c r="I2786" s="234"/>
      <c r="J2786" s="411"/>
      <c r="K2786" s="411"/>
      <c r="L2786" s="414">
        <v>0.1</v>
      </c>
      <c r="M2786" s="414">
        <f>ROUND(+L2786*C2786,4)</f>
        <v>0</v>
      </c>
      <c r="N2786" s="414"/>
      <c r="O2786" s="414"/>
      <c r="P2786" s="414"/>
      <c r="Q2786" s="419">
        <f>ROUND(+N2786+O2786+P2786,4)</f>
        <v>0</v>
      </c>
      <c r="R2786" s="419">
        <f>ROUND(IF(+Q2786-H2786&lt;=0,0,Q2786-H2786),4)</f>
        <v>0</v>
      </c>
      <c r="S2786" s="423">
        <v>0.5</v>
      </c>
      <c r="T2786" s="419">
        <f>ROUND(+(R2786*C2786)*S2786,4)</f>
        <v>0</v>
      </c>
      <c r="U2786" s="419">
        <f>ROUND(+J2786+M2786+T2786,4)</f>
        <v>0</v>
      </c>
      <c r="V2786" s="235"/>
    </row>
    <row r="2787" spans="1:41" ht="15.75" x14ac:dyDescent="0.25">
      <c r="A2787" s="231"/>
      <c r="B2787" s="232"/>
      <c r="C2787" s="400"/>
      <c r="D2787" s="233"/>
      <c r="E2787" s="405"/>
      <c r="F2787" s="405"/>
      <c r="G2787" s="405"/>
      <c r="H2787" s="408">
        <f>ROUND(+E2787+F2787+G2787,4)</f>
        <v>0</v>
      </c>
      <c r="I2787" s="234"/>
      <c r="J2787" s="411"/>
      <c r="K2787" s="411"/>
      <c r="L2787" s="414">
        <v>0.1</v>
      </c>
      <c r="M2787" s="414">
        <f>ROUND(+L2787*C2787,4)</f>
        <v>0</v>
      </c>
      <c r="N2787" s="414"/>
      <c r="O2787" s="414"/>
      <c r="P2787" s="414"/>
      <c r="Q2787" s="419">
        <f>ROUND(+N2787+O2787+P2787,4)</f>
        <v>0</v>
      </c>
      <c r="R2787" s="419">
        <f>ROUND(IF(+Q2787-H2787&lt;=0,0,Q2787-H2787),4)</f>
        <v>0</v>
      </c>
      <c r="S2787" s="423">
        <v>0.5</v>
      </c>
      <c r="T2787" s="419">
        <f>ROUND(+(R2787*C2787)*S2787,4)</f>
        <v>0</v>
      </c>
      <c r="U2787" s="419">
        <f>ROUND(+J2787+M2787+T2787,4)</f>
        <v>0</v>
      </c>
      <c r="V2787" s="235"/>
    </row>
    <row r="2788" spans="1:41" ht="15.75" x14ac:dyDescent="0.25">
      <c r="A2788" s="231"/>
      <c r="B2788" s="232"/>
      <c r="C2788" s="400"/>
      <c r="D2788" s="233"/>
      <c r="E2788" s="405"/>
      <c r="F2788" s="405"/>
      <c r="G2788" s="405"/>
      <c r="H2788" s="408">
        <f>ROUND(+E2788+F2788+G2788,4)</f>
        <v>0</v>
      </c>
      <c r="I2788" s="234"/>
      <c r="J2788" s="411"/>
      <c r="K2788" s="411"/>
      <c r="L2788" s="414">
        <v>0.1</v>
      </c>
      <c r="M2788" s="414">
        <f>ROUND(+L2788*C2788,4)</f>
        <v>0</v>
      </c>
      <c r="N2788" s="414"/>
      <c r="O2788" s="414"/>
      <c r="P2788" s="414"/>
      <c r="Q2788" s="419">
        <f>ROUND(+N2788+O2788+P2788,4)</f>
        <v>0</v>
      </c>
      <c r="R2788" s="419">
        <f>ROUND(IF(+Q2788-H2788&lt;=0,0,Q2788-H2788),4)</f>
        <v>0</v>
      </c>
      <c r="S2788" s="423">
        <v>0.5</v>
      </c>
      <c r="T2788" s="419">
        <f>ROUND(+(R2788*C2788)*S2788,4)</f>
        <v>0</v>
      </c>
      <c r="U2788" s="419">
        <f>ROUND(+J2788+M2788+T2788,4)</f>
        <v>0</v>
      </c>
      <c r="V2788" s="235"/>
    </row>
    <row r="2789" spans="1:41" ht="15.75" x14ac:dyDescent="0.25">
      <c r="A2789" s="231"/>
      <c r="B2789" s="232"/>
      <c r="C2789" s="400"/>
      <c r="D2789" s="233"/>
      <c r="E2789" s="405"/>
      <c r="F2789" s="405"/>
      <c r="G2789" s="405"/>
      <c r="H2789" s="408">
        <f>ROUND(+E2789+F2789+G2789,4)</f>
        <v>0</v>
      </c>
      <c r="I2789" s="234"/>
      <c r="J2789" s="411"/>
      <c r="K2789" s="411"/>
      <c r="L2789" s="414">
        <v>0.1</v>
      </c>
      <c r="M2789" s="414">
        <f>ROUND(+L2789*C2789,4)</f>
        <v>0</v>
      </c>
      <c r="N2789" s="414"/>
      <c r="O2789" s="414"/>
      <c r="P2789" s="414"/>
      <c r="Q2789" s="419">
        <f>ROUND(+N2789+O2789+P2789,4)</f>
        <v>0</v>
      </c>
      <c r="R2789" s="419">
        <f>ROUND(IF(+Q2789-H2789&lt;=0,0,Q2789-H2789),4)</f>
        <v>0</v>
      </c>
      <c r="S2789" s="423">
        <v>0.5</v>
      </c>
      <c r="T2789" s="419">
        <f>ROUND(+(R2789*C2789)*S2789,4)</f>
        <v>0</v>
      </c>
      <c r="U2789" s="419">
        <f>ROUND(+J2789+M2789+T2789,4)</f>
        <v>0</v>
      </c>
      <c r="V2789" s="235"/>
    </row>
    <row r="2790" spans="1:41" ht="15.75" x14ac:dyDescent="0.25">
      <c r="A2790" s="231"/>
      <c r="B2790" s="232"/>
      <c r="C2790" s="400"/>
      <c r="D2790" s="233"/>
      <c r="E2790" s="405"/>
      <c r="F2790" s="405"/>
      <c r="G2790" s="405"/>
      <c r="H2790" s="408">
        <f>ROUND(+E2790+F2790+G2790,4)</f>
        <v>0</v>
      </c>
      <c r="I2790" s="234"/>
      <c r="J2790" s="411"/>
      <c r="K2790" s="411"/>
      <c r="L2790" s="414">
        <v>0.1</v>
      </c>
      <c r="M2790" s="414">
        <f>ROUND(+L2790*C2790,4)</f>
        <v>0</v>
      </c>
      <c r="N2790" s="414"/>
      <c r="O2790" s="414"/>
      <c r="P2790" s="414"/>
      <c r="Q2790" s="419">
        <f>ROUND(+N2790+O2790+P2790,4)</f>
        <v>0</v>
      </c>
      <c r="R2790" s="419">
        <f>ROUND(IF(+Q2790-H2790&lt;=0,0,Q2790-H2790),4)</f>
        <v>0</v>
      </c>
      <c r="S2790" s="423">
        <v>0.5</v>
      </c>
      <c r="T2790" s="419">
        <f>ROUND(+(R2790*C2790)*S2790,4)</f>
        <v>0</v>
      </c>
      <c r="U2790" s="419">
        <f>ROUND(+J2790+M2790+T2790,4)</f>
        <v>0</v>
      </c>
      <c r="V2790" s="235"/>
    </row>
    <row r="2791" spans="1:41" ht="15.75" x14ac:dyDescent="0.25">
      <c r="A2791" s="231"/>
      <c r="B2791" s="232"/>
      <c r="C2791" s="400"/>
      <c r="D2791" s="233"/>
      <c r="E2791" s="405"/>
      <c r="F2791" s="405"/>
      <c r="G2791" s="405"/>
      <c r="H2791" s="408">
        <f>ROUND(+E2791+F2791+G2791,4)</f>
        <v>0</v>
      </c>
      <c r="I2791" s="234"/>
      <c r="J2791" s="411"/>
      <c r="K2791" s="411"/>
      <c r="L2791" s="414">
        <v>0.1</v>
      </c>
      <c r="M2791" s="414">
        <f>ROUND(+L2791*C2791,4)</f>
        <v>0</v>
      </c>
      <c r="N2791" s="414"/>
      <c r="O2791" s="414"/>
      <c r="P2791" s="414"/>
      <c r="Q2791" s="419">
        <f>ROUND(+N2791+O2791+P2791,4)</f>
        <v>0</v>
      </c>
      <c r="R2791" s="419">
        <f>ROUND(IF(+Q2791-H2791&lt;=0,0,Q2791-H2791),4)</f>
        <v>0</v>
      </c>
      <c r="S2791" s="423">
        <v>0.5</v>
      </c>
      <c r="T2791" s="419">
        <f>ROUND(+(R2791*C2791)*S2791,4)</f>
        <v>0</v>
      </c>
      <c r="U2791" s="419">
        <f>ROUND(+J2791+M2791+T2791,4)</f>
        <v>0</v>
      </c>
      <c r="V2791" s="235"/>
    </row>
    <row r="2792" spans="1:41" ht="15.75" x14ac:dyDescent="0.25">
      <c r="A2792" s="231"/>
      <c r="B2792" s="232"/>
      <c r="C2792" s="400"/>
      <c r="D2792" s="233"/>
      <c r="E2792" s="405"/>
      <c r="F2792" s="405"/>
      <c r="G2792" s="405"/>
      <c r="H2792" s="408">
        <f>ROUND(+E2792+F2792+G2792,4)</f>
        <v>0</v>
      </c>
      <c r="I2792" s="234"/>
      <c r="J2792" s="411"/>
      <c r="K2792" s="411"/>
      <c r="L2792" s="414">
        <v>0.1</v>
      </c>
      <c r="M2792" s="414">
        <f>ROUND(+L2792*C2792,4)</f>
        <v>0</v>
      </c>
      <c r="N2792" s="414"/>
      <c r="O2792" s="414"/>
      <c r="P2792" s="414"/>
      <c r="Q2792" s="419">
        <f>ROUND(+N2792+O2792+P2792,4)</f>
        <v>0</v>
      </c>
      <c r="R2792" s="419">
        <f>ROUND(IF(+Q2792-H2792&lt;=0,0,Q2792-H2792),4)</f>
        <v>0</v>
      </c>
      <c r="S2792" s="423">
        <v>0.5</v>
      </c>
      <c r="T2792" s="419">
        <f>ROUND(+(R2792*C2792)*S2792,4)</f>
        <v>0</v>
      </c>
      <c r="U2792" s="419">
        <f>ROUND(+J2792+M2792+T2792,4)</f>
        <v>0</v>
      </c>
      <c r="V2792" s="235"/>
    </row>
    <row r="2793" spans="1:41" ht="15.75" x14ac:dyDescent="0.25">
      <c r="A2793" s="231"/>
      <c r="B2793" s="232"/>
      <c r="C2793" s="400"/>
      <c r="D2793" s="233"/>
      <c r="E2793" s="405"/>
      <c r="F2793" s="405"/>
      <c r="G2793" s="405"/>
      <c r="H2793" s="408">
        <f>ROUND(+E2793+F2793+G2793,4)</f>
        <v>0</v>
      </c>
      <c r="I2793" s="234"/>
      <c r="J2793" s="411"/>
      <c r="K2793" s="411"/>
      <c r="L2793" s="414">
        <v>0.1</v>
      </c>
      <c r="M2793" s="414">
        <f>ROUND(+L2793*C2793,4)</f>
        <v>0</v>
      </c>
      <c r="N2793" s="414"/>
      <c r="O2793" s="414"/>
      <c r="P2793" s="414"/>
      <c r="Q2793" s="419">
        <f>ROUND(+N2793+O2793+P2793,4)</f>
        <v>0</v>
      </c>
      <c r="R2793" s="419">
        <f>ROUND(IF(+Q2793-H2793&lt;=0,0,Q2793-H2793),4)</f>
        <v>0</v>
      </c>
      <c r="S2793" s="423">
        <v>0.5</v>
      </c>
      <c r="T2793" s="419">
        <f>ROUND(+(R2793*C2793)*S2793,4)</f>
        <v>0</v>
      </c>
      <c r="U2793" s="419">
        <f>ROUND(+J2793+M2793+T2793,4)</f>
        <v>0</v>
      </c>
      <c r="V2793" s="235"/>
    </row>
    <row r="2794" spans="1:41" ht="15.75" x14ac:dyDescent="0.25">
      <c r="A2794" s="231"/>
      <c r="B2794" s="232"/>
      <c r="C2794" s="400"/>
      <c r="D2794" s="233"/>
      <c r="E2794" s="405"/>
      <c r="F2794" s="405"/>
      <c r="G2794" s="405"/>
      <c r="H2794" s="408">
        <f>ROUND(+E2794+F2794+G2794,4)</f>
        <v>0</v>
      </c>
      <c r="I2794" s="234"/>
      <c r="J2794" s="411"/>
      <c r="K2794" s="411"/>
      <c r="L2794" s="414">
        <v>0.1</v>
      </c>
      <c r="M2794" s="414">
        <f>ROUND(+L2794*C2794,4)</f>
        <v>0</v>
      </c>
      <c r="N2794" s="414"/>
      <c r="O2794" s="414"/>
      <c r="P2794" s="414"/>
      <c r="Q2794" s="419">
        <f>ROUND(+N2794+O2794+P2794,4)</f>
        <v>0</v>
      </c>
      <c r="R2794" s="419">
        <f>ROUND(IF(+Q2794-H2794&lt;=0,0,Q2794-H2794),4)</f>
        <v>0</v>
      </c>
      <c r="S2794" s="423">
        <v>0.5</v>
      </c>
      <c r="T2794" s="419">
        <f>ROUND(+(R2794*C2794)*S2794,4)</f>
        <v>0</v>
      </c>
      <c r="U2794" s="419">
        <f>ROUND(+J2794+M2794+T2794,4)</f>
        <v>0</v>
      </c>
      <c r="V2794" s="235"/>
      <c r="AA2794" s="236">
        <f t="shared" ref="AA2794:AA2853" ca="1" si="18">TODAY()</f>
        <v>46150</v>
      </c>
      <c r="AB2794" s="236" t="b">
        <f t="shared" ref="AB2794:AB2798" si="19">ISBLANK(V2794)</f>
        <v>1</v>
      </c>
      <c r="AF2794" s="230">
        <f t="shared" ref="AF2794:AF2798" si="20">WEEKNUM(V2794)</f>
        <v>0</v>
      </c>
      <c r="AG2794" s="230">
        <f t="shared" ref="AG2794:AG2798" si="21">YEAR(V2794)</f>
        <v>1900</v>
      </c>
      <c r="AN2794" s="230">
        <f t="shared" ref="AN2794:AN2798" si="22">IF(V2794="",0,MONTH(V2794))</f>
        <v>0</v>
      </c>
      <c r="AO2794" s="230">
        <f t="shared" si="1"/>
        <v>0</v>
      </c>
    </row>
    <row r="2795" spans="1:41" ht="15.75" x14ac:dyDescent="0.25">
      <c r="A2795" s="231"/>
      <c r="B2795" s="232"/>
      <c r="C2795" s="400"/>
      <c r="D2795" s="233"/>
      <c r="E2795" s="405"/>
      <c r="F2795" s="405"/>
      <c r="G2795" s="405"/>
      <c r="H2795" s="408">
        <f>ROUND(+E2795+F2795+G2795,4)</f>
        <v>0</v>
      </c>
      <c r="I2795" s="234"/>
      <c r="J2795" s="411"/>
      <c r="K2795" s="411"/>
      <c r="L2795" s="414">
        <v>0.1</v>
      </c>
      <c r="M2795" s="414">
        <f>ROUND(+L2795*C2795,4)</f>
        <v>0</v>
      </c>
      <c r="N2795" s="414"/>
      <c r="O2795" s="414"/>
      <c r="P2795" s="414"/>
      <c r="Q2795" s="419">
        <f>ROUND(+N2795+O2795+P2795,4)</f>
        <v>0</v>
      </c>
      <c r="R2795" s="419">
        <f>ROUND(IF(+Q2795-H2795&lt;=0,0,Q2795-H2795),4)</f>
        <v>0</v>
      </c>
      <c r="S2795" s="423">
        <v>0.5</v>
      </c>
      <c r="T2795" s="419">
        <f>ROUND(+(R2795*C2795)*S2795,4)</f>
        <v>0</v>
      </c>
      <c r="U2795" s="419">
        <f>ROUND(+J2795+M2795+T2795,4)</f>
        <v>0</v>
      </c>
      <c r="V2795" s="235"/>
    </row>
    <row r="2796" spans="1:41" ht="15.75" x14ac:dyDescent="0.25">
      <c r="A2796" s="231"/>
      <c r="B2796" s="232"/>
      <c r="C2796" s="400"/>
      <c r="D2796" s="233"/>
      <c r="E2796" s="405"/>
      <c r="F2796" s="405"/>
      <c r="G2796" s="405"/>
      <c r="H2796" s="408">
        <f>ROUND(+E2796+F2796+G2796,4)</f>
        <v>0</v>
      </c>
      <c r="I2796" s="234"/>
      <c r="J2796" s="411"/>
      <c r="K2796" s="411"/>
      <c r="L2796" s="414"/>
      <c r="M2796" s="414">
        <f>ROUND(+L2796*C2796,4)</f>
        <v>0</v>
      </c>
      <c r="N2796" s="414"/>
      <c r="O2796" s="414"/>
      <c r="P2796" s="414"/>
      <c r="Q2796" s="419">
        <f>ROUND(+N2796+O2796+P2796,4)</f>
        <v>0</v>
      </c>
      <c r="R2796" s="419">
        <f>ROUND(IF(+Q2796-H2796&lt;=0,0,Q2796-H2796),4)</f>
        <v>0</v>
      </c>
      <c r="S2796" s="423"/>
      <c r="T2796" s="419">
        <f>ROUND(+(R2796*C2796)*S2796,4)</f>
        <v>0</v>
      </c>
      <c r="U2796" s="419">
        <f>ROUND(+J2796+M2796+T2796,4)</f>
        <v>0</v>
      </c>
      <c r="V2796" s="235"/>
      <c r="AN2796" s="230">
        <f>IF(V2796="",0,MONTH(V2796))</f>
        <v>0</v>
      </c>
      <c r="AO2796" s="230">
        <f>IF(V2796="",0,YEAR(V2796))</f>
        <v>0</v>
      </c>
    </row>
    <row r="2797" spans="1:41" ht="15.75" x14ac:dyDescent="0.25">
      <c r="A2797" s="231"/>
      <c r="B2797" s="232"/>
      <c r="C2797" s="400"/>
      <c r="D2797" s="233"/>
      <c r="E2797" s="405"/>
      <c r="F2797" s="405"/>
      <c r="G2797" s="405"/>
      <c r="H2797" s="408">
        <f>ROUND(+E2797+F2797+G2797,4)</f>
        <v>0</v>
      </c>
      <c r="I2797" s="234"/>
      <c r="J2797" s="411"/>
      <c r="K2797" s="411"/>
      <c r="L2797" s="414"/>
      <c r="M2797" s="414">
        <f>ROUND(+L2797*C2797,4)</f>
        <v>0</v>
      </c>
      <c r="N2797" s="414"/>
      <c r="O2797" s="414"/>
      <c r="P2797" s="414"/>
      <c r="Q2797" s="419">
        <f>ROUND(+N2797+O2797+P2797,4)</f>
        <v>0</v>
      </c>
      <c r="R2797" s="419">
        <f>ROUND(IF(+Q2797-H2797&lt;=0,0,Q2797-H2797),4)</f>
        <v>0</v>
      </c>
      <c r="S2797" s="423"/>
      <c r="T2797" s="419">
        <f>ROUND(+(R2797*C2797)*S2797,4)</f>
        <v>0</v>
      </c>
      <c r="U2797" s="419">
        <f>ROUND(+J2797+M2797+T2797,4)</f>
        <v>0</v>
      </c>
      <c r="V2797" s="235"/>
      <c r="AN2797" s="230">
        <f>IF(V2797="",0,MONTH(V2797))</f>
        <v>0</v>
      </c>
      <c r="AO2797" s="230">
        <f>IF(V2797="",0,YEAR(V2797))</f>
        <v>0</v>
      </c>
    </row>
    <row r="2798" spans="1:41" ht="15.75" x14ac:dyDescent="0.25">
      <c r="A2798" s="231"/>
      <c r="B2798" s="232"/>
      <c r="C2798" s="400"/>
      <c r="D2798" s="233"/>
      <c r="E2798" s="405"/>
      <c r="F2798" s="405"/>
      <c r="G2798" s="405"/>
      <c r="H2798" s="408">
        <f>ROUND(+E2798+F2798+G2798,4)</f>
        <v>0</v>
      </c>
      <c r="I2798" s="234"/>
      <c r="J2798" s="411"/>
      <c r="K2798" s="411"/>
      <c r="L2798" s="414">
        <v>0.1</v>
      </c>
      <c r="M2798" s="414">
        <f>ROUND(+L2798*C2798,4)</f>
        <v>0</v>
      </c>
      <c r="N2798" s="414"/>
      <c r="O2798" s="414"/>
      <c r="P2798" s="414"/>
      <c r="Q2798" s="419">
        <f>ROUND(+N2798+O2798+P2798,4)</f>
        <v>0</v>
      </c>
      <c r="R2798" s="419">
        <f>ROUND(IF(+Q2798-H2798&lt;=0,0,Q2798-H2798),4)</f>
        <v>0</v>
      </c>
      <c r="S2798" s="423">
        <v>0.5</v>
      </c>
      <c r="T2798" s="419">
        <f>ROUND(+(R2798*C2798)*S2798,4)</f>
        <v>0</v>
      </c>
      <c r="U2798" s="419">
        <f>ROUND(+J2798+M2798+T2798,4)</f>
        <v>0</v>
      </c>
      <c r="V2798" s="235"/>
      <c r="AA2798" s="236">
        <f t="shared" ca="1" si="18"/>
        <v>46150</v>
      </c>
      <c r="AB2798" s="236" t="b">
        <f t="shared" si="19"/>
        <v>1</v>
      </c>
      <c r="AF2798" s="230">
        <f t="shared" si="20"/>
        <v>0</v>
      </c>
      <c r="AG2798" s="230">
        <f t="shared" si="21"/>
        <v>1900</v>
      </c>
      <c r="AN2798" s="230">
        <f t="shared" si="22"/>
        <v>0</v>
      </c>
      <c r="AO2798" s="230">
        <f t="shared" si="1"/>
        <v>0</v>
      </c>
    </row>
    <row r="2799" spans="1:41" customFormat="1" ht="15.75" x14ac:dyDescent="0.25">
      <c r="A2799" s="224"/>
      <c r="B2799" s="225"/>
      <c r="C2799" s="399"/>
      <c r="D2799" s="226"/>
      <c r="E2799" s="404"/>
      <c r="F2799" s="404"/>
      <c r="G2799" s="404"/>
      <c r="H2799" s="407">
        <f>ROUND(+E2799+F2799+G2799,4)</f>
        <v>0</v>
      </c>
      <c r="I2799" s="227"/>
      <c r="J2799" s="410"/>
      <c r="K2799" s="410"/>
      <c r="L2799" s="413"/>
      <c r="M2799" s="413">
        <f>ROUND(+L2799*C2799,4)</f>
        <v>0</v>
      </c>
      <c r="N2799" s="417"/>
      <c r="O2799" s="417"/>
      <c r="P2799" s="417"/>
      <c r="Q2799" s="418">
        <f>ROUND(+N2799+O2799+P2799,4)</f>
        <v>0</v>
      </c>
      <c r="R2799" s="421">
        <f>ROUND(IF(+Q2799-H2799&lt;=0,0,Q2799-H2799),4)</f>
        <v>0</v>
      </c>
      <c r="S2799" s="422"/>
      <c r="T2799" s="421">
        <f>ROUND(+(R2799*C2799)*S2799,4)</f>
        <v>0</v>
      </c>
      <c r="U2799" s="421">
        <f>ROUND(+J2799+M2799+T2799,4)</f>
        <v>0</v>
      </c>
      <c r="V2799" s="228"/>
      <c r="AA2799" s="229"/>
      <c r="AB2799" s="229"/>
      <c r="AN2799">
        <f t="shared" ref="AN2799:AN2830" si="23">IF(V2799="",0,MONTH(V2799))</f>
        <v>0</v>
      </c>
      <c r="AO2799">
        <f t="shared" ref="AO2799:AO2830" si="24">IF(V2799="",0,YEAR(V2799))</f>
        <v>0</v>
      </c>
    </row>
    <row r="2800" spans="1:41" customFormat="1" ht="15.75" x14ac:dyDescent="0.25">
      <c r="A2800" s="224"/>
      <c r="B2800" s="225"/>
      <c r="C2800" s="399"/>
      <c r="D2800" s="226"/>
      <c r="E2800" s="404"/>
      <c r="F2800" s="404"/>
      <c r="G2800" s="404"/>
      <c r="H2800" s="407">
        <f>ROUND(+E2800+F2800+G2800,4)</f>
        <v>0</v>
      </c>
      <c r="I2800" s="227"/>
      <c r="J2800" s="410"/>
      <c r="K2800" s="410"/>
      <c r="L2800" s="413"/>
      <c r="M2800" s="413">
        <f>ROUND(+L2800*C2800,4)</f>
        <v>0</v>
      </c>
      <c r="N2800" s="417"/>
      <c r="O2800" s="417"/>
      <c r="P2800" s="417"/>
      <c r="Q2800" s="418">
        <f>ROUND(+N2800+O2800+P2800,4)</f>
        <v>0</v>
      </c>
      <c r="R2800" s="421">
        <f>ROUND(IF(+Q2800-H2800&lt;=0,0,Q2800-H2800),4)</f>
        <v>0</v>
      </c>
      <c r="S2800" s="422"/>
      <c r="T2800" s="421">
        <f>ROUND(+(R2800*C2800)*S2800,4)</f>
        <v>0</v>
      </c>
      <c r="U2800" s="421">
        <f>ROUND(+J2800+M2800+T2800,4)</f>
        <v>0</v>
      </c>
      <c r="V2800" s="228"/>
      <c r="AA2800" s="229"/>
      <c r="AB2800" s="229"/>
      <c r="AN2800">
        <f t="shared" si="23"/>
        <v>0</v>
      </c>
      <c r="AO2800">
        <f t="shared" si="24"/>
        <v>0</v>
      </c>
    </row>
    <row r="2801" spans="1:41" customFormat="1" ht="15.75" x14ac:dyDescent="0.25">
      <c r="A2801" s="224"/>
      <c r="B2801" s="225"/>
      <c r="C2801" s="399"/>
      <c r="D2801" s="226"/>
      <c r="E2801" s="404"/>
      <c r="F2801" s="404"/>
      <c r="G2801" s="404"/>
      <c r="H2801" s="407">
        <f>ROUND(+E2801+F2801+G2801,4)</f>
        <v>0</v>
      </c>
      <c r="I2801" s="227"/>
      <c r="J2801" s="410"/>
      <c r="K2801" s="410"/>
      <c r="L2801" s="413"/>
      <c r="M2801" s="413">
        <f>ROUND(+L2801*C2801,4)</f>
        <v>0</v>
      </c>
      <c r="N2801" s="417"/>
      <c r="O2801" s="417"/>
      <c r="P2801" s="417"/>
      <c r="Q2801" s="418">
        <f>ROUND(+N2801+O2801+P2801,4)</f>
        <v>0</v>
      </c>
      <c r="R2801" s="421">
        <f>ROUND(IF(+Q2801-H2801&lt;=0,0,Q2801-H2801),4)</f>
        <v>0</v>
      </c>
      <c r="S2801" s="422"/>
      <c r="T2801" s="421">
        <f>ROUND(+(R2801*C2801)*S2801,4)</f>
        <v>0</v>
      </c>
      <c r="U2801" s="421">
        <f>ROUND(+J2801+M2801+T2801,4)</f>
        <v>0</v>
      </c>
      <c r="V2801" s="228"/>
      <c r="AA2801" s="229"/>
      <c r="AB2801" s="229"/>
      <c r="AN2801">
        <f t="shared" si="23"/>
        <v>0</v>
      </c>
      <c r="AO2801">
        <f t="shared" si="24"/>
        <v>0</v>
      </c>
    </row>
    <row r="2802" spans="1:41" customFormat="1" ht="15.75" x14ac:dyDescent="0.25">
      <c r="A2802" s="224"/>
      <c r="B2802" s="225"/>
      <c r="C2802" s="399"/>
      <c r="D2802" s="226"/>
      <c r="E2802" s="404"/>
      <c r="F2802" s="404"/>
      <c r="G2802" s="404"/>
      <c r="H2802" s="407">
        <f>ROUND(+E2802+F2802+G2802,4)</f>
        <v>0</v>
      </c>
      <c r="I2802" s="227"/>
      <c r="J2802" s="410"/>
      <c r="K2802" s="410"/>
      <c r="L2802" s="413"/>
      <c r="M2802" s="413">
        <f>ROUND(+L2802*C2802,4)</f>
        <v>0</v>
      </c>
      <c r="N2802" s="417"/>
      <c r="O2802" s="417"/>
      <c r="P2802" s="417"/>
      <c r="Q2802" s="418">
        <f>ROUND(+N2802+O2802+P2802,4)</f>
        <v>0</v>
      </c>
      <c r="R2802" s="421">
        <f>ROUND(IF(+Q2802-H2802&lt;=0,0,Q2802-H2802),4)</f>
        <v>0</v>
      </c>
      <c r="S2802" s="422"/>
      <c r="T2802" s="421">
        <f>ROUND(+(R2802*C2802)*S2802,4)</f>
        <v>0</v>
      </c>
      <c r="U2802" s="421">
        <f>ROUND(+J2802+M2802+T2802,4)</f>
        <v>0</v>
      </c>
      <c r="V2802" s="228"/>
      <c r="AA2802" s="229"/>
      <c r="AB2802" s="229"/>
      <c r="AN2802">
        <f t="shared" si="23"/>
        <v>0</v>
      </c>
      <c r="AO2802">
        <f t="shared" si="24"/>
        <v>0</v>
      </c>
    </row>
    <row r="2803" spans="1:41" customFormat="1" ht="15.75" x14ac:dyDescent="0.25">
      <c r="A2803" s="224"/>
      <c r="B2803" s="225"/>
      <c r="C2803" s="399"/>
      <c r="D2803" s="226"/>
      <c r="E2803" s="404"/>
      <c r="F2803" s="404"/>
      <c r="G2803" s="404"/>
      <c r="H2803" s="407">
        <f>ROUND(+E2803+F2803+G2803,4)</f>
        <v>0</v>
      </c>
      <c r="I2803" s="227"/>
      <c r="J2803" s="410"/>
      <c r="K2803" s="410"/>
      <c r="L2803" s="413"/>
      <c r="M2803" s="413">
        <f>ROUND(+L2803*C2803,4)</f>
        <v>0</v>
      </c>
      <c r="N2803" s="417"/>
      <c r="O2803" s="417"/>
      <c r="P2803" s="417"/>
      <c r="Q2803" s="418">
        <f>ROUND(+N2803+O2803+P2803,4)</f>
        <v>0</v>
      </c>
      <c r="R2803" s="421">
        <f>ROUND(IF(+Q2803-H2803&lt;=0,0,Q2803-H2803),4)</f>
        <v>0</v>
      </c>
      <c r="S2803" s="422"/>
      <c r="T2803" s="421">
        <f>ROUND(+(R2803*C2803)*S2803,4)</f>
        <v>0</v>
      </c>
      <c r="U2803" s="421">
        <f>ROUND(+J2803+M2803+T2803,4)</f>
        <v>0</v>
      </c>
      <c r="V2803" s="228"/>
      <c r="AA2803" s="229"/>
      <c r="AB2803" s="229"/>
      <c r="AN2803">
        <f t="shared" si="23"/>
        <v>0</v>
      </c>
      <c r="AO2803">
        <f t="shared" si="24"/>
        <v>0</v>
      </c>
    </row>
    <row r="2804" spans="1:41" customFormat="1" ht="15.75" x14ac:dyDescent="0.25">
      <c r="A2804" s="224"/>
      <c r="B2804" s="225"/>
      <c r="C2804" s="399"/>
      <c r="D2804" s="226"/>
      <c r="E2804" s="404"/>
      <c r="F2804" s="404"/>
      <c r="G2804" s="404"/>
      <c r="H2804" s="407">
        <f>ROUND(+E2804+F2804+G2804,4)</f>
        <v>0</v>
      </c>
      <c r="I2804" s="227"/>
      <c r="J2804" s="410"/>
      <c r="K2804" s="410"/>
      <c r="L2804" s="413"/>
      <c r="M2804" s="413">
        <f>ROUND(+L2804*C2804,4)</f>
        <v>0</v>
      </c>
      <c r="N2804" s="417"/>
      <c r="O2804" s="417"/>
      <c r="P2804" s="417"/>
      <c r="Q2804" s="418">
        <f>ROUND(+N2804+O2804+P2804,4)</f>
        <v>0</v>
      </c>
      <c r="R2804" s="421">
        <f>ROUND(IF(+Q2804-H2804&lt;=0,0,Q2804-H2804),4)</f>
        <v>0</v>
      </c>
      <c r="S2804" s="422"/>
      <c r="T2804" s="421">
        <f>ROUND(+(R2804*C2804)*S2804,4)</f>
        <v>0</v>
      </c>
      <c r="U2804" s="421">
        <f>ROUND(+J2804+M2804+T2804,4)</f>
        <v>0</v>
      </c>
      <c r="V2804" s="228"/>
      <c r="AA2804" s="229"/>
      <c r="AB2804" s="229"/>
      <c r="AN2804">
        <f t="shared" si="23"/>
        <v>0</v>
      </c>
      <c r="AO2804">
        <f t="shared" si="24"/>
        <v>0</v>
      </c>
    </row>
    <row r="2805" spans="1:41" customFormat="1" ht="15.75" x14ac:dyDescent="0.25">
      <c r="A2805" s="224"/>
      <c r="B2805" s="225"/>
      <c r="C2805" s="399"/>
      <c r="D2805" s="226"/>
      <c r="E2805" s="404"/>
      <c r="F2805" s="404"/>
      <c r="G2805" s="404"/>
      <c r="H2805" s="407">
        <f>ROUND(+E2805+F2805+G2805,4)</f>
        <v>0</v>
      </c>
      <c r="I2805" s="227"/>
      <c r="J2805" s="410"/>
      <c r="K2805" s="410"/>
      <c r="L2805" s="413"/>
      <c r="M2805" s="413">
        <f>ROUND(+L2805*C2805,4)</f>
        <v>0</v>
      </c>
      <c r="N2805" s="417"/>
      <c r="O2805" s="417"/>
      <c r="P2805" s="417"/>
      <c r="Q2805" s="418">
        <f>ROUND(+N2805+O2805+P2805,4)</f>
        <v>0</v>
      </c>
      <c r="R2805" s="421">
        <f>ROUND(IF(+Q2805-H2805&lt;=0,0,Q2805-H2805),4)</f>
        <v>0</v>
      </c>
      <c r="S2805" s="422"/>
      <c r="T2805" s="421">
        <f>ROUND(+(R2805*C2805)*S2805,4)</f>
        <v>0</v>
      </c>
      <c r="U2805" s="421">
        <f>ROUND(+J2805+M2805+T2805,4)</f>
        <v>0</v>
      </c>
      <c r="V2805" s="228"/>
      <c r="AA2805" s="229"/>
      <c r="AB2805" s="229"/>
      <c r="AN2805">
        <f t="shared" si="23"/>
        <v>0</v>
      </c>
      <c r="AO2805">
        <f t="shared" si="24"/>
        <v>0</v>
      </c>
    </row>
    <row r="2806" spans="1:41" customFormat="1" ht="15.75" x14ac:dyDescent="0.25">
      <c r="A2806" s="224"/>
      <c r="B2806" s="225"/>
      <c r="C2806" s="399"/>
      <c r="D2806" s="226"/>
      <c r="E2806" s="404"/>
      <c r="F2806" s="404"/>
      <c r="G2806" s="404"/>
      <c r="H2806" s="407">
        <f>ROUND(+E2806+F2806+G2806,4)</f>
        <v>0</v>
      </c>
      <c r="I2806" s="227"/>
      <c r="J2806" s="410"/>
      <c r="K2806" s="410"/>
      <c r="L2806" s="413"/>
      <c r="M2806" s="413">
        <f>ROUND(+L2806*C2806,4)</f>
        <v>0</v>
      </c>
      <c r="N2806" s="417"/>
      <c r="O2806" s="417"/>
      <c r="P2806" s="417"/>
      <c r="Q2806" s="418">
        <f>ROUND(+N2806+O2806+P2806,4)</f>
        <v>0</v>
      </c>
      <c r="R2806" s="421">
        <f>ROUND(IF(+Q2806-H2806&lt;=0,0,Q2806-H2806),4)</f>
        <v>0</v>
      </c>
      <c r="S2806" s="422"/>
      <c r="T2806" s="421">
        <f>ROUND(+(R2806*C2806)*S2806,4)</f>
        <v>0</v>
      </c>
      <c r="U2806" s="421">
        <f>ROUND(+J2806+M2806+T2806,4)</f>
        <v>0</v>
      </c>
      <c r="V2806" s="228"/>
      <c r="AA2806" s="229"/>
      <c r="AB2806" s="229"/>
      <c r="AN2806">
        <f t="shared" si="23"/>
        <v>0</v>
      </c>
      <c r="AO2806">
        <f t="shared" si="24"/>
        <v>0</v>
      </c>
    </row>
    <row r="2807" spans="1:41" customFormat="1" ht="15.75" x14ac:dyDescent="0.25">
      <c r="A2807" s="224"/>
      <c r="B2807" s="225"/>
      <c r="C2807" s="399"/>
      <c r="D2807" s="226"/>
      <c r="E2807" s="404"/>
      <c r="F2807" s="404"/>
      <c r="G2807" s="404"/>
      <c r="H2807" s="407">
        <f>ROUND(+E2807+F2807+G2807,4)</f>
        <v>0</v>
      </c>
      <c r="I2807" s="227"/>
      <c r="J2807" s="410"/>
      <c r="K2807" s="410"/>
      <c r="L2807" s="413"/>
      <c r="M2807" s="413">
        <f>ROUND(+L2807*C2807,4)</f>
        <v>0</v>
      </c>
      <c r="N2807" s="417"/>
      <c r="O2807" s="417"/>
      <c r="P2807" s="417"/>
      <c r="Q2807" s="418">
        <f>ROUND(+N2807+O2807+P2807,4)</f>
        <v>0</v>
      </c>
      <c r="R2807" s="421">
        <f>ROUND(IF(+Q2807-H2807&lt;=0,0,Q2807-H2807),4)</f>
        <v>0</v>
      </c>
      <c r="S2807" s="422"/>
      <c r="T2807" s="421">
        <f>ROUND(+(R2807*C2807)*S2807,4)</f>
        <v>0</v>
      </c>
      <c r="U2807" s="421">
        <f>ROUND(+J2807+M2807+T2807,4)</f>
        <v>0</v>
      </c>
      <c r="V2807" s="228"/>
      <c r="AA2807" s="229"/>
      <c r="AB2807" s="229"/>
      <c r="AN2807">
        <f t="shared" si="23"/>
        <v>0</v>
      </c>
      <c r="AO2807">
        <f t="shared" si="24"/>
        <v>0</v>
      </c>
    </row>
    <row r="2808" spans="1:41" customFormat="1" ht="15.75" x14ac:dyDescent="0.25">
      <c r="A2808" s="224"/>
      <c r="B2808" s="225"/>
      <c r="C2808" s="399"/>
      <c r="D2808" s="226"/>
      <c r="E2808" s="404"/>
      <c r="F2808" s="404"/>
      <c r="G2808" s="404"/>
      <c r="H2808" s="407">
        <f>ROUND(+E2808+F2808+G2808,4)</f>
        <v>0</v>
      </c>
      <c r="I2808" s="227"/>
      <c r="J2808" s="410"/>
      <c r="K2808" s="410"/>
      <c r="L2808" s="413"/>
      <c r="M2808" s="413">
        <f>ROUND(+L2808*C2808,4)</f>
        <v>0</v>
      </c>
      <c r="N2808" s="417"/>
      <c r="O2808" s="417"/>
      <c r="P2808" s="417"/>
      <c r="Q2808" s="418">
        <f>ROUND(+N2808+O2808+P2808,4)</f>
        <v>0</v>
      </c>
      <c r="R2808" s="421">
        <f>ROUND(IF(+Q2808-H2808&lt;=0,0,Q2808-H2808),4)</f>
        <v>0</v>
      </c>
      <c r="S2808" s="422"/>
      <c r="T2808" s="421">
        <f>ROUND(+(R2808*C2808)*S2808,4)</f>
        <v>0</v>
      </c>
      <c r="U2808" s="421">
        <f>ROUND(+J2808+M2808+T2808,4)</f>
        <v>0</v>
      </c>
      <c r="V2808" s="228"/>
      <c r="AA2808" s="229"/>
      <c r="AB2808" s="229"/>
      <c r="AN2808">
        <f t="shared" si="23"/>
        <v>0</v>
      </c>
      <c r="AO2808">
        <f t="shared" si="24"/>
        <v>0</v>
      </c>
    </row>
    <row r="2809" spans="1:41" customFormat="1" ht="15.75" x14ac:dyDescent="0.25">
      <c r="A2809" s="224"/>
      <c r="B2809" s="225"/>
      <c r="C2809" s="399"/>
      <c r="D2809" s="226"/>
      <c r="E2809" s="404"/>
      <c r="F2809" s="404"/>
      <c r="G2809" s="404"/>
      <c r="H2809" s="407">
        <f>ROUND(+E2809+F2809+G2809,4)</f>
        <v>0</v>
      </c>
      <c r="I2809" s="227"/>
      <c r="J2809" s="410"/>
      <c r="K2809" s="410"/>
      <c r="L2809" s="413"/>
      <c r="M2809" s="413">
        <f>ROUND(+L2809*C2809,4)</f>
        <v>0</v>
      </c>
      <c r="N2809" s="417"/>
      <c r="O2809" s="417"/>
      <c r="P2809" s="417"/>
      <c r="Q2809" s="418">
        <f>ROUND(+N2809+O2809+P2809,4)</f>
        <v>0</v>
      </c>
      <c r="R2809" s="421">
        <f>ROUND(IF(+Q2809-H2809&lt;=0,0,Q2809-H2809),4)</f>
        <v>0</v>
      </c>
      <c r="S2809" s="422"/>
      <c r="T2809" s="421">
        <f>ROUND(+(R2809*C2809)*S2809,4)</f>
        <v>0</v>
      </c>
      <c r="U2809" s="421">
        <f>ROUND(+J2809+M2809+T2809,4)</f>
        <v>0</v>
      </c>
      <c r="V2809" s="228"/>
      <c r="AA2809" s="229"/>
      <c r="AB2809" s="229"/>
      <c r="AN2809">
        <f t="shared" si="23"/>
        <v>0</v>
      </c>
      <c r="AO2809">
        <f t="shared" si="24"/>
        <v>0</v>
      </c>
    </row>
    <row r="2810" spans="1:41" customFormat="1" ht="15.75" x14ac:dyDescent="0.25">
      <c r="A2810" s="224"/>
      <c r="B2810" s="225"/>
      <c r="C2810" s="399"/>
      <c r="D2810" s="226"/>
      <c r="E2810" s="404"/>
      <c r="F2810" s="404"/>
      <c r="G2810" s="404"/>
      <c r="H2810" s="407">
        <f>ROUND(+E2810+F2810+G2810,4)</f>
        <v>0</v>
      </c>
      <c r="I2810" s="227"/>
      <c r="J2810" s="410"/>
      <c r="K2810" s="410"/>
      <c r="L2810" s="413"/>
      <c r="M2810" s="413">
        <f>ROUND(+L2810*C2810,4)</f>
        <v>0</v>
      </c>
      <c r="N2810" s="417"/>
      <c r="O2810" s="417"/>
      <c r="P2810" s="417"/>
      <c r="Q2810" s="418">
        <f>ROUND(+N2810+O2810+P2810,4)</f>
        <v>0</v>
      </c>
      <c r="R2810" s="421">
        <f>ROUND(IF(+Q2810-H2810&lt;=0,0,Q2810-H2810),4)</f>
        <v>0</v>
      </c>
      <c r="S2810" s="422"/>
      <c r="T2810" s="421">
        <f>ROUND(+(R2810*C2810)*S2810,4)</f>
        <v>0</v>
      </c>
      <c r="U2810" s="421">
        <f>ROUND(+J2810+M2810+T2810,4)</f>
        <v>0</v>
      </c>
      <c r="V2810" s="228"/>
      <c r="AA2810" s="229"/>
      <c r="AB2810" s="229"/>
      <c r="AN2810">
        <f t="shared" si="23"/>
        <v>0</v>
      </c>
      <c r="AO2810">
        <f t="shared" si="24"/>
        <v>0</v>
      </c>
    </row>
    <row r="2811" spans="1:41" customFormat="1" ht="15.75" x14ac:dyDescent="0.25">
      <c r="A2811" s="224"/>
      <c r="B2811" s="225"/>
      <c r="C2811" s="399"/>
      <c r="D2811" s="226"/>
      <c r="E2811" s="404"/>
      <c r="F2811" s="404"/>
      <c r="G2811" s="404"/>
      <c r="H2811" s="407">
        <f>ROUND(+E2811+F2811+G2811,4)</f>
        <v>0</v>
      </c>
      <c r="I2811" s="227"/>
      <c r="J2811" s="410"/>
      <c r="K2811" s="410"/>
      <c r="L2811" s="413"/>
      <c r="M2811" s="413">
        <f>ROUND(+L2811*C2811,4)</f>
        <v>0</v>
      </c>
      <c r="N2811" s="417"/>
      <c r="O2811" s="417"/>
      <c r="P2811" s="417"/>
      <c r="Q2811" s="418">
        <f>ROUND(+N2811+O2811+P2811,4)</f>
        <v>0</v>
      </c>
      <c r="R2811" s="421">
        <f>ROUND(IF(+Q2811-H2811&lt;=0,0,Q2811-H2811),4)</f>
        <v>0</v>
      </c>
      <c r="S2811" s="422"/>
      <c r="T2811" s="421">
        <f>ROUND(+(R2811*C2811)*S2811,4)</f>
        <v>0</v>
      </c>
      <c r="U2811" s="421">
        <f>ROUND(+J2811+M2811+T2811,4)</f>
        <v>0</v>
      </c>
      <c r="V2811" s="228"/>
      <c r="AA2811" s="229"/>
      <c r="AB2811" s="229"/>
      <c r="AN2811">
        <f t="shared" si="23"/>
        <v>0</v>
      </c>
      <c r="AO2811">
        <f t="shared" si="24"/>
        <v>0</v>
      </c>
    </row>
    <row r="2812" spans="1:41" customFormat="1" ht="15.75" x14ac:dyDescent="0.25">
      <c r="A2812" s="224"/>
      <c r="B2812" s="225"/>
      <c r="C2812" s="399"/>
      <c r="D2812" s="226"/>
      <c r="E2812" s="404"/>
      <c r="F2812" s="404"/>
      <c r="G2812" s="404"/>
      <c r="H2812" s="407">
        <f>ROUND(+E2812+F2812+G2812,4)</f>
        <v>0</v>
      </c>
      <c r="I2812" s="227"/>
      <c r="J2812" s="410"/>
      <c r="K2812" s="410"/>
      <c r="L2812" s="413"/>
      <c r="M2812" s="413">
        <f>ROUND(+L2812*C2812,4)</f>
        <v>0</v>
      </c>
      <c r="N2812" s="417"/>
      <c r="O2812" s="417"/>
      <c r="P2812" s="417"/>
      <c r="Q2812" s="418">
        <f>ROUND(+N2812+O2812+P2812,4)</f>
        <v>0</v>
      </c>
      <c r="R2812" s="421">
        <f>ROUND(IF(+Q2812-H2812&lt;=0,0,Q2812-H2812),4)</f>
        <v>0</v>
      </c>
      <c r="S2812" s="422"/>
      <c r="T2812" s="421">
        <f>ROUND(+(R2812*C2812)*S2812,4)</f>
        <v>0</v>
      </c>
      <c r="U2812" s="421">
        <f>ROUND(+J2812+M2812+T2812,4)</f>
        <v>0</v>
      </c>
      <c r="V2812" s="228"/>
      <c r="AA2812" s="229"/>
      <c r="AB2812" s="229"/>
      <c r="AN2812">
        <f t="shared" si="23"/>
        <v>0</v>
      </c>
      <c r="AO2812">
        <f t="shared" si="24"/>
        <v>0</v>
      </c>
    </row>
    <row r="2813" spans="1:41" customFormat="1" ht="15.75" x14ac:dyDescent="0.25">
      <c r="A2813" s="224"/>
      <c r="B2813" s="225"/>
      <c r="C2813" s="399"/>
      <c r="D2813" s="226"/>
      <c r="E2813" s="404"/>
      <c r="F2813" s="404"/>
      <c r="G2813" s="404"/>
      <c r="H2813" s="407">
        <f>ROUND(+E2813+F2813+G2813,4)</f>
        <v>0</v>
      </c>
      <c r="I2813" s="227"/>
      <c r="J2813" s="410"/>
      <c r="K2813" s="410"/>
      <c r="L2813" s="413"/>
      <c r="M2813" s="413">
        <f>ROUND(+L2813*C2813,4)</f>
        <v>0</v>
      </c>
      <c r="N2813" s="417"/>
      <c r="O2813" s="417"/>
      <c r="P2813" s="417"/>
      <c r="Q2813" s="418">
        <f>ROUND(+N2813+O2813+P2813,4)</f>
        <v>0</v>
      </c>
      <c r="R2813" s="421">
        <f>ROUND(IF(+Q2813-H2813&lt;=0,0,Q2813-H2813),4)</f>
        <v>0</v>
      </c>
      <c r="S2813" s="422"/>
      <c r="T2813" s="421">
        <f>ROUND(+(R2813*C2813)*S2813,4)</f>
        <v>0</v>
      </c>
      <c r="U2813" s="421">
        <f>ROUND(+J2813+M2813+T2813,4)</f>
        <v>0</v>
      </c>
      <c r="V2813" s="228"/>
      <c r="AA2813" s="229"/>
      <c r="AB2813" s="229"/>
      <c r="AN2813">
        <f t="shared" si="23"/>
        <v>0</v>
      </c>
      <c r="AO2813">
        <f t="shared" si="24"/>
        <v>0</v>
      </c>
    </row>
    <row r="2814" spans="1:41" customFormat="1" ht="15.75" x14ac:dyDescent="0.25">
      <c r="A2814" s="224"/>
      <c r="B2814" s="225"/>
      <c r="C2814" s="399"/>
      <c r="D2814" s="226"/>
      <c r="E2814" s="404"/>
      <c r="F2814" s="404"/>
      <c r="G2814" s="404"/>
      <c r="H2814" s="407">
        <f>ROUND(+E2814+F2814+G2814,4)</f>
        <v>0</v>
      </c>
      <c r="I2814" s="227"/>
      <c r="J2814" s="410"/>
      <c r="K2814" s="410"/>
      <c r="L2814" s="413"/>
      <c r="M2814" s="413">
        <f>ROUND(+L2814*C2814,4)</f>
        <v>0</v>
      </c>
      <c r="N2814" s="417"/>
      <c r="O2814" s="417"/>
      <c r="P2814" s="417"/>
      <c r="Q2814" s="418">
        <f>ROUND(+N2814+O2814+P2814,4)</f>
        <v>0</v>
      </c>
      <c r="R2814" s="421">
        <f>ROUND(IF(+Q2814-H2814&lt;=0,0,Q2814-H2814),4)</f>
        <v>0</v>
      </c>
      <c r="S2814" s="422"/>
      <c r="T2814" s="421">
        <f>ROUND(+(R2814*C2814)*S2814,4)</f>
        <v>0</v>
      </c>
      <c r="U2814" s="421">
        <f>ROUND(+J2814+M2814+T2814,4)</f>
        <v>0</v>
      </c>
      <c r="V2814" s="228"/>
      <c r="AA2814" s="229"/>
      <c r="AB2814" s="229"/>
      <c r="AN2814">
        <f t="shared" si="23"/>
        <v>0</v>
      </c>
      <c r="AO2814">
        <f t="shared" si="24"/>
        <v>0</v>
      </c>
    </row>
    <row r="2815" spans="1:41" customFormat="1" ht="15.75" x14ac:dyDescent="0.25">
      <c r="A2815" s="224"/>
      <c r="B2815" s="225"/>
      <c r="C2815" s="399"/>
      <c r="D2815" s="226"/>
      <c r="E2815" s="404"/>
      <c r="F2815" s="404"/>
      <c r="G2815" s="404"/>
      <c r="H2815" s="407">
        <f>ROUND(+E2815+F2815+G2815,4)</f>
        <v>0</v>
      </c>
      <c r="I2815" s="227"/>
      <c r="J2815" s="410"/>
      <c r="K2815" s="410"/>
      <c r="L2815" s="413"/>
      <c r="M2815" s="413">
        <f>ROUND(+L2815*C2815,4)</f>
        <v>0</v>
      </c>
      <c r="N2815" s="417"/>
      <c r="O2815" s="417"/>
      <c r="P2815" s="417"/>
      <c r="Q2815" s="418">
        <f>ROUND(+N2815+O2815+P2815,4)</f>
        <v>0</v>
      </c>
      <c r="R2815" s="421">
        <f>ROUND(IF(+Q2815-H2815&lt;=0,0,Q2815-H2815),4)</f>
        <v>0</v>
      </c>
      <c r="S2815" s="422"/>
      <c r="T2815" s="421">
        <f>ROUND(+(R2815*C2815)*S2815,4)</f>
        <v>0</v>
      </c>
      <c r="U2815" s="421">
        <f>ROUND(+J2815+M2815+T2815,4)</f>
        <v>0</v>
      </c>
      <c r="V2815" s="228"/>
      <c r="AA2815" s="229"/>
      <c r="AB2815" s="229"/>
      <c r="AN2815">
        <f t="shared" si="23"/>
        <v>0</v>
      </c>
      <c r="AO2815">
        <f t="shared" si="24"/>
        <v>0</v>
      </c>
    </row>
    <row r="2816" spans="1:41" customFormat="1" ht="15.75" x14ac:dyDescent="0.25">
      <c r="A2816" s="224"/>
      <c r="B2816" s="225"/>
      <c r="C2816" s="399"/>
      <c r="D2816" s="226"/>
      <c r="E2816" s="404"/>
      <c r="F2816" s="404"/>
      <c r="G2816" s="404"/>
      <c r="H2816" s="407">
        <f>ROUND(+E2816+F2816+G2816,4)</f>
        <v>0</v>
      </c>
      <c r="I2816" s="227"/>
      <c r="J2816" s="410"/>
      <c r="K2816" s="410"/>
      <c r="L2816" s="413"/>
      <c r="M2816" s="413">
        <f>ROUND(+L2816*C2816,4)</f>
        <v>0</v>
      </c>
      <c r="N2816" s="417"/>
      <c r="O2816" s="417"/>
      <c r="P2816" s="417"/>
      <c r="Q2816" s="418">
        <f>ROUND(+N2816+O2816+P2816,4)</f>
        <v>0</v>
      </c>
      <c r="R2816" s="421">
        <f>ROUND(IF(+Q2816-H2816&lt;=0,0,Q2816-H2816),4)</f>
        <v>0</v>
      </c>
      <c r="S2816" s="422"/>
      <c r="T2816" s="421">
        <f>ROUND(+(R2816*C2816)*S2816,4)</f>
        <v>0</v>
      </c>
      <c r="U2816" s="421">
        <f>ROUND(+J2816+M2816+T2816,4)</f>
        <v>0</v>
      </c>
      <c r="V2816" s="228"/>
      <c r="AA2816" s="229"/>
      <c r="AB2816" s="229"/>
      <c r="AN2816">
        <f t="shared" si="23"/>
        <v>0</v>
      </c>
      <c r="AO2816">
        <f t="shared" si="24"/>
        <v>0</v>
      </c>
    </row>
    <row r="2817" spans="1:41" customFormat="1" ht="15.75" x14ac:dyDescent="0.25">
      <c r="A2817" s="224"/>
      <c r="B2817" s="225"/>
      <c r="C2817" s="399"/>
      <c r="D2817" s="226"/>
      <c r="E2817" s="404"/>
      <c r="F2817" s="404"/>
      <c r="G2817" s="404"/>
      <c r="H2817" s="407">
        <f>ROUND(+E2817+F2817+G2817,4)</f>
        <v>0</v>
      </c>
      <c r="I2817" s="227"/>
      <c r="J2817" s="410"/>
      <c r="K2817" s="410"/>
      <c r="L2817" s="413"/>
      <c r="M2817" s="413">
        <f>ROUND(+L2817*C2817,4)</f>
        <v>0</v>
      </c>
      <c r="N2817" s="417"/>
      <c r="O2817" s="417"/>
      <c r="P2817" s="417"/>
      <c r="Q2817" s="418">
        <f>ROUND(+N2817+O2817+P2817,4)</f>
        <v>0</v>
      </c>
      <c r="R2817" s="421">
        <f>ROUND(IF(+Q2817-H2817&lt;=0,0,Q2817-H2817),4)</f>
        <v>0</v>
      </c>
      <c r="S2817" s="422"/>
      <c r="T2817" s="421">
        <f>ROUND(+(R2817*C2817)*S2817,4)</f>
        <v>0</v>
      </c>
      <c r="U2817" s="421">
        <f>ROUND(+J2817+M2817+T2817,4)</f>
        <v>0</v>
      </c>
      <c r="V2817" s="228"/>
      <c r="AA2817" s="229"/>
      <c r="AB2817" s="229"/>
      <c r="AN2817">
        <f t="shared" si="23"/>
        <v>0</v>
      </c>
      <c r="AO2817">
        <f t="shared" si="24"/>
        <v>0</v>
      </c>
    </row>
    <row r="2818" spans="1:41" customFormat="1" ht="15.75" x14ac:dyDescent="0.25">
      <c r="A2818" s="224"/>
      <c r="B2818" s="225"/>
      <c r="C2818" s="399"/>
      <c r="D2818" s="226"/>
      <c r="E2818" s="404"/>
      <c r="F2818" s="404"/>
      <c r="G2818" s="404"/>
      <c r="H2818" s="407">
        <f>ROUND(+E2818+F2818+G2818,4)</f>
        <v>0</v>
      </c>
      <c r="I2818" s="227"/>
      <c r="J2818" s="410"/>
      <c r="K2818" s="410"/>
      <c r="L2818" s="413"/>
      <c r="M2818" s="413">
        <f>ROUND(+L2818*C2818,4)</f>
        <v>0</v>
      </c>
      <c r="N2818" s="417"/>
      <c r="O2818" s="417"/>
      <c r="P2818" s="417"/>
      <c r="Q2818" s="418">
        <f>ROUND(+N2818+O2818+P2818,4)</f>
        <v>0</v>
      </c>
      <c r="R2818" s="421">
        <f>ROUND(IF(+Q2818-H2818&lt;=0,0,Q2818-H2818),4)</f>
        <v>0</v>
      </c>
      <c r="S2818" s="422"/>
      <c r="T2818" s="421">
        <f>ROUND(+(R2818*C2818)*S2818,4)</f>
        <v>0</v>
      </c>
      <c r="U2818" s="421">
        <f>ROUND(+J2818+M2818+T2818,4)</f>
        <v>0</v>
      </c>
      <c r="V2818" s="228"/>
      <c r="AA2818" s="229"/>
      <c r="AB2818" s="229"/>
      <c r="AN2818">
        <f t="shared" si="23"/>
        <v>0</v>
      </c>
      <c r="AO2818">
        <f t="shared" si="24"/>
        <v>0</v>
      </c>
    </row>
    <row r="2819" spans="1:41" customFormat="1" ht="15.75" x14ac:dyDescent="0.25">
      <c r="A2819" s="224"/>
      <c r="B2819" s="225"/>
      <c r="C2819" s="399"/>
      <c r="D2819" s="226"/>
      <c r="E2819" s="404"/>
      <c r="F2819" s="404"/>
      <c r="G2819" s="404"/>
      <c r="H2819" s="407">
        <f>ROUND(+E2819+F2819+G2819,4)</f>
        <v>0</v>
      </c>
      <c r="I2819" s="227"/>
      <c r="J2819" s="410"/>
      <c r="K2819" s="410"/>
      <c r="L2819" s="413"/>
      <c r="M2819" s="413">
        <f>ROUND(+L2819*C2819,4)</f>
        <v>0</v>
      </c>
      <c r="N2819" s="417"/>
      <c r="O2819" s="417"/>
      <c r="P2819" s="417"/>
      <c r="Q2819" s="418">
        <f>ROUND(+N2819+O2819+P2819,4)</f>
        <v>0</v>
      </c>
      <c r="R2819" s="421">
        <f>ROUND(IF(+Q2819-H2819&lt;=0,0,Q2819-H2819),4)</f>
        <v>0</v>
      </c>
      <c r="S2819" s="422"/>
      <c r="T2819" s="421">
        <f>ROUND(+(R2819*C2819)*S2819,4)</f>
        <v>0</v>
      </c>
      <c r="U2819" s="421">
        <f>ROUND(+J2819+M2819+T2819,4)</f>
        <v>0</v>
      </c>
      <c r="V2819" s="228"/>
      <c r="AA2819" s="229"/>
      <c r="AB2819" s="229"/>
      <c r="AN2819">
        <f t="shared" si="23"/>
        <v>0</v>
      </c>
      <c r="AO2819">
        <f t="shared" si="24"/>
        <v>0</v>
      </c>
    </row>
    <row r="2820" spans="1:41" customFormat="1" ht="15.75" x14ac:dyDescent="0.25">
      <c r="A2820" s="224"/>
      <c r="B2820" s="225"/>
      <c r="C2820" s="399"/>
      <c r="D2820" s="226"/>
      <c r="E2820" s="404"/>
      <c r="F2820" s="404"/>
      <c r="G2820" s="404"/>
      <c r="H2820" s="407">
        <f>ROUND(+E2820+F2820+G2820,4)</f>
        <v>0</v>
      </c>
      <c r="I2820" s="227"/>
      <c r="J2820" s="410"/>
      <c r="K2820" s="410"/>
      <c r="L2820" s="413"/>
      <c r="M2820" s="413">
        <f>ROUND(+L2820*C2820,4)</f>
        <v>0</v>
      </c>
      <c r="N2820" s="417"/>
      <c r="O2820" s="417"/>
      <c r="P2820" s="417"/>
      <c r="Q2820" s="418">
        <f>ROUND(+N2820+O2820+P2820,4)</f>
        <v>0</v>
      </c>
      <c r="R2820" s="421">
        <f>ROUND(IF(+Q2820-H2820&lt;=0,0,Q2820-H2820),4)</f>
        <v>0</v>
      </c>
      <c r="S2820" s="422"/>
      <c r="T2820" s="421">
        <f>ROUND(+(R2820*C2820)*S2820,4)</f>
        <v>0</v>
      </c>
      <c r="U2820" s="421">
        <f>ROUND(+J2820+M2820+T2820,4)</f>
        <v>0</v>
      </c>
      <c r="V2820" s="228"/>
      <c r="AA2820" s="229"/>
      <c r="AB2820" s="229"/>
      <c r="AN2820">
        <f t="shared" si="23"/>
        <v>0</v>
      </c>
      <c r="AO2820">
        <f t="shared" si="24"/>
        <v>0</v>
      </c>
    </row>
    <row r="2821" spans="1:41" customFormat="1" ht="15.75" x14ac:dyDescent="0.25">
      <c r="A2821" s="224"/>
      <c r="B2821" s="225"/>
      <c r="C2821" s="399"/>
      <c r="D2821" s="226"/>
      <c r="E2821" s="404"/>
      <c r="F2821" s="404"/>
      <c r="G2821" s="404"/>
      <c r="H2821" s="407">
        <f>ROUND(+E2821+F2821+G2821,4)</f>
        <v>0</v>
      </c>
      <c r="I2821" s="227"/>
      <c r="J2821" s="410"/>
      <c r="K2821" s="410"/>
      <c r="L2821" s="413"/>
      <c r="M2821" s="413">
        <f>ROUND(+L2821*C2821,4)</f>
        <v>0</v>
      </c>
      <c r="N2821" s="417"/>
      <c r="O2821" s="417"/>
      <c r="P2821" s="417"/>
      <c r="Q2821" s="418">
        <f>ROUND(+N2821+O2821+P2821,4)</f>
        <v>0</v>
      </c>
      <c r="R2821" s="421">
        <f>ROUND(IF(+Q2821-H2821&lt;=0,0,Q2821-H2821),4)</f>
        <v>0</v>
      </c>
      <c r="S2821" s="422"/>
      <c r="T2821" s="421">
        <f>ROUND(+(R2821*C2821)*S2821,4)</f>
        <v>0</v>
      </c>
      <c r="U2821" s="421">
        <f>ROUND(+J2821+M2821+T2821,4)</f>
        <v>0</v>
      </c>
      <c r="V2821" s="228"/>
      <c r="AA2821" s="229"/>
      <c r="AB2821" s="229"/>
      <c r="AN2821">
        <f t="shared" si="23"/>
        <v>0</v>
      </c>
      <c r="AO2821">
        <f t="shared" si="24"/>
        <v>0</v>
      </c>
    </row>
    <row r="2822" spans="1:41" customFormat="1" ht="15.75" x14ac:dyDescent="0.25">
      <c r="A2822" s="224"/>
      <c r="B2822" s="225"/>
      <c r="C2822" s="399"/>
      <c r="D2822" s="226"/>
      <c r="E2822" s="404"/>
      <c r="F2822" s="404"/>
      <c r="G2822" s="404"/>
      <c r="H2822" s="407">
        <f>ROUND(+E2822+F2822+G2822,4)</f>
        <v>0</v>
      </c>
      <c r="I2822" s="227"/>
      <c r="J2822" s="410"/>
      <c r="K2822" s="410"/>
      <c r="L2822" s="413"/>
      <c r="M2822" s="413">
        <f>ROUND(+L2822*C2822,4)</f>
        <v>0</v>
      </c>
      <c r="N2822" s="417"/>
      <c r="O2822" s="417"/>
      <c r="P2822" s="417"/>
      <c r="Q2822" s="418">
        <f>ROUND(+N2822+O2822+P2822,4)</f>
        <v>0</v>
      </c>
      <c r="R2822" s="421">
        <f>ROUND(IF(+Q2822-H2822&lt;=0,0,Q2822-H2822),4)</f>
        <v>0</v>
      </c>
      <c r="S2822" s="422"/>
      <c r="T2822" s="421">
        <f>ROUND(+(R2822*C2822)*S2822,4)</f>
        <v>0</v>
      </c>
      <c r="U2822" s="421">
        <f>ROUND(+J2822+M2822+T2822,4)</f>
        <v>0</v>
      </c>
      <c r="V2822" s="228"/>
      <c r="AA2822" s="229"/>
      <c r="AB2822" s="229"/>
      <c r="AN2822">
        <f t="shared" si="23"/>
        <v>0</v>
      </c>
      <c r="AO2822">
        <f t="shared" si="24"/>
        <v>0</v>
      </c>
    </row>
    <row r="2823" spans="1:41" customFormat="1" ht="15.75" x14ac:dyDescent="0.25">
      <c r="A2823" s="224"/>
      <c r="B2823" s="225"/>
      <c r="C2823" s="399"/>
      <c r="D2823" s="226"/>
      <c r="E2823" s="404"/>
      <c r="F2823" s="404"/>
      <c r="G2823" s="404"/>
      <c r="H2823" s="407">
        <f>ROUND(+E2823+F2823+G2823,4)</f>
        <v>0</v>
      </c>
      <c r="I2823" s="227"/>
      <c r="J2823" s="410"/>
      <c r="K2823" s="410"/>
      <c r="L2823" s="413"/>
      <c r="M2823" s="413">
        <f>ROUND(+L2823*C2823,4)</f>
        <v>0</v>
      </c>
      <c r="N2823" s="417"/>
      <c r="O2823" s="417"/>
      <c r="P2823" s="417"/>
      <c r="Q2823" s="418">
        <f>ROUND(+N2823+O2823+P2823,4)</f>
        <v>0</v>
      </c>
      <c r="R2823" s="421">
        <f>ROUND(IF(+Q2823-H2823&lt;=0,0,Q2823-H2823),4)</f>
        <v>0</v>
      </c>
      <c r="S2823" s="422"/>
      <c r="T2823" s="421">
        <f>ROUND(+(R2823*C2823)*S2823,4)</f>
        <v>0</v>
      </c>
      <c r="U2823" s="421">
        <f>ROUND(+J2823+M2823+T2823,4)</f>
        <v>0</v>
      </c>
      <c r="V2823" s="228"/>
      <c r="AA2823" s="229"/>
      <c r="AB2823" s="229"/>
      <c r="AN2823">
        <f t="shared" si="23"/>
        <v>0</v>
      </c>
      <c r="AO2823">
        <f t="shared" si="24"/>
        <v>0</v>
      </c>
    </row>
    <row r="2824" spans="1:41" customFormat="1" ht="15.75" x14ac:dyDescent="0.25">
      <c r="A2824" s="224"/>
      <c r="B2824" s="225"/>
      <c r="C2824" s="399"/>
      <c r="D2824" s="226"/>
      <c r="E2824" s="404"/>
      <c r="F2824" s="404"/>
      <c r="G2824" s="404"/>
      <c r="H2824" s="407">
        <f>ROUND(+E2824+F2824+G2824,4)</f>
        <v>0</v>
      </c>
      <c r="I2824" s="227"/>
      <c r="J2824" s="410"/>
      <c r="K2824" s="410"/>
      <c r="L2824" s="413"/>
      <c r="M2824" s="413">
        <f>ROUND(+L2824*C2824,4)</f>
        <v>0</v>
      </c>
      <c r="N2824" s="417"/>
      <c r="O2824" s="417"/>
      <c r="P2824" s="417"/>
      <c r="Q2824" s="418">
        <f>ROUND(+N2824+O2824+P2824,4)</f>
        <v>0</v>
      </c>
      <c r="R2824" s="421">
        <f>ROUND(IF(+Q2824-H2824&lt;=0,0,Q2824-H2824),4)</f>
        <v>0</v>
      </c>
      <c r="S2824" s="422"/>
      <c r="T2824" s="421">
        <f>ROUND(+(R2824*C2824)*S2824,4)</f>
        <v>0</v>
      </c>
      <c r="U2824" s="421">
        <f>ROUND(+J2824+M2824+T2824,4)</f>
        <v>0</v>
      </c>
      <c r="V2824" s="228"/>
      <c r="AA2824" s="229"/>
      <c r="AB2824" s="229"/>
      <c r="AN2824">
        <f t="shared" si="23"/>
        <v>0</v>
      </c>
      <c r="AO2824">
        <f t="shared" si="24"/>
        <v>0</v>
      </c>
    </row>
    <row r="2825" spans="1:41" customFormat="1" ht="15.75" x14ac:dyDescent="0.25">
      <c r="A2825" s="224"/>
      <c r="B2825" s="225"/>
      <c r="C2825" s="399"/>
      <c r="D2825" s="226"/>
      <c r="E2825" s="404"/>
      <c r="F2825" s="404"/>
      <c r="G2825" s="404"/>
      <c r="H2825" s="407">
        <f>ROUND(+E2825+F2825+G2825,4)</f>
        <v>0</v>
      </c>
      <c r="I2825" s="227"/>
      <c r="J2825" s="410"/>
      <c r="K2825" s="410"/>
      <c r="L2825" s="413"/>
      <c r="M2825" s="413">
        <f>ROUND(+L2825*C2825,4)</f>
        <v>0</v>
      </c>
      <c r="N2825" s="417"/>
      <c r="O2825" s="417"/>
      <c r="P2825" s="417"/>
      <c r="Q2825" s="418">
        <f>ROUND(+N2825+O2825+P2825,4)</f>
        <v>0</v>
      </c>
      <c r="R2825" s="421">
        <f>ROUND(IF(+Q2825-H2825&lt;=0,0,Q2825-H2825),4)</f>
        <v>0</v>
      </c>
      <c r="S2825" s="422"/>
      <c r="T2825" s="421">
        <f>ROUND(+(R2825*C2825)*S2825,4)</f>
        <v>0</v>
      </c>
      <c r="U2825" s="421">
        <f>ROUND(+J2825+M2825+T2825,4)</f>
        <v>0</v>
      </c>
      <c r="V2825" s="228"/>
      <c r="AA2825" s="229"/>
      <c r="AB2825" s="229"/>
      <c r="AN2825">
        <f t="shared" si="23"/>
        <v>0</v>
      </c>
      <c r="AO2825">
        <f t="shared" si="24"/>
        <v>0</v>
      </c>
    </row>
    <row r="2826" spans="1:41" customFormat="1" ht="15.75" x14ac:dyDescent="0.25">
      <c r="A2826" s="224"/>
      <c r="B2826" s="225"/>
      <c r="C2826" s="399"/>
      <c r="D2826" s="226"/>
      <c r="E2826" s="404"/>
      <c r="F2826" s="404"/>
      <c r="G2826" s="404"/>
      <c r="H2826" s="407">
        <f>ROUND(+E2826+F2826+G2826,4)</f>
        <v>0</v>
      </c>
      <c r="I2826" s="227"/>
      <c r="J2826" s="410"/>
      <c r="K2826" s="410"/>
      <c r="L2826" s="413"/>
      <c r="M2826" s="413">
        <f>ROUND(+L2826*C2826,4)</f>
        <v>0</v>
      </c>
      <c r="N2826" s="417"/>
      <c r="O2826" s="417"/>
      <c r="P2826" s="417"/>
      <c r="Q2826" s="418">
        <f>ROUND(+N2826+O2826+P2826,4)</f>
        <v>0</v>
      </c>
      <c r="R2826" s="421">
        <f>ROUND(IF(+Q2826-H2826&lt;=0,0,Q2826-H2826),4)</f>
        <v>0</v>
      </c>
      <c r="S2826" s="422"/>
      <c r="T2826" s="421">
        <f>ROUND(+(R2826*C2826)*S2826,4)</f>
        <v>0</v>
      </c>
      <c r="U2826" s="421">
        <f>ROUND(+J2826+M2826+T2826,4)</f>
        <v>0</v>
      </c>
      <c r="V2826" s="228"/>
      <c r="AA2826" s="229"/>
      <c r="AB2826" s="229"/>
      <c r="AN2826">
        <f t="shared" si="23"/>
        <v>0</v>
      </c>
      <c r="AO2826">
        <f t="shared" si="24"/>
        <v>0</v>
      </c>
    </row>
    <row r="2827" spans="1:41" customFormat="1" ht="15.75" x14ac:dyDescent="0.25">
      <c r="A2827" s="224"/>
      <c r="B2827" s="225"/>
      <c r="C2827" s="399"/>
      <c r="D2827" s="226"/>
      <c r="E2827" s="404"/>
      <c r="F2827" s="404"/>
      <c r="G2827" s="404"/>
      <c r="H2827" s="407">
        <f>ROUND(+E2827+F2827+G2827,4)</f>
        <v>0</v>
      </c>
      <c r="I2827" s="227"/>
      <c r="J2827" s="410"/>
      <c r="K2827" s="410"/>
      <c r="L2827" s="413"/>
      <c r="M2827" s="413">
        <f>ROUND(+L2827*C2827,4)</f>
        <v>0</v>
      </c>
      <c r="N2827" s="417"/>
      <c r="O2827" s="417"/>
      <c r="P2827" s="417"/>
      <c r="Q2827" s="418">
        <f>ROUND(+N2827+O2827+P2827,4)</f>
        <v>0</v>
      </c>
      <c r="R2827" s="421">
        <f>ROUND(IF(+Q2827-H2827&lt;=0,0,Q2827-H2827),4)</f>
        <v>0</v>
      </c>
      <c r="S2827" s="422"/>
      <c r="T2827" s="421">
        <f>ROUND(+(R2827*C2827)*S2827,4)</f>
        <v>0</v>
      </c>
      <c r="U2827" s="421">
        <f>ROUND(+J2827+M2827+T2827,4)</f>
        <v>0</v>
      </c>
      <c r="V2827" s="228"/>
      <c r="AA2827" s="229"/>
      <c r="AB2827" s="229"/>
      <c r="AN2827">
        <f t="shared" si="23"/>
        <v>0</v>
      </c>
      <c r="AO2827">
        <f t="shared" si="24"/>
        <v>0</v>
      </c>
    </row>
    <row r="2828" spans="1:41" customFormat="1" ht="15.75" x14ac:dyDescent="0.25">
      <c r="A2828" s="224"/>
      <c r="B2828" s="225"/>
      <c r="C2828" s="399"/>
      <c r="D2828" s="226"/>
      <c r="E2828" s="404"/>
      <c r="F2828" s="404"/>
      <c r="G2828" s="404"/>
      <c r="H2828" s="407">
        <f>ROUND(+E2828+F2828+G2828,4)</f>
        <v>0</v>
      </c>
      <c r="I2828" s="227"/>
      <c r="J2828" s="410"/>
      <c r="K2828" s="410"/>
      <c r="L2828" s="413"/>
      <c r="M2828" s="413">
        <f>ROUND(+L2828*C2828,4)</f>
        <v>0</v>
      </c>
      <c r="N2828" s="417"/>
      <c r="O2828" s="417"/>
      <c r="P2828" s="417"/>
      <c r="Q2828" s="418">
        <f>ROUND(+N2828+O2828+P2828,4)</f>
        <v>0</v>
      </c>
      <c r="R2828" s="421">
        <f>ROUND(IF(+Q2828-H2828&lt;=0,0,Q2828-H2828),4)</f>
        <v>0</v>
      </c>
      <c r="S2828" s="422"/>
      <c r="T2828" s="421">
        <f>ROUND(+(R2828*C2828)*S2828,4)</f>
        <v>0</v>
      </c>
      <c r="U2828" s="421">
        <f>ROUND(+J2828+M2828+T2828,4)</f>
        <v>0</v>
      </c>
      <c r="V2828" s="228"/>
      <c r="AA2828" s="229"/>
      <c r="AB2828" s="229"/>
      <c r="AN2828">
        <f t="shared" si="23"/>
        <v>0</v>
      </c>
      <c r="AO2828">
        <f t="shared" si="24"/>
        <v>0</v>
      </c>
    </row>
    <row r="2829" spans="1:41" customFormat="1" ht="15.75" x14ac:dyDescent="0.25">
      <c r="A2829" s="224"/>
      <c r="B2829" s="225"/>
      <c r="C2829" s="399"/>
      <c r="D2829" s="226"/>
      <c r="E2829" s="404"/>
      <c r="F2829" s="404"/>
      <c r="G2829" s="404"/>
      <c r="H2829" s="407">
        <f>ROUND(+E2829+F2829+G2829,4)</f>
        <v>0</v>
      </c>
      <c r="I2829" s="227"/>
      <c r="J2829" s="410"/>
      <c r="K2829" s="410"/>
      <c r="L2829" s="413"/>
      <c r="M2829" s="413">
        <f>ROUND(+L2829*C2829,4)</f>
        <v>0</v>
      </c>
      <c r="N2829" s="417"/>
      <c r="O2829" s="417"/>
      <c r="P2829" s="417"/>
      <c r="Q2829" s="418">
        <f>ROUND(+N2829+O2829+P2829,4)</f>
        <v>0</v>
      </c>
      <c r="R2829" s="421">
        <f>ROUND(IF(+Q2829-H2829&lt;=0,0,Q2829-H2829),4)</f>
        <v>0</v>
      </c>
      <c r="S2829" s="422"/>
      <c r="T2829" s="421">
        <f>ROUND(+(R2829*C2829)*S2829,4)</f>
        <v>0</v>
      </c>
      <c r="U2829" s="421">
        <f>ROUND(+J2829+M2829+T2829,4)</f>
        <v>0</v>
      </c>
      <c r="V2829" s="228"/>
      <c r="AA2829" s="229"/>
      <c r="AB2829" s="229"/>
      <c r="AN2829">
        <f t="shared" si="23"/>
        <v>0</v>
      </c>
      <c r="AO2829">
        <f t="shared" si="24"/>
        <v>0</v>
      </c>
    </row>
    <row r="2830" spans="1:41" customFormat="1" ht="15.75" x14ac:dyDescent="0.25">
      <c r="A2830" s="224"/>
      <c r="B2830" s="225"/>
      <c r="C2830" s="399"/>
      <c r="D2830" s="226"/>
      <c r="E2830" s="404"/>
      <c r="F2830" s="404"/>
      <c r="G2830" s="404"/>
      <c r="H2830" s="407">
        <f>ROUND(+E2830+F2830+G2830,4)</f>
        <v>0</v>
      </c>
      <c r="I2830" s="227"/>
      <c r="J2830" s="410"/>
      <c r="K2830" s="410"/>
      <c r="L2830" s="413"/>
      <c r="M2830" s="413">
        <f>ROUND(+L2830*C2830,4)</f>
        <v>0</v>
      </c>
      <c r="N2830" s="417"/>
      <c r="O2830" s="417"/>
      <c r="P2830" s="417"/>
      <c r="Q2830" s="418">
        <f>ROUND(+N2830+O2830+P2830,4)</f>
        <v>0</v>
      </c>
      <c r="R2830" s="421">
        <f>ROUND(IF(+Q2830-H2830&lt;=0,0,Q2830-H2830),4)</f>
        <v>0</v>
      </c>
      <c r="S2830" s="422"/>
      <c r="T2830" s="421">
        <f>ROUND(+(R2830*C2830)*S2830,4)</f>
        <v>0</v>
      </c>
      <c r="U2830" s="421">
        <f>ROUND(+J2830+M2830+T2830,4)</f>
        <v>0</v>
      </c>
      <c r="V2830" s="228"/>
      <c r="AA2830" s="229"/>
      <c r="AB2830" s="229"/>
      <c r="AN2830">
        <f t="shared" si="23"/>
        <v>0</v>
      </c>
      <c r="AO2830">
        <f t="shared" si="24"/>
        <v>0</v>
      </c>
    </row>
    <row r="2831" spans="1:41" customFormat="1" ht="15.75" x14ac:dyDescent="0.25">
      <c r="A2831" s="224"/>
      <c r="B2831" s="225"/>
      <c r="C2831" s="399"/>
      <c r="D2831" s="226"/>
      <c r="E2831" s="404"/>
      <c r="F2831" s="404"/>
      <c r="G2831" s="404"/>
      <c r="H2831" s="407">
        <f>ROUND(+E2831+F2831+G2831,4)</f>
        <v>0</v>
      </c>
      <c r="I2831" s="227"/>
      <c r="J2831" s="410"/>
      <c r="K2831" s="410"/>
      <c r="L2831" s="413"/>
      <c r="M2831" s="413">
        <f>ROUND(+L2831*C2831,4)</f>
        <v>0</v>
      </c>
      <c r="N2831" s="417"/>
      <c r="O2831" s="417"/>
      <c r="P2831" s="417"/>
      <c r="Q2831" s="418">
        <f>ROUND(+N2831+O2831+P2831,4)</f>
        <v>0</v>
      </c>
      <c r="R2831" s="421">
        <f>ROUND(IF(+Q2831-H2831&lt;=0,0,Q2831-H2831),4)</f>
        <v>0</v>
      </c>
      <c r="S2831" s="422"/>
      <c r="T2831" s="421">
        <f>ROUND(+(R2831*C2831)*S2831,4)</f>
        <v>0</v>
      </c>
      <c r="U2831" s="421">
        <f>ROUND(+J2831+M2831+T2831,4)</f>
        <v>0</v>
      </c>
      <c r="V2831" s="228"/>
      <c r="AA2831" s="229"/>
      <c r="AB2831" s="229"/>
      <c r="AN2831">
        <f t="shared" ref="AN2831:AN2852" si="25">IF(V2831="",0,MONTH(V2831))</f>
        <v>0</v>
      </c>
      <c r="AO2831">
        <f t="shared" ref="AO2831:AO2852" si="26">IF(V2831="",0,YEAR(V2831))</f>
        <v>0</v>
      </c>
    </row>
    <row r="2832" spans="1:41" customFormat="1" ht="15.75" x14ac:dyDescent="0.25">
      <c r="A2832" s="224"/>
      <c r="B2832" s="225"/>
      <c r="C2832" s="399"/>
      <c r="D2832" s="226"/>
      <c r="E2832" s="404"/>
      <c r="F2832" s="404"/>
      <c r="G2832" s="404"/>
      <c r="H2832" s="407">
        <f>ROUND(+E2832+F2832+G2832,4)</f>
        <v>0</v>
      </c>
      <c r="I2832" s="227"/>
      <c r="J2832" s="410"/>
      <c r="K2832" s="410"/>
      <c r="L2832" s="413"/>
      <c r="M2832" s="413">
        <f>ROUND(+L2832*C2832,4)</f>
        <v>0</v>
      </c>
      <c r="N2832" s="417"/>
      <c r="O2832" s="417"/>
      <c r="P2832" s="417"/>
      <c r="Q2832" s="418">
        <f>ROUND(+N2832+O2832+P2832,4)</f>
        <v>0</v>
      </c>
      <c r="R2832" s="421">
        <f>ROUND(IF(+Q2832-H2832&lt;=0,0,Q2832-H2832),4)</f>
        <v>0</v>
      </c>
      <c r="S2832" s="422"/>
      <c r="T2832" s="421">
        <f>ROUND(+(R2832*C2832)*S2832,4)</f>
        <v>0</v>
      </c>
      <c r="U2832" s="421">
        <f>ROUND(+J2832+M2832+T2832,4)</f>
        <v>0</v>
      </c>
      <c r="V2832" s="228"/>
      <c r="AA2832" s="229"/>
      <c r="AB2832" s="229"/>
      <c r="AN2832">
        <f t="shared" si="25"/>
        <v>0</v>
      </c>
      <c r="AO2832">
        <f t="shared" si="26"/>
        <v>0</v>
      </c>
    </row>
    <row r="2833" spans="1:41" customFormat="1" ht="15.75" x14ac:dyDescent="0.25">
      <c r="A2833" s="224"/>
      <c r="B2833" s="225"/>
      <c r="C2833" s="399"/>
      <c r="D2833" s="226"/>
      <c r="E2833" s="404"/>
      <c r="F2833" s="404"/>
      <c r="G2833" s="404"/>
      <c r="H2833" s="407">
        <f>ROUND(+E2833+F2833+G2833,4)</f>
        <v>0</v>
      </c>
      <c r="I2833" s="227"/>
      <c r="J2833" s="410"/>
      <c r="K2833" s="410"/>
      <c r="L2833" s="413"/>
      <c r="M2833" s="413">
        <f>ROUND(+L2833*C2833,4)</f>
        <v>0</v>
      </c>
      <c r="N2833" s="417"/>
      <c r="O2833" s="417"/>
      <c r="P2833" s="417"/>
      <c r="Q2833" s="418">
        <f>ROUND(+N2833+O2833+P2833,4)</f>
        <v>0</v>
      </c>
      <c r="R2833" s="421">
        <f>ROUND(IF(+Q2833-H2833&lt;=0,0,Q2833-H2833),4)</f>
        <v>0</v>
      </c>
      <c r="S2833" s="422"/>
      <c r="T2833" s="421">
        <f>ROUND(+(R2833*C2833)*S2833,4)</f>
        <v>0</v>
      </c>
      <c r="U2833" s="421">
        <f>ROUND(+J2833+M2833+T2833,4)</f>
        <v>0</v>
      </c>
      <c r="V2833" s="228"/>
      <c r="AA2833" s="229"/>
      <c r="AB2833" s="229"/>
      <c r="AN2833">
        <f t="shared" si="25"/>
        <v>0</v>
      </c>
      <c r="AO2833">
        <f t="shared" si="26"/>
        <v>0</v>
      </c>
    </row>
    <row r="2834" spans="1:41" customFormat="1" ht="15.75" x14ac:dyDescent="0.25">
      <c r="A2834" s="224"/>
      <c r="B2834" s="225"/>
      <c r="C2834" s="399"/>
      <c r="D2834" s="226"/>
      <c r="E2834" s="404"/>
      <c r="F2834" s="404"/>
      <c r="G2834" s="404"/>
      <c r="H2834" s="407">
        <f>ROUND(+E2834+F2834+G2834,4)</f>
        <v>0</v>
      </c>
      <c r="I2834" s="227"/>
      <c r="J2834" s="410"/>
      <c r="K2834" s="410"/>
      <c r="L2834" s="413"/>
      <c r="M2834" s="413">
        <f>ROUND(+L2834*C2834,4)</f>
        <v>0</v>
      </c>
      <c r="N2834" s="417"/>
      <c r="O2834" s="417"/>
      <c r="P2834" s="417"/>
      <c r="Q2834" s="418">
        <f>ROUND(+N2834+O2834+P2834,4)</f>
        <v>0</v>
      </c>
      <c r="R2834" s="421">
        <f>ROUND(IF(+Q2834-H2834&lt;=0,0,Q2834-H2834),4)</f>
        <v>0</v>
      </c>
      <c r="S2834" s="422"/>
      <c r="T2834" s="421">
        <f>ROUND(+(R2834*C2834)*S2834,4)</f>
        <v>0</v>
      </c>
      <c r="U2834" s="421">
        <f>ROUND(+J2834+M2834+T2834,4)</f>
        <v>0</v>
      </c>
      <c r="V2834" s="228"/>
      <c r="AA2834" s="229"/>
      <c r="AB2834" s="229"/>
      <c r="AN2834">
        <f t="shared" si="25"/>
        <v>0</v>
      </c>
      <c r="AO2834">
        <f t="shared" si="26"/>
        <v>0</v>
      </c>
    </row>
    <row r="2835" spans="1:41" customFormat="1" ht="15.75" x14ac:dyDescent="0.25">
      <c r="A2835" s="224"/>
      <c r="B2835" s="225"/>
      <c r="C2835" s="399"/>
      <c r="D2835" s="226"/>
      <c r="E2835" s="404"/>
      <c r="F2835" s="404"/>
      <c r="G2835" s="404"/>
      <c r="H2835" s="407">
        <f>ROUND(+E2835+F2835+G2835,4)</f>
        <v>0</v>
      </c>
      <c r="I2835" s="227"/>
      <c r="J2835" s="410"/>
      <c r="K2835" s="410"/>
      <c r="L2835" s="413"/>
      <c r="M2835" s="413">
        <f>ROUND(+L2835*C2835,4)</f>
        <v>0</v>
      </c>
      <c r="N2835" s="417"/>
      <c r="O2835" s="417"/>
      <c r="P2835" s="417"/>
      <c r="Q2835" s="418">
        <f>ROUND(+N2835+O2835+P2835,4)</f>
        <v>0</v>
      </c>
      <c r="R2835" s="421">
        <f>ROUND(IF(+Q2835-H2835&lt;=0,0,Q2835-H2835),4)</f>
        <v>0</v>
      </c>
      <c r="S2835" s="422"/>
      <c r="T2835" s="421">
        <f>ROUND(+(R2835*C2835)*S2835,4)</f>
        <v>0</v>
      </c>
      <c r="U2835" s="421">
        <f>ROUND(+J2835+M2835+T2835,4)</f>
        <v>0</v>
      </c>
      <c r="V2835" s="228"/>
      <c r="AA2835" s="229"/>
      <c r="AB2835" s="229"/>
      <c r="AN2835">
        <f t="shared" si="25"/>
        <v>0</v>
      </c>
      <c r="AO2835">
        <f t="shared" si="26"/>
        <v>0</v>
      </c>
    </row>
    <row r="2836" spans="1:41" customFormat="1" ht="15.75" x14ac:dyDescent="0.25">
      <c r="A2836" s="224"/>
      <c r="B2836" s="225"/>
      <c r="C2836" s="399"/>
      <c r="D2836" s="226"/>
      <c r="E2836" s="404"/>
      <c r="F2836" s="404"/>
      <c r="G2836" s="404"/>
      <c r="H2836" s="407">
        <f>ROUND(+E2836+F2836+G2836,4)</f>
        <v>0</v>
      </c>
      <c r="I2836" s="227"/>
      <c r="J2836" s="410"/>
      <c r="K2836" s="410"/>
      <c r="L2836" s="413"/>
      <c r="M2836" s="413">
        <f>ROUND(+L2836*C2836,4)</f>
        <v>0</v>
      </c>
      <c r="N2836" s="417"/>
      <c r="O2836" s="417"/>
      <c r="P2836" s="417"/>
      <c r="Q2836" s="418">
        <f>ROUND(+N2836+O2836+P2836,4)</f>
        <v>0</v>
      </c>
      <c r="R2836" s="421">
        <f>ROUND(IF(+Q2836-H2836&lt;=0,0,Q2836-H2836),4)</f>
        <v>0</v>
      </c>
      <c r="S2836" s="422"/>
      <c r="T2836" s="421">
        <f>ROUND(+(R2836*C2836)*S2836,4)</f>
        <v>0</v>
      </c>
      <c r="U2836" s="421">
        <f>ROUND(+J2836+M2836+T2836,4)</f>
        <v>0</v>
      </c>
      <c r="V2836" s="228"/>
      <c r="AA2836" s="229"/>
      <c r="AB2836" s="229"/>
      <c r="AN2836">
        <f t="shared" si="25"/>
        <v>0</v>
      </c>
      <c r="AO2836">
        <f t="shared" si="26"/>
        <v>0</v>
      </c>
    </row>
    <row r="2837" spans="1:41" customFormat="1" ht="15.75" x14ac:dyDescent="0.25">
      <c r="A2837" s="224"/>
      <c r="B2837" s="225"/>
      <c r="C2837" s="399"/>
      <c r="D2837" s="226"/>
      <c r="E2837" s="404"/>
      <c r="F2837" s="404"/>
      <c r="G2837" s="404"/>
      <c r="H2837" s="407">
        <f>ROUND(+E2837+F2837+G2837,4)</f>
        <v>0</v>
      </c>
      <c r="I2837" s="227"/>
      <c r="J2837" s="410"/>
      <c r="K2837" s="410"/>
      <c r="L2837" s="413"/>
      <c r="M2837" s="413">
        <f>ROUND(+L2837*C2837,4)</f>
        <v>0</v>
      </c>
      <c r="N2837" s="417"/>
      <c r="O2837" s="417"/>
      <c r="P2837" s="417"/>
      <c r="Q2837" s="418">
        <f>ROUND(+N2837+O2837+P2837,4)</f>
        <v>0</v>
      </c>
      <c r="R2837" s="421">
        <f>ROUND(IF(+Q2837-H2837&lt;=0,0,Q2837-H2837),4)</f>
        <v>0</v>
      </c>
      <c r="S2837" s="422"/>
      <c r="T2837" s="421">
        <f>ROUND(+(R2837*C2837)*S2837,4)</f>
        <v>0</v>
      </c>
      <c r="U2837" s="421">
        <f>ROUND(+J2837+M2837+T2837,4)</f>
        <v>0</v>
      </c>
      <c r="V2837" s="228"/>
      <c r="AA2837" s="229"/>
      <c r="AB2837" s="229"/>
      <c r="AN2837">
        <f t="shared" si="25"/>
        <v>0</v>
      </c>
      <c r="AO2837">
        <f t="shared" si="26"/>
        <v>0</v>
      </c>
    </row>
    <row r="2838" spans="1:41" customFormat="1" ht="15.75" x14ac:dyDescent="0.25">
      <c r="A2838" s="224"/>
      <c r="B2838" s="225"/>
      <c r="C2838" s="399"/>
      <c r="D2838" s="226"/>
      <c r="E2838" s="404"/>
      <c r="F2838" s="404"/>
      <c r="G2838" s="404"/>
      <c r="H2838" s="407">
        <f>ROUND(+E2838+F2838+G2838,4)</f>
        <v>0</v>
      </c>
      <c r="I2838" s="227"/>
      <c r="J2838" s="410"/>
      <c r="K2838" s="410"/>
      <c r="L2838" s="413"/>
      <c r="M2838" s="413">
        <f>ROUND(+L2838*C2838,4)</f>
        <v>0</v>
      </c>
      <c r="N2838" s="417"/>
      <c r="O2838" s="417"/>
      <c r="P2838" s="417"/>
      <c r="Q2838" s="418">
        <f>ROUND(+N2838+O2838+P2838,4)</f>
        <v>0</v>
      </c>
      <c r="R2838" s="421">
        <f>ROUND(IF(+Q2838-H2838&lt;=0,0,Q2838-H2838),4)</f>
        <v>0</v>
      </c>
      <c r="S2838" s="422"/>
      <c r="T2838" s="421">
        <f>ROUND(+(R2838*C2838)*S2838,4)</f>
        <v>0</v>
      </c>
      <c r="U2838" s="421">
        <f>ROUND(+J2838+M2838+T2838,4)</f>
        <v>0</v>
      </c>
      <c r="V2838" s="228"/>
      <c r="AA2838" s="229"/>
      <c r="AB2838" s="229"/>
      <c r="AN2838">
        <f t="shared" si="25"/>
        <v>0</v>
      </c>
      <c r="AO2838">
        <f t="shared" si="26"/>
        <v>0</v>
      </c>
    </row>
    <row r="2839" spans="1:41" customFormat="1" ht="15.75" x14ac:dyDescent="0.25">
      <c r="A2839" s="224"/>
      <c r="B2839" s="225"/>
      <c r="C2839" s="399"/>
      <c r="D2839" s="226"/>
      <c r="E2839" s="404"/>
      <c r="F2839" s="404"/>
      <c r="G2839" s="404"/>
      <c r="H2839" s="407">
        <f>ROUND(+E2839+F2839+G2839,4)</f>
        <v>0</v>
      </c>
      <c r="I2839" s="227"/>
      <c r="J2839" s="410"/>
      <c r="K2839" s="410"/>
      <c r="L2839" s="413"/>
      <c r="M2839" s="413">
        <f>ROUND(+L2839*C2839,4)</f>
        <v>0</v>
      </c>
      <c r="N2839" s="417"/>
      <c r="O2839" s="417"/>
      <c r="P2839" s="417"/>
      <c r="Q2839" s="418">
        <f>ROUND(+N2839+O2839+P2839,4)</f>
        <v>0</v>
      </c>
      <c r="R2839" s="421">
        <f>ROUND(IF(+Q2839-H2839&lt;=0,0,Q2839-H2839),4)</f>
        <v>0</v>
      </c>
      <c r="S2839" s="422"/>
      <c r="T2839" s="421">
        <f>ROUND(+(R2839*C2839)*S2839,4)</f>
        <v>0</v>
      </c>
      <c r="U2839" s="421">
        <f>ROUND(+J2839+M2839+T2839,4)</f>
        <v>0</v>
      </c>
      <c r="V2839" s="228"/>
      <c r="AA2839" s="229"/>
      <c r="AB2839" s="229"/>
      <c r="AN2839">
        <f t="shared" si="25"/>
        <v>0</v>
      </c>
      <c r="AO2839">
        <f t="shared" si="26"/>
        <v>0</v>
      </c>
    </row>
    <row r="2840" spans="1:41" customFormat="1" ht="15.75" x14ac:dyDescent="0.25">
      <c r="A2840" s="224"/>
      <c r="B2840" s="225"/>
      <c r="C2840" s="399"/>
      <c r="D2840" s="226"/>
      <c r="E2840" s="404"/>
      <c r="F2840" s="404"/>
      <c r="G2840" s="404"/>
      <c r="H2840" s="407">
        <f>ROUND(+E2840+F2840+G2840,4)</f>
        <v>0</v>
      </c>
      <c r="I2840" s="227"/>
      <c r="J2840" s="410"/>
      <c r="K2840" s="410"/>
      <c r="L2840" s="413"/>
      <c r="M2840" s="413">
        <f>ROUND(+L2840*C2840,4)</f>
        <v>0</v>
      </c>
      <c r="N2840" s="417"/>
      <c r="O2840" s="417"/>
      <c r="P2840" s="417"/>
      <c r="Q2840" s="418">
        <f>ROUND(+N2840+O2840+P2840,4)</f>
        <v>0</v>
      </c>
      <c r="R2840" s="421">
        <f>ROUND(IF(+Q2840-H2840&lt;=0,0,Q2840-H2840),4)</f>
        <v>0</v>
      </c>
      <c r="S2840" s="422"/>
      <c r="T2840" s="421">
        <f>ROUND(+(R2840*C2840)*S2840,4)</f>
        <v>0</v>
      </c>
      <c r="U2840" s="421">
        <f>ROUND(+J2840+M2840+T2840,4)</f>
        <v>0</v>
      </c>
      <c r="V2840" s="228"/>
      <c r="AA2840" s="229"/>
      <c r="AB2840" s="229"/>
      <c r="AN2840">
        <f t="shared" si="25"/>
        <v>0</v>
      </c>
      <c r="AO2840">
        <f t="shared" si="26"/>
        <v>0</v>
      </c>
    </row>
    <row r="2841" spans="1:41" customFormat="1" ht="15.75" x14ac:dyDescent="0.25">
      <c r="A2841" s="224"/>
      <c r="B2841" s="225"/>
      <c r="C2841" s="399"/>
      <c r="D2841" s="226"/>
      <c r="E2841" s="404"/>
      <c r="F2841" s="404"/>
      <c r="G2841" s="404"/>
      <c r="H2841" s="407">
        <f>ROUND(+E2841+F2841+G2841,4)</f>
        <v>0</v>
      </c>
      <c r="I2841" s="227"/>
      <c r="J2841" s="410"/>
      <c r="K2841" s="410"/>
      <c r="L2841" s="413"/>
      <c r="M2841" s="413">
        <f>ROUND(+L2841*C2841,4)</f>
        <v>0</v>
      </c>
      <c r="N2841" s="417"/>
      <c r="O2841" s="417"/>
      <c r="P2841" s="417"/>
      <c r="Q2841" s="418">
        <f>ROUND(+N2841+O2841+P2841,4)</f>
        <v>0</v>
      </c>
      <c r="R2841" s="421">
        <f>ROUND(IF(+Q2841-H2841&lt;=0,0,Q2841-H2841),4)</f>
        <v>0</v>
      </c>
      <c r="S2841" s="422"/>
      <c r="T2841" s="421">
        <f>ROUND(+(R2841*C2841)*S2841,4)</f>
        <v>0</v>
      </c>
      <c r="U2841" s="421">
        <f>ROUND(+J2841+M2841+T2841,4)</f>
        <v>0</v>
      </c>
      <c r="V2841" s="228"/>
      <c r="AA2841" s="229"/>
      <c r="AB2841" s="229"/>
      <c r="AN2841">
        <f t="shared" si="25"/>
        <v>0</v>
      </c>
      <c r="AO2841">
        <f t="shared" si="26"/>
        <v>0</v>
      </c>
    </row>
    <row r="2842" spans="1:41" customFormat="1" ht="15.75" x14ac:dyDescent="0.25">
      <c r="A2842" s="224"/>
      <c r="B2842" s="225"/>
      <c r="C2842" s="399"/>
      <c r="D2842" s="226"/>
      <c r="E2842" s="404"/>
      <c r="F2842" s="404"/>
      <c r="G2842" s="404"/>
      <c r="H2842" s="407">
        <f>ROUND(+E2842+F2842+G2842,4)</f>
        <v>0</v>
      </c>
      <c r="I2842" s="227"/>
      <c r="J2842" s="410"/>
      <c r="K2842" s="410"/>
      <c r="L2842" s="413"/>
      <c r="M2842" s="413">
        <f>ROUND(+L2842*C2842,4)</f>
        <v>0</v>
      </c>
      <c r="N2842" s="417"/>
      <c r="O2842" s="417"/>
      <c r="P2842" s="417"/>
      <c r="Q2842" s="418">
        <f>ROUND(+N2842+O2842+P2842,4)</f>
        <v>0</v>
      </c>
      <c r="R2842" s="421">
        <f>ROUND(IF(+Q2842-H2842&lt;=0,0,Q2842-H2842),4)</f>
        <v>0</v>
      </c>
      <c r="S2842" s="422"/>
      <c r="T2842" s="421">
        <f>ROUND(+(R2842*C2842)*S2842,4)</f>
        <v>0</v>
      </c>
      <c r="U2842" s="421">
        <f>ROUND(+J2842+M2842+T2842,4)</f>
        <v>0</v>
      </c>
      <c r="V2842" s="228"/>
      <c r="AA2842" s="229"/>
      <c r="AB2842" s="229"/>
      <c r="AN2842">
        <f t="shared" si="25"/>
        <v>0</v>
      </c>
      <c r="AO2842">
        <f t="shared" si="26"/>
        <v>0</v>
      </c>
    </row>
    <row r="2843" spans="1:41" customFormat="1" ht="15.75" x14ac:dyDescent="0.25">
      <c r="A2843" s="224"/>
      <c r="B2843" s="225"/>
      <c r="C2843" s="399"/>
      <c r="D2843" s="226"/>
      <c r="E2843" s="404"/>
      <c r="F2843" s="404"/>
      <c r="G2843" s="404"/>
      <c r="H2843" s="407">
        <f>ROUND(+E2843+F2843+G2843,4)</f>
        <v>0</v>
      </c>
      <c r="I2843" s="227"/>
      <c r="J2843" s="410"/>
      <c r="K2843" s="410"/>
      <c r="L2843" s="413"/>
      <c r="M2843" s="413">
        <f>ROUND(+L2843*C2843,4)</f>
        <v>0</v>
      </c>
      <c r="N2843" s="417"/>
      <c r="O2843" s="417"/>
      <c r="P2843" s="417"/>
      <c r="Q2843" s="418">
        <f>ROUND(+N2843+O2843+P2843,4)</f>
        <v>0</v>
      </c>
      <c r="R2843" s="421">
        <f>ROUND(IF(+Q2843-H2843&lt;=0,0,Q2843-H2843),4)</f>
        <v>0</v>
      </c>
      <c r="S2843" s="422"/>
      <c r="T2843" s="421">
        <f>ROUND(+(R2843*C2843)*S2843,4)</f>
        <v>0</v>
      </c>
      <c r="U2843" s="421">
        <f>ROUND(+J2843+M2843+T2843,4)</f>
        <v>0</v>
      </c>
      <c r="V2843" s="228"/>
      <c r="AA2843" s="229"/>
      <c r="AB2843" s="229"/>
      <c r="AN2843">
        <f t="shared" si="25"/>
        <v>0</v>
      </c>
      <c r="AO2843">
        <f t="shared" si="26"/>
        <v>0</v>
      </c>
    </row>
    <row r="2844" spans="1:41" customFormat="1" ht="15.75" x14ac:dyDescent="0.25">
      <c r="A2844" s="224"/>
      <c r="B2844" s="225"/>
      <c r="C2844" s="399"/>
      <c r="D2844" s="226"/>
      <c r="E2844" s="404"/>
      <c r="F2844" s="404"/>
      <c r="G2844" s="404"/>
      <c r="H2844" s="407">
        <f>ROUND(+E2844+F2844+G2844,4)</f>
        <v>0</v>
      </c>
      <c r="I2844" s="227"/>
      <c r="J2844" s="410"/>
      <c r="K2844" s="410"/>
      <c r="L2844" s="413"/>
      <c r="M2844" s="413">
        <f>ROUND(+L2844*C2844,4)</f>
        <v>0</v>
      </c>
      <c r="N2844" s="417"/>
      <c r="O2844" s="417"/>
      <c r="P2844" s="417"/>
      <c r="Q2844" s="418">
        <f>ROUND(+N2844+O2844+P2844,4)</f>
        <v>0</v>
      </c>
      <c r="R2844" s="421">
        <f>ROUND(IF(+Q2844-H2844&lt;=0,0,Q2844-H2844),4)</f>
        <v>0</v>
      </c>
      <c r="S2844" s="422"/>
      <c r="T2844" s="421">
        <f>ROUND(+(R2844*C2844)*S2844,4)</f>
        <v>0</v>
      </c>
      <c r="U2844" s="421">
        <f>ROUND(+J2844+M2844+T2844,4)</f>
        <v>0</v>
      </c>
      <c r="V2844" s="228"/>
      <c r="AA2844" s="229"/>
      <c r="AB2844" s="229"/>
      <c r="AN2844">
        <f t="shared" si="25"/>
        <v>0</v>
      </c>
      <c r="AO2844">
        <f t="shared" si="26"/>
        <v>0</v>
      </c>
    </row>
    <row r="2845" spans="1:41" customFormat="1" ht="15.75" x14ac:dyDescent="0.25">
      <c r="A2845" s="224"/>
      <c r="B2845" s="225"/>
      <c r="C2845" s="399"/>
      <c r="D2845" s="226"/>
      <c r="E2845" s="404"/>
      <c r="F2845" s="404"/>
      <c r="G2845" s="404"/>
      <c r="H2845" s="407">
        <f>ROUND(+E2845+F2845+G2845,4)</f>
        <v>0</v>
      </c>
      <c r="I2845" s="227"/>
      <c r="J2845" s="410"/>
      <c r="K2845" s="410"/>
      <c r="L2845" s="413"/>
      <c r="M2845" s="413">
        <f>ROUND(+L2845*C2845,4)</f>
        <v>0</v>
      </c>
      <c r="N2845" s="417"/>
      <c r="O2845" s="417"/>
      <c r="P2845" s="417"/>
      <c r="Q2845" s="418">
        <f>ROUND(+N2845+O2845+P2845,4)</f>
        <v>0</v>
      </c>
      <c r="R2845" s="421">
        <f>ROUND(IF(+Q2845-H2845&lt;=0,0,Q2845-H2845),4)</f>
        <v>0</v>
      </c>
      <c r="S2845" s="422"/>
      <c r="T2845" s="421">
        <f>ROUND(+(R2845*C2845)*S2845,4)</f>
        <v>0</v>
      </c>
      <c r="U2845" s="421">
        <f>ROUND(+J2845+M2845+T2845,4)</f>
        <v>0</v>
      </c>
      <c r="V2845" s="228"/>
      <c r="AA2845" s="229"/>
      <c r="AB2845" s="229"/>
      <c r="AN2845">
        <f t="shared" si="25"/>
        <v>0</v>
      </c>
      <c r="AO2845">
        <f t="shared" si="26"/>
        <v>0</v>
      </c>
    </row>
    <row r="2846" spans="1:41" customFormat="1" ht="15.75" x14ac:dyDescent="0.25">
      <c r="A2846" s="224"/>
      <c r="B2846" s="225"/>
      <c r="C2846" s="399"/>
      <c r="D2846" s="226"/>
      <c r="E2846" s="404"/>
      <c r="F2846" s="404"/>
      <c r="G2846" s="404"/>
      <c r="H2846" s="407">
        <f>ROUND(+E2846+F2846+G2846,4)</f>
        <v>0</v>
      </c>
      <c r="I2846" s="227"/>
      <c r="J2846" s="410"/>
      <c r="K2846" s="410"/>
      <c r="L2846" s="413"/>
      <c r="M2846" s="413">
        <f>ROUND(+L2846*C2846,4)</f>
        <v>0</v>
      </c>
      <c r="N2846" s="417"/>
      <c r="O2846" s="417"/>
      <c r="P2846" s="417"/>
      <c r="Q2846" s="418">
        <f>ROUND(+N2846+O2846+P2846,4)</f>
        <v>0</v>
      </c>
      <c r="R2846" s="421">
        <f>ROUND(IF(+Q2846-H2846&lt;=0,0,Q2846-H2846),4)</f>
        <v>0</v>
      </c>
      <c r="S2846" s="422"/>
      <c r="T2846" s="421">
        <f>ROUND(+(R2846*C2846)*S2846,4)</f>
        <v>0</v>
      </c>
      <c r="U2846" s="421">
        <f>ROUND(+J2846+M2846+T2846,4)</f>
        <v>0</v>
      </c>
      <c r="V2846" s="228"/>
      <c r="AA2846" s="229"/>
      <c r="AB2846" s="229"/>
      <c r="AN2846">
        <f t="shared" si="25"/>
        <v>0</v>
      </c>
      <c r="AO2846">
        <f t="shared" si="26"/>
        <v>0</v>
      </c>
    </row>
    <row r="2847" spans="1:41" customFormat="1" ht="15.75" x14ac:dyDescent="0.25">
      <c r="A2847" s="224"/>
      <c r="B2847" s="225"/>
      <c r="C2847" s="399"/>
      <c r="D2847" s="226"/>
      <c r="E2847" s="404"/>
      <c r="F2847" s="404"/>
      <c r="G2847" s="404"/>
      <c r="H2847" s="407">
        <f>ROUND(+E2847+F2847+G2847,4)</f>
        <v>0</v>
      </c>
      <c r="I2847" s="227"/>
      <c r="J2847" s="410"/>
      <c r="K2847" s="410"/>
      <c r="L2847" s="413"/>
      <c r="M2847" s="413">
        <f>ROUND(+L2847*C2847,4)</f>
        <v>0</v>
      </c>
      <c r="N2847" s="417"/>
      <c r="O2847" s="417"/>
      <c r="P2847" s="417"/>
      <c r="Q2847" s="418">
        <f>ROUND(+N2847+O2847+P2847,4)</f>
        <v>0</v>
      </c>
      <c r="R2847" s="421">
        <f>ROUND(IF(+Q2847-H2847&lt;=0,0,Q2847-H2847),4)</f>
        <v>0</v>
      </c>
      <c r="S2847" s="422"/>
      <c r="T2847" s="421">
        <f>ROUND(+(R2847*C2847)*S2847,4)</f>
        <v>0</v>
      </c>
      <c r="U2847" s="421">
        <f>ROUND(+J2847+M2847+T2847,4)</f>
        <v>0</v>
      </c>
      <c r="V2847" s="228"/>
      <c r="AA2847" s="229"/>
      <c r="AB2847" s="229"/>
      <c r="AN2847">
        <f t="shared" si="25"/>
        <v>0</v>
      </c>
      <c r="AO2847">
        <f t="shared" si="26"/>
        <v>0</v>
      </c>
    </row>
    <row r="2848" spans="1:41" customFormat="1" ht="15.75" x14ac:dyDescent="0.25">
      <c r="A2848" s="224"/>
      <c r="B2848" s="225"/>
      <c r="C2848" s="399"/>
      <c r="D2848" s="226"/>
      <c r="E2848" s="404"/>
      <c r="F2848" s="404"/>
      <c r="G2848" s="404"/>
      <c r="H2848" s="407">
        <f>ROUND(+E2848+F2848+G2848,4)</f>
        <v>0</v>
      </c>
      <c r="I2848" s="227"/>
      <c r="J2848" s="410"/>
      <c r="K2848" s="410"/>
      <c r="L2848" s="413"/>
      <c r="M2848" s="413">
        <f>ROUND(+L2848*C2848,4)</f>
        <v>0</v>
      </c>
      <c r="N2848" s="417"/>
      <c r="O2848" s="417"/>
      <c r="P2848" s="417"/>
      <c r="Q2848" s="418">
        <f>ROUND(+N2848+O2848+P2848,4)</f>
        <v>0</v>
      </c>
      <c r="R2848" s="421">
        <f>ROUND(IF(+Q2848-H2848&lt;=0,0,Q2848-H2848),4)</f>
        <v>0</v>
      </c>
      <c r="S2848" s="422"/>
      <c r="T2848" s="421">
        <f>ROUND(+(R2848*C2848)*S2848,4)</f>
        <v>0</v>
      </c>
      <c r="U2848" s="421">
        <f>ROUND(+J2848+M2848+T2848,4)</f>
        <v>0</v>
      </c>
      <c r="V2848" s="228"/>
      <c r="AA2848" s="229"/>
      <c r="AB2848" s="229"/>
      <c r="AN2848">
        <f t="shared" si="25"/>
        <v>0</v>
      </c>
      <c r="AO2848">
        <f t="shared" si="26"/>
        <v>0</v>
      </c>
    </row>
    <row r="2849" spans="1:41" customFormat="1" ht="15.75" x14ac:dyDescent="0.25">
      <c r="A2849" s="224"/>
      <c r="B2849" s="225"/>
      <c r="C2849" s="399"/>
      <c r="D2849" s="226"/>
      <c r="E2849" s="404"/>
      <c r="F2849" s="404"/>
      <c r="G2849" s="404"/>
      <c r="H2849" s="407">
        <f>ROUND(+E2849+F2849+G2849,4)</f>
        <v>0</v>
      </c>
      <c r="I2849" s="227"/>
      <c r="J2849" s="410"/>
      <c r="K2849" s="410"/>
      <c r="L2849" s="413"/>
      <c r="M2849" s="413">
        <f>ROUND(+L2849*C2849,4)</f>
        <v>0</v>
      </c>
      <c r="N2849" s="417"/>
      <c r="O2849" s="417"/>
      <c r="P2849" s="417"/>
      <c r="Q2849" s="418">
        <f>ROUND(+N2849+O2849+P2849,4)</f>
        <v>0</v>
      </c>
      <c r="R2849" s="421">
        <f>ROUND(IF(+Q2849-H2849&lt;=0,0,Q2849-H2849),4)</f>
        <v>0</v>
      </c>
      <c r="S2849" s="422"/>
      <c r="T2849" s="421">
        <f>ROUND(+(R2849*C2849)*S2849,4)</f>
        <v>0</v>
      </c>
      <c r="U2849" s="421">
        <f>ROUND(+J2849+M2849+T2849,4)</f>
        <v>0</v>
      </c>
      <c r="V2849" s="228"/>
      <c r="AA2849" s="229"/>
      <c r="AB2849" s="229"/>
      <c r="AN2849">
        <f t="shared" si="25"/>
        <v>0</v>
      </c>
      <c r="AO2849">
        <f t="shared" si="26"/>
        <v>0</v>
      </c>
    </row>
    <row r="2850" spans="1:41" customFormat="1" ht="15.75" x14ac:dyDescent="0.25">
      <c r="A2850" s="224"/>
      <c r="B2850" s="225"/>
      <c r="C2850" s="399"/>
      <c r="D2850" s="226"/>
      <c r="E2850" s="404"/>
      <c r="F2850" s="404"/>
      <c r="G2850" s="404"/>
      <c r="H2850" s="407">
        <f>ROUND(+E2850+F2850+G2850,4)</f>
        <v>0</v>
      </c>
      <c r="I2850" s="227"/>
      <c r="J2850" s="410"/>
      <c r="K2850" s="410"/>
      <c r="L2850" s="413"/>
      <c r="M2850" s="413">
        <f>ROUND(+L2850*C2850,4)</f>
        <v>0</v>
      </c>
      <c r="N2850" s="417"/>
      <c r="O2850" s="417"/>
      <c r="P2850" s="417"/>
      <c r="Q2850" s="418">
        <f>ROUND(+N2850+O2850+P2850,4)</f>
        <v>0</v>
      </c>
      <c r="R2850" s="421">
        <f>ROUND(IF(+Q2850-H2850&lt;=0,0,Q2850-H2850),4)</f>
        <v>0</v>
      </c>
      <c r="S2850" s="422"/>
      <c r="T2850" s="421">
        <f>ROUND(+(R2850*C2850)*S2850,4)</f>
        <v>0</v>
      </c>
      <c r="U2850" s="421">
        <f>ROUND(+J2850+M2850+T2850,4)</f>
        <v>0</v>
      </c>
      <c r="V2850" s="228"/>
      <c r="AA2850" s="229"/>
      <c r="AB2850" s="229"/>
      <c r="AN2850">
        <f t="shared" si="25"/>
        <v>0</v>
      </c>
      <c r="AO2850">
        <f t="shared" si="26"/>
        <v>0</v>
      </c>
    </row>
    <row r="2851" spans="1:41" customFormat="1" ht="15.75" x14ac:dyDescent="0.25">
      <c r="A2851" s="224"/>
      <c r="B2851" s="225"/>
      <c r="C2851" s="399"/>
      <c r="D2851" s="226"/>
      <c r="E2851" s="404"/>
      <c r="F2851" s="404"/>
      <c r="G2851" s="404"/>
      <c r="H2851" s="407">
        <f>ROUND(+E2851+F2851+G2851,4)</f>
        <v>0</v>
      </c>
      <c r="I2851" s="227"/>
      <c r="J2851" s="410"/>
      <c r="K2851" s="410"/>
      <c r="L2851" s="413"/>
      <c r="M2851" s="413">
        <f>ROUND(+L2851*C2851,4)</f>
        <v>0</v>
      </c>
      <c r="N2851" s="417"/>
      <c r="O2851" s="417"/>
      <c r="P2851" s="417"/>
      <c r="Q2851" s="418">
        <f>ROUND(+N2851+O2851+P2851,4)</f>
        <v>0</v>
      </c>
      <c r="R2851" s="421">
        <f>ROUND(IF(+Q2851-H2851&lt;=0,0,Q2851-H2851),4)</f>
        <v>0</v>
      </c>
      <c r="S2851" s="422"/>
      <c r="T2851" s="421">
        <f>ROUND(+(R2851*C2851)*S2851,4)</f>
        <v>0</v>
      </c>
      <c r="U2851" s="421">
        <f>ROUND(+J2851+M2851+T2851,4)</f>
        <v>0</v>
      </c>
      <c r="V2851" s="228"/>
      <c r="AA2851" s="229"/>
      <c r="AB2851" s="229"/>
      <c r="AN2851">
        <f t="shared" si="25"/>
        <v>0</v>
      </c>
      <c r="AO2851">
        <f t="shared" si="26"/>
        <v>0</v>
      </c>
    </row>
    <row r="2852" spans="1:41" customFormat="1" ht="15.75" x14ac:dyDescent="0.25">
      <c r="A2852" s="224"/>
      <c r="B2852" s="225"/>
      <c r="C2852" s="399"/>
      <c r="D2852" s="226"/>
      <c r="E2852" s="404"/>
      <c r="F2852" s="404"/>
      <c r="G2852" s="404"/>
      <c r="H2852" s="407">
        <f>ROUND(+E2852+F2852+G2852,4)</f>
        <v>0</v>
      </c>
      <c r="I2852" s="227"/>
      <c r="J2852" s="410"/>
      <c r="K2852" s="410"/>
      <c r="L2852" s="413"/>
      <c r="M2852" s="413">
        <f>ROUND(+L2852*C2852,4)</f>
        <v>0</v>
      </c>
      <c r="N2852" s="417"/>
      <c r="O2852" s="417"/>
      <c r="P2852" s="417"/>
      <c r="Q2852" s="418">
        <f>ROUND(+N2852+O2852+P2852,4)</f>
        <v>0</v>
      </c>
      <c r="R2852" s="421">
        <f>ROUND(IF(+Q2852-H2852&lt;=0,0,Q2852-H2852),4)</f>
        <v>0</v>
      </c>
      <c r="S2852" s="422"/>
      <c r="T2852" s="421">
        <f>ROUND(+(R2852*C2852)*S2852,4)</f>
        <v>0</v>
      </c>
      <c r="U2852" s="421">
        <f>ROUND(+J2852+M2852+T2852,4)</f>
        <v>0</v>
      </c>
      <c r="V2852" s="228"/>
      <c r="AA2852" s="229"/>
      <c r="AB2852" s="229"/>
      <c r="AN2852">
        <f t="shared" si="25"/>
        <v>0</v>
      </c>
      <c r="AO2852">
        <f t="shared" si="26"/>
        <v>0</v>
      </c>
    </row>
    <row r="2853" spans="1:41" ht="16.5" thickBot="1" x14ac:dyDescent="0.3">
      <c r="A2853" s="240"/>
      <c r="B2853" s="241"/>
      <c r="C2853" s="403"/>
      <c r="D2853" s="242"/>
      <c r="E2853" s="406"/>
      <c r="F2853" s="406"/>
      <c r="G2853" s="406"/>
      <c r="H2853" s="409">
        <f>ROUND(+E2853+F2853+G2853,4)</f>
        <v>0</v>
      </c>
      <c r="I2853" s="243"/>
      <c r="J2853" s="412"/>
      <c r="K2853" s="412"/>
      <c r="L2853" s="415">
        <v>0.1</v>
      </c>
      <c r="M2853" s="416">
        <f>ROUND(+L2853*C2853,4)</f>
        <v>0</v>
      </c>
      <c r="N2853" s="415"/>
      <c r="O2853" s="415"/>
      <c r="P2853" s="415"/>
      <c r="Q2853" s="420">
        <f>ROUND(+N2853+O2853+P2853,4)</f>
        <v>0</v>
      </c>
      <c r="R2853" s="420">
        <f>ROUND(IF(+Q2853-H2853&lt;=0,0,Q2853-H2853),4)</f>
        <v>0</v>
      </c>
      <c r="S2853" s="424">
        <v>0.5</v>
      </c>
      <c r="T2853" s="420">
        <f>ROUND(+(R2853*C2853)*S2853,4)</f>
        <v>0</v>
      </c>
      <c r="U2853" s="419">
        <f>ROUND(+J2853+M2853+T2853,4)</f>
        <v>0</v>
      </c>
      <c r="V2853" s="244"/>
      <c r="AA2853" s="236">
        <f t="shared" ca="1" si="18"/>
        <v>46150</v>
      </c>
      <c r="AB2853" s="236" t="b">
        <f t="shared" ref="AB2853" si="27">ISBLANK(V2853)</f>
        <v>1</v>
      </c>
      <c r="AF2853" s="230">
        <f t="shared" ref="AF2853" si="28">WEEKNUM(V2853)</f>
        <v>0</v>
      </c>
      <c r="AG2853" s="230">
        <f t="shared" ref="AG2853" si="29">YEAR(V2853)</f>
        <v>1900</v>
      </c>
      <c r="AN2853" s="230">
        <f t="shared" ref="AN2853" si="30">IF(V2853="",0,MONTH(V2853))</f>
        <v>0</v>
      </c>
      <c r="AO2853" s="230">
        <f t="shared" ref="AO2853" si="31">IF(V2853="",0,YEAR(V2853))</f>
        <v>0</v>
      </c>
    </row>
    <row r="2854" spans="1:41" ht="16.5" thickBot="1" x14ac:dyDescent="0.3">
      <c r="A2854" s="245"/>
      <c r="B2854" s="372" t="s">
        <v>339</v>
      </c>
      <c r="C2854" s="246">
        <f>SUM(C7:C2853)</f>
        <v>45637.380000000012</v>
      </c>
      <c r="D2854" s="245"/>
      <c r="E2854" s="245"/>
      <c r="F2854" s="245"/>
      <c r="G2854" s="245"/>
      <c r="H2854" s="247"/>
      <c r="I2854" s="248"/>
      <c r="J2854" s="248"/>
      <c r="K2854" s="248"/>
      <c r="L2854" s="249"/>
      <c r="M2854" s="250">
        <f>SUM(M7:M2853)</f>
        <v>4563.7379999999994</v>
      </c>
      <c r="N2854" s="251"/>
      <c r="O2854" s="251"/>
      <c r="P2854" s="251"/>
      <c r="Q2854" s="249"/>
      <c r="R2854" s="249"/>
      <c r="S2854" s="249"/>
      <c r="T2854" s="249"/>
      <c r="U2854" s="252">
        <f>SUM(U7:U2853)</f>
        <v>14784.394900000008</v>
      </c>
    </row>
    <row r="2855" spans="1:41" ht="15.75" x14ac:dyDescent="0.25">
      <c r="A2855" s="245"/>
      <c r="B2855" s="245"/>
      <c r="C2855" s="253"/>
      <c r="D2855" s="245"/>
      <c r="E2855" s="245"/>
      <c r="F2855" s="245"/>
      <c r="G2855" s="245"/>
      <c r="H2855" s="254"/>
      <c r="I2855" s="248"/>
      <c r="J2855" s="248"/>
      <c r="K2855" s="248"/>
      <c r="L2855" s="249"/>
      <c r="M2855" s="249"/>
      <c r="N2855" s="249"/>
      <c r="O2855" s="249"/>
      <c r="P2855" s="249"/>
      <c r="Q2855" s="249"/>
      <c r="R2855" s="249"/>
      <c r="S2855" s="249"/>
      <c r="T2855" s="249"/>
      <c r="U2855" s="249"/>
    </row>
    <row r="2856" spans="1:41" ht="15.75" x14ac:dyDescent="0.25">
      <c r="A2856" s="245"/>
      <c r="B2856" s="245"/>
      <c r="C2856" s="253"/>
      <c r="D2856" s="245"/>
      <c r="E2856" s="245"/>
      <c r="F2856" s="245"/>
      <c r="G2856" s="245"/>
      <c r="H2856" s="254"/>
      <c r="I2856" s="248"/>
      <c r="J2856" s="248"/>
      <c r="K2856" s="248"/>
      <c r="L2856" s="249"/>
      <c r="M2856" s="249"/>
      <c r="N2856" s="249"/>
      <c r="O2856" s="249"/>
      <c r="P2856" s="249"/>
      <c r="Q2856" s="249"/>
      <c r="R2856" s="249"/>
      <c r="S2856" s="249"/>
      <c r="T2856" s="249"/>
      <c r="U2856" s="249"/>
      <c r="Z2856" s="255"/>
    </row>
    <row r="2857" spans="1:41" ht="16.5" thickBot="1" x14ac:dyDescent="0.3">
      <c r="A2857" s="245"/>
      <c r="B2857" s="245"/>
      <c r="C2857" s="253"/>
      <c r="D2857" s="245"/>
      <c r="E2857" s="245"/>
      <c r="F2857" s="245"/>
      <c r="G2857" s="245"/>
      <c r="H2857" s="254"/>
      <c r="I2857" s="248"/>
      <c r="J2857" s="248"/>
      <c r="K2857" s="248"/>
      <c r="L2857" s="249"/>
      <c r="M2857" s="249"/>
      <c r="N2857" s="249"/>
      <c r="O2857" s="249"/>
      <c r="P2857" s="249"/>
      <c r="Q2857" s="249"/>
      <c r="R2857" s="249"/>
      <c r="S2857" s="249"/>
      <c r="T2857" s="249"/>
      <c r="U2857" s="249"/>
    </row>
    <row r="2858" spans="1:41" ht="15.75" x14ac:dyDescent="0.25">
      <c r="A2858" s="245"/>
      <c r="B2858" s="256" t="s">
        <v>60</v>
      </c>
      <c r="C2858" s="257" t="s">
        <v>38</v>
      </c>
      <c r="D2858" s="258" t="s">
        <v>48</v>
      </c>
      <c r="E2858" s="258"/>
      <c r="F2858" s="258"/>
      <c r="G2858" s="258"/>
      <c r="H2858" s="259" t="s">
        <v>214</v>
      </c>
      <c r="I2858" s="260" t="s">
        <v>216</v>
      </c>
      <c r="J2858" s="248"/>
      <c r="K2858" s="248"/>
      <c r="L2858" s="249"/>
      <c r="M2858" s="249"/>
      <c r="N2858" s="249"/>
      <c r="O2858" s="249"/>
      <c r="P2858" s="249"/>
      <c r="Q2858" s="249"/>
      <c r="R2858" s="249"/>
      <c r="S2858" s="249"/>
      <c r="T2858" s="249"/>
      <c r="U2858" s="249"/>
    </row>
    <row r="2859" spans="1:41" ht="15.75" x14ac:dyDescent="0.25">
      <c r="A2859" s="245"/>
      <c r="B2859" s="261"/>
      <c r="C2859" s="262"/>
      <c r="D2859" s="263"/>
      <c r="E2859" s="263"/>
      <c r="F2859" s="263"/>
      <c r="G2859" s="263"/>
      <c r="H2859" s="264"/>
      <c r="I2859" s="265"/>
      <c r="J2859" s="266"/>
      <c r="K2859" s="266"/>
      <c r="L2859" s="249"/>
      <c r="M2859" s="249"/>
      <c r="N2859" s="249"/>
      <c r="O2859" s="249"/>
      <c r="P2859" s="249"/>
      <c r="Q2859" s="249"/>
      <c r="R2859" s="249"/>
      <c r="S2859" s="249"/>
      <c r="T2859" s="249"/>
      <c r="U2859" s="249"/>
    </row>
    <row r="2860" spans="1:41" ht="15.75" x14ac:dyDescent="0.25">
      <c r="A2860" s="245">
        <v>1</v>
      </c>
      <c r="B2860" s="267" t="s">
        <v>295</v>
      </c>
      <c r="C2860" s="268">
        <f>SUMIF($B$7:$B$2853,"Altrafo",$C$7:$C$2853)</f>
        <v>0</v>
      </c>
      <c r="D2860" s="269">
        <f>SUMIF($B$7:$B$2853,"Altrafo",$U$7:$U$2853)</f>
        <v>0</v>
      </c>
      <c r="E2860" s="269"/>
      <c r="F2860" s="269"/>
      <c r="G2860" s="269"/>
      <c r="H2860" s="270">
        <f>SUMIFS(U$7:U$2853,B$7:B$2853,"Altrafo",Y$7:Y$2853,"OK")</f>
        <v>0</v>
      </c>
      <c r="I2860" s="265"/>
      <c r="J2860" s="266"/>
      <c r="K2860" s="266"/>
      <c r="L2860" s="249"/>
      <c r="M2860" s="249"/>
      <c r="N2860" s="249"/>
      <c r="O2860" s="249"/>
      <c r="P2860" s="249"/>
      <c r="Q2860" s="249"/>
      <c r="R2860" s="249"/>
      <c r="S2860" s="249"/>
      <c r="T2860" s="249"/>
      <c r="U2860" s="249"/>
    </row>
    <row r="2861" spans="1:41" ht="15.75" x14ac:dyDescent="0.25">
      <c r="A2861" s="245">
        <f>+A2860+1</f>
        <v>2</v>
      </c>
      <c r="B2861" s="267" t="s">
        <v>276</v>
      </c>
      <c r="C2861" s="268">
        <f>SUMIF($B$7:$B$2853,"Avelto",$C$7:$C$2853)</f>
        <v>0</v>
      </c>
      <c r="D2861" s="269">
        <f>SUMIF($B$7:$B$2853,"Avelto",$U$7:$U$2853)</f>
        <v>0</v>
      </c>
      <c r="E2861" s="269"/>
      <c r="F2861" s="269"/>
      <c r="G2861" s="269"/>
      <c r="H2861" s="270">
        <f>SUMIFS(U$7:U$2853,B$7:B$2853,"Avelto",Y$7:Y$2853,"OK")</f>
        <v>0</v>
      </c>
      <c r="I2861" s="265"/>
      <c r="J2861" s="266"/>
      <c r="K2861" s="266"/>
      <c r="L2861" s="249"/>
      <c r="M2861" s="249"/>
      <c r="N2861" s="249"/>
      <c r="O2861" s="249"/>
      <c r="P2861" s="249"/>
      <c r="Q2861" s="249"/>
      <c r="R2861" s="249"/>
      <c r="S2861" s="249"/>
      <c r="T2861" s="249"/>
      <c r="U2861" s="249"/>
    </row>
    <row r="2862" spans="1:41" ht="15.75" x14ac:dyDescent="0.25">
      <c r="A2862" s="245"/>
      <c r="B2862" s="267" t="s">
        <v>324</v>
      </c>
      <c r="C2862" s="268">
        <f>SUMIF($B$7:$B$2853,"acm",$C$7:$C$2853)</f>
        <v>0</v>
      </c>
      <c r="D2862" s="269">
        <f>SUMIF($B$7:$B$2853,"Acm",$U$7:$U$2853)</f>
        <v>0</v>
      </c>
      <c r="E2862" s="269"/>
      <c r="F2862" s="269"/>
      <c r="G2862" s="269"/>
      <c r="H2862" s="270">
        <f>SUMIFS(U$7:U$2853,B$7:B$2853,"Acm",Y$7:Y$2853,"OK")</f>
        <v>0</v>
      </c>
      <c r="I2862" s="265"/>
      <c r="J2862" s="266"/>
      <c r="K2862" s="266"/>
      <c r="L2862" s="249"/>
      <c r="M2862" s="249"/>
      <c r="N2862" s="249"/>
      <c r="O2862" s="249"/>
      <c r="P2862" s="249"/>
      <c r="Q2862" s="249"/>
      <c r="R2862" s="249"/>
      <c r="S2862" s="249"/>
      <c r="T2862" s="249"/>
      <c r="U2862" s="249"/>
    </row>
    <row r="2863" spans="1:41" ht="15.75" x14ac:dyDescent="0.25">
      <c r="A2863" s="245"/>
      <c r="B2863" s="267" t="s">
        <v>322</v>
      </c>
      <c r="C2863" s="268">
        <f>SUMIF($B$7:$B$2853,"Banchi",$C$7:$C$2853)</f>
        <v>0</v>
      </c>
      <c r="D2863" s="269">
        <f>SUMIF($B$7:$B$2853,"Banchi",$U$7:$U$2853)</f>
        <v>0</v>
      </c>
      <c r="E2863" s="269"/>
      <c r="F2863" s="269"/>
      <c r="G2863" s="269"/>
      <c r="H2863" s="270">
        <f>SUMIFS(U$7:U$2853,B$7:B$2853,"Banchi",Y$7:Y$2853,"OK")</f>
        <v>0</v>
      </c>
      <c r="I2863" s="265"/>
      <c r="J2863" s="266"/>
      <c r="K2863" s="266"/>
      <c r="L2863" s="249"/>
      <c r="M2863" s="249"/>
      <c r="N2863" s="249"/>
      <c r="O2863" s="249"/>
      <c r="P2863" s="249"/>
      <c r="Q2863" s="249"/>
      <c r="R2863" s="249"/>
      <c r="S2863" s="249"/>
      <c r="T2863" s="249"/>
      <c r="U2863" s="249"/>
    </row>
    <row r="2864" spans="1:41" ht="15.75" x14ac:dyDescent="0.25">
      <c r="A2864" s="245"/>
      <c r="B2864" s="267" t="s">
        <v>321</v>
      </c>
      <c r="C2864" s="268">
        <f>SUMIF($B$7:$B$2853,"belelli",$C$7:$C$2853)</f>
        <v>0</v>
      </c>
      <c r="D2864" s="269">
        <f>SUMIF($B$7:$B$2853,"Belelli",$U$7:$U$2853)</f>
        <v>0</v>
      </c>
      <c r="E2864" s="269"/>
      <c r="F2864" s="269"/>
      <c r="G2864" s="269"/>
      <c r="H2864" s="270">
        <f>SUMIFS(U$7:U$2853,B$7:B$2853,"Belelli",Y$7:Y$2853,"OK")</f>
        <v>0</v>
      </c>
      <c r="I2864" s="265"/>
      <c r="J2864" s="266"/>
      <c r="K2864" s="266"/>
      <c r="L2864" s="249"/>
      <c r="M2864" s="249"/>
      <c r="N2864" s="249"/>
      <c r="O2864" s="249"/>
      <c r="P2864" s="249"/>
      <c r="Q2864" s="249"/>
      <c r="R2864" s="249"/>
      <c r="S2864" s="249"/>
      <c r="T2864" s="249"/>
      <c r="U2864" s="249"/>
    </row>
    <row r="2865" spans="1:21" ht="15.75" x14ac:dyDescent="0.25">
      <c r="A2865" s="245"/>
      <c r="B2865" s="267" t="s">
        <v>304</v>
      </c>
      <c r="C2865" s="268">
        <f>SUMIF($B$7:$B$2853,"bermar",$C$7:$C$2853)</f>
        <v>0</v>
      </c>
      <c r="D2865" s="269">
        <f>SUMIF($B$7:$B$2853,"bermar",$U$7:$U$2853)</f>
        <v>0</v>
      </c>
      <c r="E2865" s="269"/>
      <c r="F2865" s="269"/>
      <c r="G2865" s="269"/>
      <c r="H2865" s="270">
        <f>SUMIFS(U$7:U$2853,B$7:B$2853,"bermar",Y$7:Y$2853,"OK")</f>
        <v>0</v>
      </c>
      <c r="I2865" s="265"/>
      <c r="J2865" s="266"/>
      <c r="K2865" s="266"/>
      <c r="L2865" s="249"/>
      <c r="M2865" s="249"/>
      <c r="N2865" s="249"/>
      <c r="O2865" s="249"/>
      <c r="P2865" s="249"/>
      <c r="Q2865" s="249"/>
      <c r="R2865" s="249"/>
      <c r="S2865" s="249"/>
      <c r="T2865" s="249"/>
      <c r="U2865" s="249"/>
    </row>
    <row r="2866" spans="1:21" ht="15.75" x14ac:dyDescent="0.25">
      <c r="A2866" s="245">
        <f>+A2861+1</f>
        <v>3</v>
      </c>
      <c r="B2866" s="267" t="s">
        <v>280</v>
      </c>
      <c r="C2866" s="268">
        <f>SUMIF($B$7:$B$2853,"Brioschi",$C$7:$C$2853)</f>
        <v>0</v>
      </c>
      <c r="D2866" s="269">
        <f>SUMIF($B$7:$B$2853,"Brioschi",$U$7:$U$2853)</f>
        <v>0</v>
      </c>
      <c r="E2866" s="269"/>
      <c r="F2866" s="269"/>
      <c r="G2866" s="269"/>
      <c r="H2866" s="270">
        <f>SUMIFS(U$7:U$2853,B$7:B$2853,"Brioschi",Y$7:Y$2853,"OK")</f>
        <v>0</v>
      </c>
      <c r="I2866" s="265"/>
      <c r="J2866" s="266"/>
      <c r="K2866" s="266"/>
      <c r="L2866" s="249"/>
      <c r="M2866" s="249"/>
      <c r="N2866" s="249"/>
      <c r="O2866" s="249"/>
      <c r="P2866" s="249"/>
      <c r="Q2866" s="249"/>
      <c r="R2866" s="249"/>
      <c r="S2866" s="249"/>
      <c r="T2866" s="249"/>
      <c r="U2866" s="249"/>
    </row>
    <row r="2867" spans="1:21" ht="15.75" x14ac:dyDescent="0.25">
      <c r="A2867" s="245"/>
      <c r="B2867" s="267" t="s">
        <v>306</v>
      </c>
      <c r="C2867" s="268">
        <f>SUMIF($B$7:$B$2853,"cem",$C$7:$C$2853)</f>
        <v>0</v>
      </c>
      <c r="D2867" s="269">
        <f>SUMIF($B$7:$B$2853,"cem",$U$7:$U$2853)</f>
        <v>0</v>
      </c>
      <c r="E2867" s="269"/>
      <c r="F2867" s="269"/>
      <c r="G2867" s="269"/>
      <c r="H2867" s="270">
        <f>SUMIFS(U$7:U$2853,B$7:B$2853,"cem",Y$7:Y$2853,"OK")</f>
        <v>0</v>
      </c>
      <c r="I2867" s="265"/>
      <c r="J2867" s="266"/>
      <c r="K2867" s="266"/>
      <c r="L2867" s="249"/>
      <c r="M2867" s="249"/>
      <c r="N2867" s="249"/>
      <c r="O2867" s="249"/>
      <c r="P2867" s="249"/>
      <c r="Q2867" s="249"/>
      <c r="R2867" s="249"/>
      <c r="S2867" s="249"/>
      <c r="T2867" s="249"/>
      <c r="U2867" s="249"/>
    </row>
    <row r="2868" spans="1:21" ht="15.75" x14ac:dyDescent="0.25">
      <c r="A2868" s="245">
        <f>+A2866+1</f>
        <v>4</v>
      </c>
      <c r="B2868" s="267" t="s">
        <v>264</v>
      </c>
      <c r="C2868" s="271">
        <f>SUMIF($B$7:$B$2853,"Cemel",$C$7:$C$2853)</f>
        <v>0</v>
      </c>
      <c r="D2868" s="272">
        <f>SUMIF($B$7:$B$2853,"cemel",$U$7:$U$2853)</f>
        <v>0</v>
      </c>
      <c r="E2868" s="272"/>
      <c r="F2868" s="272"/>
      <c r="G2868" s="272"/>
      <c r="H2868" s="264">
        <f>SUMIFS(U$7:U$2853,B$7:B$2853,"cemel",Y$7:Y$2853,"OK")</f>
        <v>0</v>
      </c>
      <c r="I2868" s="265"/>
      <c r="J2868" s="266"/>
      <c r="K2868" s="266"/>
      <c r="L2868" s="249"/>
      <c r="M2868" s="249"/>
      <c r="N2868" s="249"/>
      <c r="O2868" s="249"/>
      <c r="P2868" s="249"/>
      <c r="Q2868" s="249"/>
      <c r="R2868" s="249"/>
      <c r="S2868" s="249"/>
      <c r="T2868" s="249"/>
      <c r="U2868" s="249"/>
    </row>
    <row r="2869" spans="1:21" ht="15.75" x14ac:dyDescent="0.25">
      <c r="A2869" s="245">
        <f t="shared" ref="A2869:A2906" si="32">+A2868+1</f>
        <v>5</v>
      </c>
      <c r="B2869" s="267" t="s">
        <v>269</v>
      </c>
      <c r="C2869" s="271">
        <f>SUMIF($B$7:$B$2853,"CTS",$C$7:$C$2853)</f>
        <v>0</v>
      </c>
      <c r="D2869" s="272">
        <f>SUMIF($B$7:$B$2853,"CTS",$U$7:$U$2853)</f>
        <v>0</v>
      </c>
      <c r="E2869" s="272"/>
      <c r="F2869" s="272"/>
      <c r="G2869" s="272"/>
      <c r="H2869" s="264">
        <f>SUMIFS(U$7:U$2853,B$7:B$2853,"CTS",Y$7:Y$2853,"OK")</f>
        <v>0</v>
      </c>
      <c r="I2869" s="265">
        <f>SUMIFS(C$7:C$2853,B$7:B$2853,"CTS",Y$7:Y$2853,"OK")</f>
        <v>0</v>
      </c>
      <c r="J2869" s="266"/>
      <c r="K2869" s="266"/>
      <c r="L2869" s="249"/>
      <c r="M2869" s="249"/>
      <c r="N2869" s="249"/>
      <c r="O2869" s="249"/>
      <c r="P2869" s="249"/>
      <c r="Q2869" s="249"/>
      <c r="R2869" s="249"/>
      <c r="S2869" s="249"/>
      <c r="T2869" s="249"/>
      <c r="U2869" s="249"/>
    </row>
    <row r="2870" spans="1:21" ht="15.75" x14ac:dyDescent="0.25">
      <c r="A2870" s="245">
        <f t="shared" si="32"/>
        <v>6</v>
      </c>
      <c r="B2870" s="267" t="s">
        <v>278</v>
      </c>
      <c r="C2870" s="271">
        <f>SUMIF($B$7:$B$2853,"DSR",$C$7:$C$2853)</f>
        <v>0</v>
      </c>
      <c r="D2870" s="272">
        <f>SUMIF($B$7:$B$2853,"DSR",$U$7:$U$2853)</f>
        <v>0</v>
      </c>
      <c r="E2870" s="272"/>
      <c r="F2870" s="272"/>
      <c r="G2870" s="272"/>
      <c r="H2870" s="264">
        <f>SUMIFS(U$7:U$2853,B$7:B$2853,"DSR",Y$7:Y$2853,"OK")</f>
        <v>0</v>
      </c>
      <c r="I2870" s="265"/>
      <c r="J2870" s="266"/>
      <c r="K2870" s="266"/>
      <c r="L2870" s="249"/>
      <c r="M2870" s="249"/>
      <c r="N2870" s="249"/>
      <c r="O2870" s="249"/>
      <c r="P2870" s="249"/>
      <c r="Q2870" s="249"/>
      <c r="R2870" s="249"/>
      <c r="S2870" s="249"/>
      <c r="T2870" s="249"/>
      <c r="U2870" s="249"/>
    </row>
    <row r="2871" spans="1:21" ht="15.75" x14ac:dyDescent="0.25">
      <c r="A2871" s="245">
        <f t="shared" si="32"/>
        <v>7</v>
      </c>
      <c r="B2871" s="267" t="s">
        <v>266</v>
      </c>
      <c r="C2871" s="271">
        <f>SUMIF($B$7:$B$2853,"ebg",$C$7:$C$2853)</f>
        <v>300</v>
      </c>
      <c r="D2871" s="272">
        <f>SUMIF($B$7:$B$2853,"ebg",$U$7:$U$2853)</f>
        <v>90</v>
      </c>
      <c r="E2871" s="272"/>
      <c r="F2871" s="272"/>
      <c r="G2871" s="272"/>
      <c r="H2871" s="264">
        <f>SUMIFS(U$7:U$2853,B$7:B$2853,"Ebg",Y$7:Y$2853,"OK")</f>
        <v>0</v>
      </c>
      <c r="I2871" s="265">
        <f>SUMIFS(C$7:C$2853,B$7:B$2853,"EBG",Y$7:Y$2853,"OK")</f>
        <v>0</v>
      </c>
      <c r="J2871" s="266"/>
      <c r="K2871" s="266"/>
      <c r="L2871" s="249"/>
      <c r="M2871" s="249"/>
      <c r="N2871" s="249"/>
      <c r="O2871" s="249"/>
      <c r="P2871" s="249"/>
      <c r="Q2871" s="249"/>
      <c r="R2871" s="249"/>
      <c r="S2871" s="249"/>
      <c r="T2871" s="249"/>
      <c r="U2871" s="249"/>
    </row>
    <row r="2872" spans="1:21" ht="15.75" x14ac:dyDescent="0.25">
      <c r="A2872" s="245"/>
      <c r="B2872" s="267" t="s">
        <v>307</v>
      </c>
      <c r="C2872" s="271">
        <f>SUMIF($B$7:$B$2853,"efc",$C$7:$C$2853)</f>
        <v>514.5</v>
      </c>
      <c r="D2872" s="272">
        <f>SUMIF($B$7:$B$2853,"efc",$U$7:$U$2853)</f>
        <v>126.94800000000001</v>
      </c>
      <c r="E2872" s="272"/>
      <c r="F2872" s="272"/>
      <c r="G2872" s="272"/>
      <c r="H2872" s="264">
        <f>SUMIFS(U$7:U$2853,B$7:B$2853,"Efc",Y$7:Y$2853,"OK")</f>
        <v>78.798000000000002</v>
      </c>
      <c r="I2872" s="265"/>
      <c r="J2872" s="266"/>
      <c r="K2872" s="266"/>
      <c r="L2872" s="249"/>
      <c r="M2872" s="249"/>
      <c r="N2872" s="249"/>
      <c r="O2872" s="249"/>
      <c r="P2872" s="249"/>
      <c r="Q2872" s="249"/>
      <c r="R2872" s="249"/>
      <c r="S2872" s="249"/>
      <c r="T2872" s="249"/>
      <c r="U2872" s="249"/>
    </row>
    <row r="2873" spans="1:21" ht="15.75" x14ac:dyDescent="0.25">
      <c r="A2873" s="245"/>
      <c r="B2873" s="267" t="s">
        <v>338</v>
      </c>
      <c r="C2873" s="271">
        <f>SUMIF($B$7:$B$2853,"elettromagneti",$C$7:$C$2853)</f>
        <v>0</v>
      </c>
      <c r="D2873" s="272">
        <f>SUMIF($B$7:$B$2853,"elettromagneti",$U$7:$U$2853)</f>
        <v>0</v>
      </c>
      <c r="E2873" s="272"/>
      <c r="F2873" s="272"/>
      <c r="G2873" s="272"/>
      <c r="H2873" s="264">
        <f>SUMIFS(U$7:U$2853,B$7:B$2853,"Elettromagneti",Y$7:Y$2853,"OK")</f>
        <v>0</v>
      </c>
      <c r="I2873" s="265"/>
      <c r="J2873" s="266"/>
      <c r="K2873" s="266"/>
      <c r="L2873" s="249"/>
      <c r="M2873" s="249"/>
      <c r="N2873" s="249"/>
      <c r="O2873" s="249"/>
      <c r="P2873" s="249"/>
      <c r="Q2873" s="249"/>
      <c r="R2873" s="249"/>
      <c r="S2873" s="249"/>
      <c r="T2873" s="249"/>
      <c r="U2873" s="249"/>
    </row>
    <row r="2874" spans="1:21" ht="15.75" x14ac:dyDescent="0.25">
      <c r="A2874" s="245">
        <f>+A2871+1</f>
        <v>8</v>
      </c>
      <c r="B2874" s="273" t="s">
        <v>262</v>
      </c>
      <c r="C2874" s="271">
        <f>SUMIF($B$7:$B$2853,"elettromil",$C$7:$C$2853)</f>
        <v>4090</v>
      </c>
      <c r="D2874" s="274">
        <f>SUMIF($B$7:$B$2853,"elettromil",$U$7:$U$2853)</f>
        <v>577.5</v>
      </c>
      <c r="E2874" s="274"/>
      <c r="F2874" s="274"/>
      <c r="G2874" s="274"/>
      <c r="H2874" s="264">
        <f>SUMIFS(U$7:U$2853,B$7:B$2853,"Elettromil",Y$7:Y$2853,"OK")</f>
        <v>0</v>
      </c>
      <c r="I2874" s="265">
        <f>SUMIFS(C$7:C$2853,B$7:B$2853,"ELETTROMIL",Y$7:Y$2853,"OK")</f>
        <v>0</v>
      </c>
      <c r="J2874" s="266"/>
      <c r="K2874" s="266"/>
      <c r="L2874" s="249"/>
      <c r="M2874" s="249"/>
      <c r="N2874" s="249"/>
      <c r="O2874" s="249"/>
      <c r="P2874" s="249"/>
      <c r="Q2874" s="249"/>
      <c r="R2874" s="249"/>
      <c r="S2874" s="249"/>
      <c r="T2874" s="249"/>
      <c r="U2874" s="249"/>
    </row>
    <row r="2875" spans="1:21" ht="15.75" x14ac:dyDescent="0.25">
      <c r="A2875" s="245">
        <f t="shared" si="32"/>
        <v>9</v>
      </c>
      <c r="B2875" s="273" t="s">
        <v>275</v>
      </c>
      <c r="C2875" s="275">
        <f>SUMIF($B$7:$B$2853,"elettromil sk",$C$7:$C$2853)</f>
        <v>0</v>
      </c>
      <c r="D2875" s="274">
        <f>SUMIF($B$7:$B$2853,"elettromil sk",$U$7:$U$2853)</f>
        <v>0</v>
      </c>
      <c r="E2875" s="274"/>
      <c r="F2875" s="274"/>
      <c r="G2875" s="274"/>
      <c r="H2875" s="264">
        <f>SUMIFS(U$7:U$2853,B$7:B$2853,"Elettromil sk",Y$7:Y$2853,"OK")</f>
        <v>0</v>
      </c>
      <c r="I2875" s="265"/>
      <c r="J2875" s="266"/>
      <c r="K2875" s="266"/>
      <c r="L2875" s="249"/>
      <c r="M2875" s="249"/>
      <c r="N2875" s="249"/>
      <c r="O2875" s="249"/>
      <c r="P2875" s="249"/>
      <c r="Q2875" s="249"/>
      <c r="R2875" s="249"/>
      <c r="S2875" s="249"/>
      <c r="T2875" s="249"/>
      <c r="U2875" s="249"/>
    </row>
    <row r="2876" spans="1:21" ht="15.75" x14ac:dyDescent="0.25">
      <c r="A2876" s="245">
        <f t="shared" si="32"/>
        <v>10</v>
      </c>
      <c r="B2876" s="273" t="s">
        <v>279</v>
      </c>
      <c r="C2876" s="275">
        <f>SUMIF($B$7:$B$2853,"elpicast",$C$7:$C$2853)</f>
        <v>0</v>
      </c>
      <c r="D2876" s="274">
        <f>SUMIF($B$7:$B$2853,"elpicast",$U$7:$U$2853)</f>
        <v>0</v>
      </c>
      <c r="E2876" s="274"/>
      <c r="F2876" s="274"/>
      <c r="G2876" s="274"/>
      <c r="H2876" s="264">
        <f>SUMIFS(U$7:U$2853,B$7:B$2853,"Elpicast",Y$7:Y$2853,"OK")</f>
        <v>0</v>
      </c>
      <c r="I2876" s="265"/>
      <c r="J2876" s="266"/>
      <c r="K2876" s="266"/>
      <c r="L2876" s="249"/>
      <c r="M2876" s="249"/>
      <c r="N2876" s="249"/>
      <c r="O2876" s="249"/>
      <c r="P2876" s="249"/>
      <c r="Q2876" s="249"/>
      <c r="R2876" s="249"/>
      <c r="S2876" s="249"/>
      <c r="T2876" s="249"/>
      <c r="U2876" s="249"/>
    </row>
    <row r="2877" spans="1:21" ht="15.75" x14ac:dyDescent="0.25">
      <c r="A2877" s="245">
        <f t="shared" si="32"/>
        <v>11</v>
      </c>
      <c r="B2877" s="273" t="s">
        <v>300</v>
      </c>
      <c r="C2877" s="275">
        <f>SUMIF($B$7:$B$2853,"espa",$C$7:$C$2853)</f>
        <v>0</v>
      </c>
      <c r="D2877" s="274">
        <f>SUMIF($B$7:$B$2853,"espa",$U$7:$U$2853)</f>
        <v>0</v>
      </c>
      <c r="E2877" s="274"/>
      <c r="F2877" s="274"/>
      <c r="G2877" s="274"/>
      <c r="H2877" s="264">
        <f>SUMIFS(U$7:U$2853,B$7:B$2853,"Espa",Y$7:Y$2853,"OK")</f>
        <v>0</v>
      </c>
      <c r="I2877" s="265"/>
      <c r="J2877" s="266"/>
      <c r="K2877" s="266"/>
      <c r="L2877" s="249"/>
      <c r="M2877" s="249"/>
      <c r="N2877" s="249"/>
      <c r="O2877" s="249"/>
      <c r="P2877" s="249"/>
      <c r="Q2877" s="249"/>
      <c r="R2877" s="249"/>
      <c r="S2877" s="249"/>
      <c r="T2877" s="249"/>
      <c r="U2877" s="249"/>
    </row>
    <row r="2878" spans="1:21" ht="15.75" x14ac:dyDescent="0.25">
      <c r="A2878" s="245">
        <f t="shared" si="32"/>
        <v>12</v>
      </c>
      <c r="B2878" s="273" t="s">
        <v>265</v>
      </c>
      <c r="C2878" s="275">
        <f>SUMIF($B$7:$B$2853,"ftm",$C$7:$C$2853)</f>
        <v>0</v>
      </c>
      <c r="D2878" s="274">
        <f>SUMIF($B$7:$B$2853,"ftm",$U$7:$U$2853)</f>
        <v>0</v>
      </c>
      <c r="E2878" s="274"/>
      <c r="F2878" s="274"/>
      <c r="G2878" s="274"/>
      <c r="H2878" s="264">
        <f>SUMIFS(U$7:U$2853,B$7:B$2853,"ftm",Y$7:Y$2853,"OK")</f>
        <v>0</v>
      </c>
      <c r="I2878" s="265">
        <f>SUMIFS(C$7:C$2853,B$7:B$2853,"ftm",Y$7:Y$2853,"OK")</f>
        <v>0</v>
      </c>
      <c r="J2878" s="266"/>
      <c r="K2878" s="266"/>
      <c r="L2878" s="249"/>
      <c r="M2878" s="249"/>
      <c r="N2878" s="249"/>
      <c r="O2878" s="249"/>
      <c r="P2878" s="249"/>
      <c r="Q2878" s="249"/>
      <c r="R2878" s="249"/>
      <c r="S2878" s="249"/>
      <c r="T2878" s="249"/>
      <c r="U2878" s="249"/>
    </row>
    <row r="2879" spans="1:21" ht="15.75" x14ac:dyDescent="0.25">
      <c r="A2879" s="245">
        <f t="shared" si="32"/>
        <v>13</v>
      </c>
      <c r="B2879" s="267" t="s">
        <v>255</v>
      </c>
      <c r="C2879" s="275">
        <f>SUMIF($B$7:$B$2853,"gauss",$C$7:$C$2853)</f>
        <v>3007.5200000000004</v>
      </c>
      <c r="D2879" s="274">
        <f>SUMIF($B$7:$B$2853,"gauss",$U$7:$U$2853)</f>
        <v>825.42210000000011</v>
      </c>
      <c r="E2879" s="274"/>
      <c r="F2879" s="274"/>
      <c r="G2879" s="274"/>
      <c r="H2879" s="264">
        <f>SUMIFS(U$7:U$2853,B$7:B$2853,"gauss",Y$7:Y$2853,"OK")</f>
        <v>587.13210000000004</v>
      </c>
      <c r="I2879" s="265">
        <f>SUMIFS(C$7:C$2853,B$7:B$2853,"gauss",Y$7:Y$2853,"OK")</f>
        <v>1785.52</v>
      </c>
      <c r="J2879" s="266"/>
      <c r="K2879" s="266"/>
      <c r="L2879" s="249"/>
      <c r="M2879" s="249"/>
      <c r="N2879" s="249"/>
      <c r="O2879" s="249"/>
      <c r="P2879" s="249"/>
      <c r="Q2879" s="249"/>
      <c r="R2879" s="249"/>
      <c r="S2879" s="249"/>
      <c r="T2879" s="249"/>
      <c r="U2879" s="249"/>
    </row>
    <row r="2880" spans="1:21" ht="15.75" x14ac:dyDescent="0.25">
      <c r="A2880" s="245">
        <f t="shared" si="32"/>
        <v>14</v>
      </c>
      <c r="B2880" s="267" t="s">
        <v>268</v>
      </c>
      <c r="C2880" s="275">
        <f>SUMIF($B$7:$B$2853,"gbe",$C$7:$C$2853)</f>
        <v>1900</v>
      </c>
      <c r="D2880" s="274">
        <f>SUMIF($B$7:$B$2853,"gbe",$U$7:$U$2853)</f>
        <v>725</v>
      </c>
      <c r="E2880" s="274"/>
      <c r="F2880" s="274"/>
      <c r="G2880" s="274"/>
      <c r="H2880" s="264">
        <f>SUMIFS(U$7:U$2853,B$7:B$2853,"gbe",Y$7:Y$2853,"OK")</f>
        <v>0</v>
      </c>
      <c r="I2880" s="265">
        <f>SUMIFS(C$7:C$2853,B$7:B$2853,"gbe",Y$7:Y$2853,"OK")</f>
        <v>0</v>
      </c>
      <c r="J2880" s="266"/>
      <c r="K2880" s="266"/>
      <c r="L2880" s="249"/>
      <c r="M2880" s="249"/>
      <c r="N2880" s="249"/>
      <c r="O2880" s="249"/>
      <c r="P2880" s="249"/>
      <c r="Q2880" s="249"/>
      <c r="R2880" s="249"/>
      <c r="S2880" s="249"/>
      <c r="T2880" s="249"/>
      <c r="U2880" s="249"/>
    </row>
    <row r="2881" spans="1:22" ht="15.75" x14ac:dyDescent="0.25">
      <c r="A2881" s="245"/>
      <c r="B2881" s="267" t="s">
        <v>346</v>
      </c>
      <c r="C2881" s="275">
        <f>SUMIF($B$7:$B$2853,"gen set",$C$7:$C$2853)</f>
        <v>164.96</v>
      </c>
      <c r="D2881" s="274">
        <f>SUMIF($B$7:$B$2853,"gen set",$U$7:$U$2853)</f>
        <v>81.2303</v>
      </c>
      <c r="E2881" s="274"/>
      <c r="F2881" s="274"/>
      <c r="G2881" s="274"/>
      <c r="H2881" s="264">
        <f>SUMIFS(U$7:U$2853,B$7:B$2853,"gen set",Y$7:Y$2853,"OK")</f>
        <v>81.2303</v>
      </c>
      <c r="I2881" s="265"/>
      <c r="J2881" s="266"/>
      <c r="K2881" s="266"/>
      <c r="L2881" s="249"/>
      <c r="M2881" s="249"/>
      <c r="N2881" s="249"/>
      <c r="O2881" s="249"/>
      <c r="P2881" s="249"/>
      <c r="Q2881" s="249"/>
      <c r="R2881" s="249"/>
      <c r="S2881" s="249"/>
      <c r="T2881" s="249"/>
      <c r="U2881" s="249"/>
    </row>
    <row r="2882" spans="1:22" ht="15.75" x14ac:dyDescent="0.25">
      <c r="A2882" s="245">
        <f>+A2880+1</f>
        <v>15</v>
      </c>
      <c r="B2882" s="267" t="s">
        <v>277</v>
      </c>
      <c r="C2882" s="275">
        <f>SUMIF($B$7:$B$2853,"gritti",$C$7:$C$2853)</f>
        <v>0</v>
      </c>
      <c r="D2882" s="274">
        <f>SUMIF($B$7:$B$2853,"gritti",$U$7:$U$2853)</f>
        <v>0</v>
      </c>
      <c r="E2882" s="274"/>
      <c r="F2882" s="274"/>
      <c r="G2882" s="274"/>
      <c r="H2882" s="264">
        <f>SUMIFS(U$7:U$2853,B$7:B$2853,"gritti",Y$7:Y$2853,"OK")</f>
        <v>0</v>
      </c>
      <c r="I2882" s="265">
        <f>SUMIFS(C$7:C$2853,B$7:B$2853,"gritti",Y$7:Y$2853,"OK")</f>
        <v>0</v>
      </c>
      <c r="J2882" s="266"/>
      <c r="K2882" s="266"/>
      <c r="L2882" s="249"/>
      <c r="M2882" s="249"/>
      <c r="N2882" s="249"/>
      <c r="O2882" s="249"/>
      <c r="P2882" s="249"/>
      <c r="Q2882" s="249"/>
      <c r="R2882" s="249"/>
      <c r="S2882" s="249"/>
      <c r="T2882" s="249"/>
      <c r="U2882" s="249"/>
    </row>
    <row r="2883" spans="1:22" ht="15.75" x14ac:dyDescent="0.25">
      <c r="A2883" s="245"/>
      <c r="B2883" s="267" t="s">
        <v>323</v>
      </c>
      <c r="C2883" s="275">
        <f>SUMIF($B$7:$B$2853,"Ice",$C$7:$C$2853)</f>
        <v>680</v>
      </c>
      <c r="D2883" s="274">
        <f>SUMIF($B$7:$B$2853,"Ice",$U$7:$U$2853)</f>
        <v>302.7</v>
      </c>
      <c r="E2883" s="274"/>
      <c r="F2883" s="274"/>
      <c r="G2883" s="274"/>
      <c r="H2883" s="264">
        <f>SUMIFS(U$7:U$2853,B$7:B$2853,"Ice",Y$7:Y$2853,"OK")</f>
        <v>0</v>
      </c>
      <c r="I2883" s="265"/>
      <c r="J2883" s="266"/>
      <c r="K2883" s="266"/>
      <c r="L2883" s="249"/>
      <c r="M2883" s="249"/>
      <c r="N2883" s="249"/>
      <c r="O2883" s="249"/>
      <c r="P2883" s="249"/>
      <c r="Q2883" s="249"/>
      <c r="R2883" s="249"/>
      <c r="S2883" s="249"/>
      <c r="T2883" s="249"/>
      <c r="U2883" s="249"/>
    </row>
    <row r="2884" spans="1:22" ht="15.75" x14ac:dyDescent="0.25">
      <c r="A2884" s="245"/>
      <c r="B2884" s="267" t="s">
        <v>325</v>
      </c>
      <c r="C2884" s="275">
        <f>SUMIF($B$7:$B$2853,"Intercoil",$C$7:$C$2853)</f>
        <v>0</v>
      </c>
      <c r="D2884" s="274">
        <f>SUMIF($B$7:$B$2853,"Intercoil",$U$7:$U$2853)</f>
        <v>0</v>
      </c>
      <c r="E2884" s="274"/>
      <c r="F2884" s="274"/>
      <c r="G2884" s="274"/>
      <c r="H2884" s="264">
        <f>SUMIFS(U$7:U$2853,B$7:B$2853,"Intercoil",Y$7:Y$2853,"OK")</f>
        <v>0</v>
      </c>
      <c r="I2884" s="265"/>
      <c r="J2884" s="266"/>
      <c r="K2884" s="266"/>
      <c r="L2884" s="249"/>
      <c r="M2884" s="249"/>
      <c r="N2884" s="249"/>
      <c r="O2884" s="249"/>
      <c r="P2884" s="249"/>
      <c r="Q2884" s="249"/>
      <c r="R2884" s="249"/>
      <c r="S2884" s="249"/>
      <c r="T2884" s="249"/>
      <c r="U2884" s="249"/>
    </row>
    <row r="2885" spans="1:22" ht="15.75" x14ac:dyDescent="0.25">
      <c r="A2885" s="245">
        <f>+A2882+1</f>
        <v>16</v>
      </c>
      <c r="B2885" s="273" t="s">
        <v>281</v>
      </c>
      <c r="C2885" s="275">
        <f>SUMIF($B$7:$B$2853,"intermagnetics",$C$7:$C$2853)</f>
        <v>1320</v>
      </c>
      <c r="D2885" s="274">
        <f>SUMIF($B$7:$B$2853,"intermagnetics",$U$7:$U$2853)</f>
        <v>870.1</v>
      </c>
      <c r="E2885" s="274"/>
      <c r="F2885" s="274"/>
      <c r="G2885" s="274"/>
      <c r="H2885" s="264">
        <f>SUMIFS(U$7:U$2853,B$7:B$2853,"Intermagnetics",Y$7:Y$2853,"OK")</f>
        <v>0</v>
      </c>
      <c r="I2885" s="265">
        <f>SUMIFS(C$7:C$2853,B$7:B$2853,"intermagnetics",Y$7:Y$2853,"OK")</f>
        <v>0</v>
      </c>
      <c r="J2885" s="266"/>
      <c r="K2885" s="266"/>
      <c r="L2885" s="249"/>
      <c r="M2885" s="249"/>
      <c r="N2885" s="249"/>
      <c r="O2885" s="249"/>
      <c r="P2885" s="249"/>
      <c r="Q2885" s="249"/>
      <c r="R2885" s="249"/>
      <c r="S2885" s="249"/>
      <c r="T2885" s="249"/>
      <c r="U2885" s="249"/>
      <c r="V2885" s="230">
        <f>SUMIF(V7:V2853,"",C7:C2853)</f>
        <v>15107.380000000001</v>
      </c>
    </row>
    <row r="2886" spans="1:22" ht="15.75" x14ac:dyDescent="0.25">
      <c r="A2886" s="245">
        <f t="shared" si="32"/>
        <v>17</v>
      </c>
      <c r="B2886" s="273" t="s">
        <v>272</v>
      </c>
      <c r="C2886" s="275">
        <f>SUMIF($B$7:$B$2853,"jara",$C$7:$C$2853)</f>
        <v>0</v>
      </c>
      <c r="D2886" s="274">
        <f>SUMIF($B$7:$B$2853,"jara",$U$7:$U$2853)</f>
        <v>0</v>
      </c>
      <c r="E2886" s="274"/>
      <c r="F2886" s="274"/>
      <c r="G2886" s="274"/>
      <c r="H2886" s="264">
        <f>SUMIFS(U$7:U$2853,B$7:B$2853,"jara",Y$7:Y$2853,"OK")</f>
        <v>0</v>
      </c>
      <c r="I2886" s="265">
        <f>SUMIFS(C$7:C$2853,B$7:B$2853,"jara",Y$7:Y$2853,"OK")</f>
        <v>0</v>
      </c>
      <c r="J2886" s="266"/>
      <c r="K2886" s="266"/>
      <c r="L2886" s="249"/>
      <c r="M2886" s="249"/>
      <c r="N2886" s="249"/>
      <c r="O2886" s="249"/>
      <c r="P2886" s="249"/>
      <c r="Q2886" s="249"/>
      <c r="R2886" s="249"/>
      <c r="S2886" s="249"/>
      <c r="T2886" s="249"/>
      <c r="U2886" s="249"/>
    </row>
    <row r="2887" spans="1:22" ht="15.75" x14ac:dyDescent="0.25">
      <c r="A2887" s="245">
        <f t="shared" si="32"/>
        <v>18</v>
      </c>
      <c r="B2887" s="273" t="s">
        <v>270</v>
      </c>
      <c r="C2887" s="275">
        <f>SUMIF($B$7:$B$2853,"lef",$C$7:$C$2853)</f>
        <v>9790</v>
      </c>
      <c r="D2887" s="274">
        <f>SUMIF($B$7:$B$2853,"lef",$U$7:$U$2853)</f>
        <v>3406.5</v>
      </c>
      <c r="E2887" s="274"/>
      <c r="F2887" s="274"/>
      <c r="G2887" s="274"/>
      <c r="H2887" s="264">
        <f>SUMIFS(U$7:U$2853,B$7:B$2853,"lef",Y$7:Y$2853,"OK")</f>
        <v>0</v>
      </c>
      <c r="I2887" s="265">
        <f>SUMIFS(C$7:C$2853,B$7:B$2853,"lef",Y$7:Y$2853,"OK")</f>
        <v>0</v>
      </c>
      <c r="J2887" s="266"/>
      <c r="K2887" s="266"/>
      <c r="L2887" s="249"/>
      <c r="M2887" s="249"/>
      <c r="N2887" s="249"/>
      <c r="O2887" s="249"/>
      <c r="P2887" s="249"/>
      <c r="Q2887" s="249"/>
      <c r="R2887" s="249"/>
      <c r="S2887" s="249"/>
      <c r="T2887" s="249"/>
      <c r="U2887" s="249"/>
    </row>
    <row r="2888" spans="1:22" ht="15.75" x14ac:dyDescent="0.25">
      <c r="A2888" s="245">
        <f t="shared" si="32"/>
        <v>19</v>
      </c>
      <c r="B2888" s="273" t="s">
        <v>299</v>
      </c>
      <c r="C2888" s="275">
        <f>SUMIF($B$7:$B$2853,"lo spaccio",$C$7:$C$2853)</f>
        <v>0</v>
      </c>
      <c r="D2888" s="274">
        <f>SUMIF($B$7:$B$2853,"lo spaccio",$U$7:$U$2853)</f>
        <v>0</v>
      </c>
      <c r="E2888" s="274"/>
      <c r="F2888" s="274"/>
      <c r="G2888" s="274"/>
      <c r="H2888" s="264">
        <f>SUMIFS(U$7:U$2853,B$7:B$2853,"lo spaccio",Y$7:Y$2853,"OK")</f>
        <v>0</v>
      </c>
      <c r="I2888" s="265"/>
      <c r="J2888" s="266"/>
      <c r="K2888" s="266"/>
      <c r="L2888" s="249"/>
      <c r="M2888" s="249"/>
      <c r="N2888" s="249"/>
      <c r="O2888" s="249"/>
      <c r="P2888" s="249"/>
      <c r="Q2888" s="249"/>
      <c r="R2888" s="249"/>
      <c r="S2888" s="249"/>
      <c r="T2888" s="249"/>
      <c r="U2888" s="249"/>
    </row>
    <row r="2889" spans="1:22" ht="15.75" x14ac:dyDescent="0.25">
      <c r="A2889" s="245"/>
      <c r="B2889" s="273" t="s">
        <v>320</v>
      </c>
      <c r="C2889" s="275">
        <f>SUMIF($B$7:$B$2853,"madim",$C$7:$C$2853)</f>
        <v>0</v>
      </c>
      <c r="D2889" s="274">
        <f>SUMIF($B$7:$B$2853,"madim",$U$7:$U$2853)</f>
        <v>0</v>
      </c>
      <c r="E2889" s="274"/>
      <c r="F2889" s="274"/>
      <c r="G2889" s="274"/>
      <c r="H2889" s="264">
        <f>SUMIFS(U$7:U$2853,B$7:B$2853,"madim",Y$7:Y$2853,"OK")</f>
        <v>0</v>
      </c>
      <c r="I2889" s="265"/>
      <c r="J2889" s="266"/>
      <c r="K2889" s="266"/>
      <c r="L2889" s="249"/>
      <c r="M2889" s="249"/>
      <c r="N2889" s="249"/>
      <c r="O2889" s="249"/>
      <c r="P2889" s="249"/>
      <c r="Q2889" s="249"/>
      <c r="R2889" s="249"/>
      <c r="S2889" s="249"/>
      <c r="T2889" s="249"/>
      <c r="U2889" s="249"/>
    </row>
    <row r="2890" spans="1:22" ht="15.75" x14ac:dyDescent="0.25">
      <c r="A2890" s="245">
        <f>+A2888+1</f>
        <v>20</v>
      </c>
      <c r="B2890" s="273" t="s">
        <v>260</v>
      </c>
      <c r="C2890" s="271">
        <f>SUMIF($B$7:$B$2853,"Mec",$C$7:$C$2853)</f>
        <v>195</v>
      </c>
      <c r="D2890" s="276">
        <f>SUMIF($B$7:$B$2853,"Mec",$U$7:$U$2853)</f>
        <v>70.224999999999994</v>
      </c>
      <c r="E2890" s="276"/>
      <c r="F2890" s="276"/>
      <c r="G2890" s="276"/>
      <c r="H2890" s="264">
        <f>SUMIFS(U$7:U$2853,B$7:B$2853,"Mec",Y$7:Y$2853,"OK")</f>
        <v>0</v>
      </c>
      <c r="I2890" s="277">
        <f>SUMIFS(C$7:C$2853,B$7:B$2853,"mec",Y$7:Y$2853,"OK")</f>
        <v>0</v>
      </c>
      <c r="J2890" s="266"/>
      <c r="K2890" s="266"/>
      <c r="L2890" s="249"/>
      <c r="M2890" s="249"/>
      <c r="N2890" s="249"/>
      <c r="O2890" s="249"/>
      <c r="P2890" s="249"/>
      <c r="Q2890" s="249"/>
      <c r="R2890" s="249"/>
      <c r="S2890" s="249"/>
      <c r="T2890" s="249"/>
      <c r="U2890" s="249"/>
      <c r="V2890" s="255">
        <f>+C2854-V2885</f>
        <v>30530.000000000011</v>
      </c>
    </row>
    <row r="2891" spans="1:22" ht="15.75" x14ac:dyDescent="0.25">
      <c r="A2891" s="245">
        <f t="shared" si="32"/>
        <v>21</v>
      </c>
      <c r="B2891" s="273" t="s">
        <v>298</v>
      </c>
      <c r="C2891" s="271">
        <f>SUMIF($B$7:$B$2853,"Merx",$C$7:$C$2853)</f>
        <v>0</v>
      </c>
      <c r="D2891" s="276">
        <f>SUMIF($B$7:$B$2853,"Merx",$U$7:$U$2853)</f>
        <v>0</v>
      </c>
      <c r="E2891" s="276"/>
      <c r="F2891" s="276"/>
      <c r="G2891" s="276"/>
      <c r="H2891" s="264">
        <f>SUMIFS(U$7:U$2853,B$7:B$2853,"Merx",Y$7:Y$2853,"OK")</f>
        <v>0</v>
      </c>
      <c r="I2891" s="277"/>
      <c r="J2891" s="266"/>
      <c r="K2891" s="266"/>
      <c r="L2891" s="249"/>
      <c r="M2891" s="249"/>
      <c r="N2891" s="249"/>
      <c r="O2891" s="249"/>
      <c r="P2891" s="249"/>
      <c r="Q2891" s="249"/>
      <c r="R2891" s="249"/>
      <c r="S2891" s="249"/>
      <c r="T2891" s="249"/>
      <c r="U2891" s="249"/>
      <c r="V2891" s="255"/>
    </row>
    <row r="2892" spans="1:22" ht="15.75" x14ac:dyDescent="0.25">
      <c r="A2892" s="245">
        <f t="shared" si="32"/>
        <v>22</v>
      </c>
      <c r="B2892" s="273" t="s">
        <v>297</v>
      </c>
      <c r="C2892" s="271">
        <f>SUMIF($B$7:$B$2853,"Mgs",$C$7:$C$2853)</f>
        <v>0</v>
      </c>
      <c r="D2892" s="276">
        <f>SUMIF($B$7:$B$2853,"Mgs",$U$7:$U$2853)</f>
        <v>0</v>
      </c>
      <c r="E2892" s="276"/>
      <c r="F2892" s="276"/>
      <c r="G2892" s="276"/>
      <c r="H2892" s="264">
        <f>SUMIFS(U$7:U$2853,B$7:B$2853,"Mgs",Y$7:Y$2853,"OK")</f>
        <v>0</v>
      </c>
      <c r="I2892" s="277"/>
      <c r="J2892" s="266"/>
      <c r="K2892" s="266"/>
      <c r="L2892" s="249"/>
      <c r="M2892" s="249"/>
      <c r="N2892" s="249"/>
      <c r="O2892" s="249"/>
      <c r="P2892" s="249"/>
      <c r="Q2892" s="249"/>
      <c r="R2892" s="249"/>
      <c r="S2892" s="249"/>
      <c r="T2892" s="249"/>
      <c r="U2892" s="249"/>
      <c r="V2892" s="255"/>
    </row>
    <row r="2893" spans="1:22" ht="15.75" x14ac:dyDescent="0.25">
      <c r="A2893" s="245"/>
      <c r="B2893" s="273" t="s">
        <v>340</v>
      </c>
      <c r="C2893" s="271">
        <f>SUMIF($B$7:$B$2853,"Minimotor",$C$7:$C$2853)</f>
        <v>125.25</v>
      </c>
      <c r="D2893" s="276">
        <f>SUMIF($B$7:$B$2853,"Minimotor",$U$7:$U$2853)</f>
        <v>43.567</v>
      </c>
      <c r="E2893" s="276"/>
      <c r="F2893" s="276"/>
      <c r="G2893" s="276"/>
      <c r="H2893" s="264">
        <f>SUMIFS(U$7:U$2853,B$7:B$2853,"Minimotor",Y$7:Y$2853,"OK")</f>
        <v>43.567</v>
      </c>
      <c r="I2893" s="277"/>
      <c r="J2893" s="266"/>
      <c r="K2893" s="266"/>
      <c r="L2893" s="249"/>
      <c r="M2893" s="249"/>
      <c r="N2893" s="249"/>
      <c r="O2893" s="249"/>
      <c r="P2893" s="249"/>
      <c r="Q2893" s="249"/>
      <c r="R2893" s="249"/>
      <c r="S2893" s="249"/>
      <c r="T2893" s="249"/>
      <c r="U2893" s="249"/>
      <c r="V2893" s="255"/>
    </row>
    <row r="2894" spans="1:22" ht="15" customHeight="1" x14ac:dyDescent="0.25">
      <c r="A2894" s="245">
        <f>+A2892+1</f>
        <v>23</v>
      </c>
      <c r="B2894" s="273" t="s">
        <v>102</v>
      </c>
      <c r="C2894" s="271">
        <f>SUMIF($B$7:$B$2853,"Newton",$C$7:$C$2853)</f>
        <v>12420.150000000001</v>
      </c>
      <c r="D2894" s="276">
        <f>SUMIF($B$7:$B$2853,"NewTon",$U$7:$U$2853)</f>
        <v>4102.0524999999998</v>
      </c>
      <c r="E2894" s="276"/>
      <c r="F2894" s="276"/>
      <c r="G2894" s="276"/>
      <c r="H2894" s="264">
        <f>SUMIFS(U$7:U$2853,B$7:B$2853,"Newton",Y$7:Y$2853,"OK")</f>
        <v>917.05250000000001</v>
      </c>
      <c r="I2894" s="277">
        <f>SUMIFS(C$7:C$2853,B$7:B$2853,"Newton",Y$7:Y$2853,"OK")</f>
        <v>2620.15</v>
      </c>
      <c r="J2894" s="266"/>
      <c r="K2894" s="266"/>
      <c r="L2894" s="249"/>
      <c r="M2894" s="249"/>
      <c r="N2894" s="249"/>
      <c r="O2894" s="249"/>
      <c r="P2894" s="249"/>
      <c r="Q2894" s="249"/>
      <c r="R2894" s="249"/>
      <c r="S2894" s="249"/>
      <c r="T2894" s="249"/>
      <c r="U2894" s="249"/>
      <c r="V2894" s="255"/>
    </row>
    <row r="2895" spans="1:22" ht="15" customHeight="1" x14ac:dyDescent="0.25">
      <c r="A2895" s="245"/>
      <c r="B2895" s="273" t="s">
        <v>305</v>
      </c>
      <c r="C2895" s="271">
        <f>SUMIF($B$7:$B$2853,"NUOVA",$C$7:$C$2853)</f>
        <v>0</v>
      </c>
      <c r="D2895" s="276">
        <f>SUMIF($B$7:$B$2853,"NUOVA",$U$7:$U$2853)</f>
        <v>0</v>
      </c>
      <c r="E2895" s="276"/>
      <c r="F2895" s="276"/>
      <c r="G2895" s="276"/>
      <c r="H2895" s="264">
        <f>SUMIFS(U$7:U$2853,B$7:B$2853,"NUOVA",Y$7:Y$2853,"OK")</f>
        <v>0</v>
      </c>
      <c r="I2895" s="277"/>
      <c r="J2895" s="266"/>
      <c r="K2895" s="266"/>
      <c r="L2895" s="249"/>
      <c r="M2895" s="249"/>
      <c r="N2895" s="249"/>
      <c r="O2895" s="249"/>
      <c r="P2895" s="249"/>
      <c r="Q2895" s="249"/>
      <c r="R2895" s="249"/>
      <c r="S2895" s="249"/>
      <c r="T2895" s="249"/>
      <c r="U2895" s="249"/>
      <c r="V2895" s="255"/>
    </row>
    <row r="2896" spans="1:22" ht="15.75" x14ac:dyDescent="0.25">
      <c r="A2896" s="245">
        <f>+A2894+1</f>
        <v>24</v>
      </c>
      <c r="B2896" s="273" t="s">
        <v>271</v>
      </c>
      <c r="C2896" s="271">
        <f>SUMIF($B$7:$B$2853,"Power",$C$7:$C$2853)</f>
        <v>0</v>
      </c>
      <c r="D2896" s="276">
        <f>SUMIF($B$7:$B$2853,"Power",$U$7:$U$2853)</f>
        <v>0</v>
      </c>
      <c r="E2896" s="276"/>
      <c r="F2896" s="276"/>
      <c r="G2896" s="276"/>
      <c r="H2896" s="264">
        <f>SUMIFS(U$7:U$2853,B$7:B$2853,"power",Y$7:Y$2853,"OK")</f>
        <v>0</v>
      </c>
      <c r="I2896" s="277">
        <f>SUMIFS(C$7:C$2853,B$7:B$2853,"power",Y$7:Y$2853,"OK")</f>
        <v>0</v>
      </c>
      <c r="J2896" s="266"/>
      <c r="K2896" s="266"/>
      <c r="L2896" s="249"/>
      <c r="M2896" s="249"/>
      <c r="N2896" s="249"/>
      <c r="O2896" s="249"/>
      <c r="P2896" s="249"/>
      <c r="Q2896" s="249"/>
      <c r="R2896" s="249"/>
      <c r="S2896" s="249"/>
      <c r="T2896" s="249"/>
      <c r="U2896" s="249"/>
      <c r="V2896" s="255"/>
    </row>
    <row r="2897" spans="1:22" ht="15.75" x14ac:dyDescent="0.25">
      <c r="A2897" s="245"/>
      <c r="B2897" s="273" t="s">
        <v>327</v>
      </c>
      <c r="C2897" s="271">
        <f>SUMIF($B$7:$B$2853,"re italo",$C$7:$C$2853)</f>
        <v>0</v>
      </c>
      <c r="D2897" s="276">
        <f>SUMIF($B$7:$B$2853,"re italo",$U$7:$U$2853)</f>
        <v>0</v>
      </c>
      <c r="E2897" s="276"/>
      <c r="F2897" s="276"/>
      <c r="G2897" s="276"/>
      <c r="H2897" s="264">
        <f>SUMIFS(U$7:U$2853,B$7:B$2853,"re italo",Y$7:Y$2853,"OK")</f>
        <v>0</v>
      </c>
      <c r="I2897" s="277"/>
      <c r="J2897" s="266"/>
      <c r="K2897" s="266"/>
      <c r="L2897" s="249"/>
      <c r="M2897" s="249"/>
      <c r="N2897" s="249"/>
      <c r="O2897" s="249"/>
      <c r="P2897" s="249"/>
      <c r="Q2897" s="249"/>
      <c r="R2897" s="249"/>
      <c r="S2897" s="249"/>
      <c r="T2897" s="249"/>
      <c r="U2897" s="249"/>
      <c r="V2897" s="255"/>
    </row>
    <row r="2898" spans="1:22" ht="15.75" x14ac:dyDescent="0.25">
      <c r="A2898" s="245"/>
      <c r="B2898" s="273" t="s">
        <v>303</v>
      </c>
      <c r="C2898" s="271">
        <f>SUMIF($B$7:$B$2853,"Robotti",$C$7:$C$2853)</f>
        <v>0</v>
      </c>
      <c r="D2898" s="276">
        <f>SUMIF($B$7:$B$2853,"robotti",$U$7:$U$2853)</f>
        <v>0</v>
      </c>
      <c r="E2898" s="276"/>
      <c r="F2898" s="276"/>
      <c r="G2898" s="276"/>
      <c r="H2898" s="264">
        <f>SUMIFS(U$7:U$2853,B$7:B$2853,"robotti",Y$7:Y$2853,"OK")</f>
        <v>0</v>
      </c>
      <c r="I2898" s="277"/>
      <c r="J2898" s="266"/>
      <c r="K2898" s="266"/>
      <c r="L2898" s="249"/>
      <c r="M2898" s="249"/>
      <c r="N2898" s="249"/>
      <c r="O2898" s="249"/>
      <c r="P2898" s="249"/>
      <c r="Q2898" s="249"/>
      <c r="R2898" s="249"/>
      <c r="S2898" s="249"/>
      <c r="T2898" s="249"/>
      <c r="U2898" s="249"/>
      <c r="V2898" s="255"/>
    </row>
    <row r="2899" spans="1:22" ht="15.75" x14ac:dyDescent="0.25">
      <c r="A2899" s="245"/>
      <c r="B2899" s="273" t="s">
        <v>302</v>
      </c>
      <c r="C2899" s="271">
        <f>SUMIF($B$7:$B$2853,"sea",$C$7:$C$2853)</f>
        <v>7650</v>
      </c>
      <c r="D2899" s="276">
        <f>SUMIF($B$7:$B$2853,"sea",$U$7:$U$2853)</f>
        <v>2598.75</v>
      </c>
      <c r="E2899" s="276"/>
      <c r="F2899" s="276"/>
      <c r="G2899" s="276"/>
      <c r="H2899" s="264">
        <f>SUMIFS(U$7:U$2853,B$7:B$2853,"sea",Y$7:Y$2853,"OK")</f>
        <v>0</v>
      </c>
      <c r="I2899" s="277"/>
      <c r="J2899" s="266"/>
      <c r="K2899" s="266"/>
      <c r="L2899" s="249"/>
      <c r="M2899" s="249"/>
      <c r="N2899" s="249"/>
      <c r="O2899" s="249"/>
      <c r="P2899" s="249"/>
      <c r="Q2899" s="249"/>
      <c r="R2899" s="249"/>
      <c r="S2899" s="249"/>
      <c r="T2899" s="249"/>
      <c r="U2899" s="249"/>
      <c r="V2899" s="255"/>
    </row>
    <row r="2900" spans="1:22" ht="15.75" x14ac:dyDescent="0.25">
      <c r="A2900" s="245">
        <f>+A2896+1</f>
        <v>25</v>
      </c>
      <c r="B2900" s="273" t="s">
        <v>263</v>
      </c>
      <c r="C2900" s="271">
        <f>SUMIF($B$7:$B$2853,"sgm",$C$7:$C$2853)</f>
        <v>2800</v>
      </c>
      <c r="D2900" s="276">
        <f>SUMIF($B$7:$B$2853,"sgm",$U$7:$U$2853)</f>
        <v>774</v>
      </c>
      <c r="E2900" s="276"/>
      <c r="F2900" s="276"/>
      <c r="G2900" s="276"/>
      <c r="H2900" s="264">
        <f>SUMIFS(U$7:U$2853,B$7:B$2853,"SGM",Y$7:Y$2853,"OK")</f>
        <v>0</v>
      </c>
      <c r="I2900" s="277">
        <f>SUMIFS(C$7:C$2853,B$7:B$2853,"sgm",Y$7:Y$2853,"OK")</f>
        <v>0</v>
      </c>
      <c r="J2900" s="266"/>
      <c r="K2900" s="266"/>
      <c r="L2900" s="249"/>
      <c r="M2900" s="249"/>
      <c r="N2900" s="249"/>
      <c r="O2900" s="249"/>
      <c r="P2900" s="249"/>
      <c r="Q2900" s="249"/>
      <c r="R2900" s="249"/>
      <c r="S2900" s="249"/>
      <c r="T2900" s="249"/>
      <c r="U2900" s="249"/>
    </row>
    <row r="2901" spans="1:22" ht="15.75" x14ac:dyDescent="0.25">
      <c r="A2901" s="245">
        <f t="shared" si="32"/>
        <v>26</v>
      </c>
      <c r="B2901" s="278" t="s">
        <v>274</v>
      </c>
      <c r="C2901" s="271">
        <f>SUMIF($B$7:$B$2853,"tesar",$C$7:$C$2853)</f>
        <v>0</v>
      </c>
      <c r="D2901" s="276">
        <f>SUMIF($B$7:$B$2853,"tesar",$U$7:$U$2853)</f>
        <v>0</v>
      </c>
      <c r="E2901" s="276"/>
      <c r="F2901" s="276"/>
      <c r="G2901" s="276"/>
      <c r="H2901" s="264">
        <f>SUMIFS(U$7:U$2853,B$7:B$2853,"tesar",Y$7:Y$2853,"OK")</f>
        <v>0</v>
      </c>
      <c r="I2901" s="277"/>
      <c r="J2901" s="266"/>
      <c r="K2901" s="266"/>
      <c r="L2901" s="249"/>
      <c r="M2901" s="249"/>
      <c r="N2901" s="249"/>
      <c r="O2901" s="249"/>
      <c r="P2901" s="249"/>
      <c r="Q2901" s="249"/>
      <c r="R2901" s="249"/>
      <c r="S2901" s="249"/>
      <c r="T2901" s="249"/>
      <c r="U2901" s="249"/>
    </row>
    <row r="2902" spans="1:22" ht="15.75" x14ac:dyDescent="0.25">
      <c r="A2902" s="245">
        <f t="shared" si="32"/>
        <v>27</v>
      </c>
      <c r="B2902" s="278" t="s">
        <v>261</v>
      </c>
      <c r="C2902" s="271">
        <f>SUMIF($B$7:$B$2853,"Tmc",$C$7:$C$2853)</f>
        <v>0</v>
      </c>
      <c r="D2902" s="276">
        <f>SUMIF($B$7:$B$2853,"Tmc",$U$7:$U$2853)</f>
        <v>0</v>
      </c>
      <c r="E2902" s="276"/>
      <c r="F2902" s="276"/>
      <c r="G2902" s="276"/>
      <c r="H2902" s="264">
        <f>SUMIFS(U$7:U$2853,B$7:B$2853,"Tmc",Y$7:Y$2853,"OK")</f>
        <v>0</v>
      </c>
      <c r="I2902" s="277">
        <f>SUMIFS(C$7:C$2853,B$7:B$2853,"tmc",Y$7:Y$2853,"OK")</f>
        <v>0</v>
      </c>
      <c r="J2902" s="266"/>
      <c r="K2902" s="266"/>
      <c r="L2902" s="249"/>
      <c r="M2902" s="249"/>
      <c r="N2902" s="249"/>
      <c r="O2902" s="249"/>
      <c r="P2902" s="249"/>
      <c r="Q2902" s="249"/>
      <c r="R2902" s="249"/>
      <c r="S2902" s="249"/>
      <c r="T2902" s="249"/>
      <c r="U2902" s="249"/>
    </row>
    <row r="2903" spans="1:22" ht="15.75" x14ac:dyDescent="0.25">
      <c r="A2903" s="245">
        <f t="shared" si="32"/>
        <v>28</v>
      </c>
      <c r="B2903" s="278" t="s">
        <v>301</v>
      </c>
      <c r="C2903" s="271">
        <f>SUMIF($B$7:$B$2853,"Trafocoop",$C$7:$C$2853)</f>
        <v>0</v>
      </c>
      <c r="D2903" s="276">
        <f>SUMIF($B$7:$B$2853,"Trafocoop",$U$7:$U$2853)</f>
        <v>0</v>
      </c>
      <c r="E2903" s="276"/>
      <c r="F2903" s="276"/>
      <c r="G2903" s="276"/>
      <c r="H2903" s="264">
        <f>SUMIFS(U$7:U$2853,B$7:B$2853,"Trafocoop",Y$7:Y$2853,"OK")</f>
        <v>0</v>
      </c>
      <c r="I2903" s="277"/>
      <c r="J2903" s="266"/>
      <c r="K2903" s="266"/>
      <c r="L2903" s="249"/>
      <c r="M2903" s="249"/>
      <c r="N2903" s="249"/>
      <c r="O2903" s="249"/>
      <c r="P2903" s="249"/>
      <c r="Q2903" s="249"/>
      <c r="R2903" s="249"/>
      <c r="S2903" s="249"/>
      <c r="T2903" s="249"/>
      <c r="U2903" s="249"/>
    </row>
    <row r="2904" spans="1:22" ht="15.75" x14ac:dyDescent="0.25">
      <c r="A2904" s="245">
        <f t="shared" si="32"/>
        <v>29</v>
      </c>
      <c r="B2904" s="278" t="s">
        <v>294</v>
      </c>
      <c r="C2904" s="271">
        <f>SUMIF($B$7:$B$2853,"Trasfem",$C$7:$C$2853)</f>
        <v>0</v>
      </c>
      <c r="D2904" s="276">
        <f>SUMIF($B$7:$B$2853,"Trasafem",$U$7:$U$2853)</f>
        <v>0</v>
      </c>
      <c r="E2904" s="276"/>
      <c r="F2904" s="276"/>
      <c r="G2904" s="276"/>
      <c r="H2904" s="264">
        <f>SUMIFS(U$7:U$2853,B$7:B$2853,"Trasfem",Y$7:Y$2853,"OK")</f>
        <v>0</v>
      </c>
      <c r="I2904" s="277"/>
      <c r="J2904" s="266"/>
      <c r="K2904" s="266"/>
      <c r="L2904" s="249"/>
      <c r="M2904" s="249"/>
      <c r="N2904" s="249"/>
      <c r="O2904" s="249"/>
      <c r="P2904" s="249"/>
      <c r="Q2904" s="249"/>
      <c r="R2904" s="249"/>
      <c r="S2904" s="249"/>
      <c r="T2904" s="249"/>
      <c r="U2904" s="249"/>
    </row>
    <row r="2905" spans="1:22" ht="15.75" x14ac:dyDescent="0.25">
      <c r="A2905" s="245">
        <f t="shared" si="32"/>
        <v>30</v>
      </c>
      <c r="B2905" s="278" t="s">
        <v>328</v>
      </c>
      <c r="C2905" s="271">
        <f>SUMIF($B$7:$B$2853,"Vallee",$C$7:$C$2853)</f>
        <v>0</v>
      </c>
      <c r="D2905" s="276">
        <f>SUMIF($B$7:$B$2853,"vallee",$U$7:$U$2853)</f>
        <v>0</v>
      </c>
      <c r="E2905" s="276"/>
      <c r="F2905" s="276"/>
      <c r="G2905" s="276"/>
      <c r="H2905" s="264">
        <f>SUMIFS(U$7:U$2853,B$7:B$2853,"vallee",Y$7:Y$2853,"OK")</f>
        <v>0</v>
      </c>
      <c r="I2905" s="277">
        <f>SUMIFS(C$7:C$2853,B$7:B$2853,"valle",Y$7:Y$2853,"OK")</f>
        <v>0</v>
      </c>
      <c r="J2905" s="266"/>
      <c r="K2905" s="266"/>
      <c r="L2905" s="249"/>
      <c r="M2905" s="249"/>
      <c r="N2905" s="249"/>
      <c r="O2905" s="249"/>
      <c r="P2905" s="249"/>
      <c r="Q2905" s="249"/>
      <c r="R2905" s="249"/>
      <c r="S2905" s="249"/>
      <c r="T2905" s="249"/>
      <c r="U2905" s="249"/>
    </row>
    <row r="2906" spans="1:22" ht="15.75" x14ac:dyDescent="0.25">
      <c r="A2906" s="245">
        <f t="shared" si="32"/>
        <v>31</v>
      </c>
      <c r="B2906" s="278" t="s">
        <v>99</v>
      </c>
      <c r="C2906" s="271">
        <f>SUMIF($B$7:$B$2853,"Zucchiatti",$C$7:$C$2853)</f>
        <v>0</v>
      </c>
      <c r="D2906" s="276">
        <f>SUMIF($B$7:$B$2853,"Zucchiatti",$U$7:$U$2853)</f>
        <v>0</v>
      </c>
      <c r="E2906" s="276"/>
      <c r="F2906" s="276"/>
      <c r="G2906" s="276"/>
      <c r="H2906" s="264">
        <f>SUMIFS(U$7:U$2853,B$7:B$2853,"Zucchiatti",Y$7:Y$2853,"OK")</f>
        <v>0</v>
      </c>
      <c r="I2906" s="277">
        <f>SUMIFS(C$7:C$2853,B$7:B$2853,"Zucchiatti",Y$7:Y$2853,"OK")</f>
        <v>0</v>
      </c>
      <c r="J2906" s="266"/>
      <c r="K2906" s="266"/>
      <c r="L2906" s="249"/>
      <c r="M2906" s="249"/>
      <c r="N2906" s="249"/>
      <c r="O2906" s="249"/>
      <c r="P2906" s="249"/>
      <c r="Q2906" s="249"/>
      <c r="R2906" s="249"/>
      <c r="S2906" s="249"/>
      <c r="T2906" s="249"/>
      <c r="U2906" s="249"/>
    </row>
    <row r="2907" spans="1:22" ht="15.75" thickBot="1" x14ac:dyDescent="0.3">
      <c r="B2907" s="279"/>
      <c r="C2907" s="280"/>
      <c r="D2907" s="281"/>
      <c r="E2907" s="281"/>
      <c r="F2907" s="281"/>
      <c r="G2907" s="281"/>
      <c r="H2907" s="282"/>
      <c r="I2907" s="283"/>
      <c r="J2907" s="284"/>
      <c r="K2907" s="284"/>
    </row>
    <row r="2908" spans="1:22" ht="15.75" thickBot="1" x14ac:dyDescent="0.3">
      <c r="B2908" s="285" t="s">
        <v>183</v>
      </c>
      <c r="C2908" s="286">
        <f>SUM(C2859:C2907)</f>
        <v>44957.380000000005</v>
      </c>
      <c r="D2908" s="287">
        <f>SUM(D2859:D2907)</f>
        <v>14593.994900000002</v>
      </c>
      <c r="E2908" s="287"/>
      <c r="F2908" s="287"/>
      <c r="G2908" s="287"/>
      <c r="H2908" s="288">
        <f>SUM(H2859:H2907)</f>
        <v>1707.7799</v>
      </c>
      <c r="I2908" s="289">
        <f>SUM(I2859:I2907)</f>
        <v>4405.67</v>
      </c>
      <c r="J2908" s="290"/>
      <c r="K2908" s="290"/>
      <c r="L2908" s="255"/>
    </row>
    <row r="2909" spans="1:22" x14ac:dyDescent="0.25">
      <c r="C2909" s="255">
        <f>+C2908-C2854</f>
        <v>-680.00000000000728</v>
      </c>
      <c r="D2909" s="239"/>
      <c r="E2909" s="239"/>
      <c r="F2909" s="239"/>
      <c r="G2909" s="239"/>
      <c r="H2909" s="255"/>
      <c r="I2909" s="255"/>
      <c r="J2909" s="255"/>
      <c r="K2909" s="255"/>
    </row>
    <row r="2910" spans="1:22" ht="15.75" thickBot="1" x14ac:dyDescent="0.3">
      <c r="C2910" s="255"/>
      <c r="D2910" s="255"/>
      <c r="E2910" s="255"/>
      <c r="F2910" s="255"/>
      <c r="G2910" s="255"/>
      <c r="H2910" s="255"/>
      <c r="I2910" s="255"/>
      <c r="J2910" s="255"/>
      <c r="K2910" s="255"/>
    </row>
    <row r="2911" spans="1:22" x14ac:dyDescent="0.25">
      <c r="B2911" s="291" t="s">
        <v>192</v>
      </c>
      <c r="C2911" s="292">
        <f>COUNTA(B2859:B2907)</f>
        <v>47</v>
      </c>
    </row>
    <row r="2912" spans="1:22" x14ac:dyDescent="0.25">
      <c r="B2912" s="293" t="s">
        <v>193</v>
      </c>
      <c r="C2912" s="294">
        <f>COUNTIF(C2859:C2907,"&gt;0")</f>
        <v>14</v>
      </c>
      <c r="H2912" s="239"/>
    </row>
    <row r="2913" spans="2:16" x14ac:dyDescent="0.25">
      <c r="B2913" s="293" t="s">
        <v>194</v>
      </c>
      <c r="C2913" s="294" t="e">
        <f>COUNTIF(#REF!,"p")</f>
        <v>#REF!</v>
      </c>
      <c r="I2913" s="255"/>
      <c r="J2913" s="255"/>
      <c r="K2913" s="255"/>
    </row>
    <row r="2914" spans="2:16" ht="15.75" thickBot="1" x14ac:dyDescent="0.3">
      <c r="B2914" s="295" t="s">
        <v>195</v>
      </c>
      <c r="C2914" s="296" t="e">
        <f>+C2911-C2913</f>
        <v>#REF!</v>
      </c>
    </row>
    <row r="2915" spans="2:16" x14ac:dyDescent="0.25">
      <c r="C2915" s="255"/>
    </row>
    <row r="2916" spans="2:16" x14ac:dyDescent="0.25">
      <c r="C2916" s="255"/>
    </row>
    <row r="2917" spans="2:16" ht="15" hidden="1" customHeight="1" x14ac:dyDescent="0.25">
      <c r="C2917" s="353" t="s">
        <v>4</v>
      </c>
      <c r="D2917" s="354"/>
      <c r="E2917" s="354"/>
      <c r="F2917" s="354"/>
      <c r="G2917" s="354"/>
      <c r="H2917" s="355"/>
      <c r="I2917" s="353" t="s">
        <v>6</v>
      </c>
      <c r="J2917" s="353"/>
      <c r="K2917" s="353"/>
      <c r="L2917" s="353" t="s">
        <v>5</v>
      </c>
      <c r="M2917" s="355"/>
      <c r="N2917" s="238"/>
      <c r="O2917" s="238"/>
      <c r="P2917" s="238"/>
    </row>
    <row r="2918" spans="2:16" ht="15.75" hidden="1" customHeight="1" thickBot="1" x14ac:dyDescent="0.3">
      <c r="B2918" s="297" t="s">
        <v>184</v>
      </c>
      <c r="C2918" s="298" t="e">
        <f>IF(C2931+I2931+L2931+#REF!=C2854,"Kg","Errore")</f>
        <v>#REF!</v>
      </c>
      <c r="D2918" s="298" t="e">
        <f>IF(D2931+#REF!+#REF!+#REF!=M2854,"Commissioni","Errore")</f>
        <v>#REF!</v>
      </c>
      <c r="E2918" s="299"/>
      <c r="F2918" s="299"/>
      <c r="G2918" s="299"/>
      <c r="H2918" s="300" t="s">
        <v>186</v>
      </c>
      <c r="I2918" s="298" t="s">
        <v>185</v>
      </c>
      <c r="J2918" s="298"/>
      <c r="K2918" s="298"/>
      <c r="L2918" s="298" t="s">
        <v>185</v>
      </c>
      <c r="M2918" s="300" t="s">
        <v>186</v>
      </c>
      <c r="N2918" s="301"/>
      <c r="O2918" s="301"/>
      <c r="P2918" s="301"/>
    </row>
    <row r="2919" spans="2:16" ht="15" hidden="1" customHeight="1" x14ac:dyDescent="0.25">
      <c r="B2919" s="302"/>
      <c r="C2919" s="303">
        <f>SUMIFS($C$7:$C$2853,$D$7:$D$2853,"alluminio",$L$7:$L$2853,"")</f>
        <v>0</v>
      </c>
      <c r="D2919" s="304">
        <f>SUMIFS($M$7:$M$2853,$D$7:$D$2853,"alluminio",$L$7:$L$2853,"")</f>
        <v>0</v>
      </c>
      <c r="E2919" s="305"/>
      <c r="F2919" s="305"/>
      <c r="G2919" s="305"/>
      <c r="H2919" s="306">
        <f>+C2919*B2919</f>
        <v>0</v>
      </c>
      <c r="I2919" s="303">
        <f>SUMIFS($C$7:$C$2853,$D$7:$D$2853,"rame",$L$7:$L$2853,"")</f>
        <v>0</v>
      </c>
      <c r="J2919" s="307"/>
      <c r="K2919" s="307"/>
      <c r="L2919" s="307">
        <f>SUMIFS($C$7:$C$2853,$D$7:$D$2853,"ottone",$L$7:$L$2853,"")</f>
        <v>0</v>
      </c>
      <c r="M2919" s="306" t="e">
        <f>+#REF!*B2919</f>
        <v>#REF!</v>
      </c>
      <c r="N2919" s="308"/>
      <c r="O2919" s="308"/>
      <c r="P2919" s="308"/>
    </row>
    <row r="2920" spans="2:16" ht="15" hidden="1" customHeight="1" x14ac:dyDescent="0.25">
      <c r="B2920" s="309">
        <v>0.04</v>
      </c>
      <c r="C2920" s="310">
        <f>SUMIFS($C$7:$C$2853,$D$7:$D$2853,"alluminio",$L$7:$L$2853,0.04)</f>
        <v>0</v>
      </c>
      <c r="D2920" s="311">
        <f>SUMIFS($M$7:$M$2853,$D$7:$D$2853,"alluminio",$L$7:$L$2853,0.04)</f>
        <v>0</v>
      </c>
      <c r="E2920" s="312"/>
      <c r="F2920" s="312"/>
      <c r="G2920" s="312"/>
      <c r="H2920" s="313">
        <f>+C2920*B2920</f>
        <v>0</v>
      </c>
      <c r="I2920" s="310">
        <f>SUMIFS($C$7:$C$2853,$D$7:$D$2853,"rame",$L$7:$L$2853,0.04)</f>
        <v>0</v>
      </c>
      <c r="J2920" s="314"/>
      <c r="K2920" s="314"/>
      <c r="L2920" s="315">
        <f>SUMIFS($C$7:$C$2853,$D$7:$D$2853,"ottone",$L$7:$L$2853,0.04)</f>
        <v>0</v>
      </c>
      <c r="M2920" s="313" t="e">
        <f>+#REF!*B2920</f>
        <v>#REF!</v>
      </c>
      <c r="N2920" s="316"/>
      <c r="O2920" s="316"/>
      <c r="P2920" s="316"/>
    </row>
    <row r="2921" spans="2:16" ht="15" hidden="1" customHeight="1" x14ac:dyDescent="0.25">
      <c r="B2921" s="309">
        <v>0.05</v>
      </c>
      <c r="C2921" s="310">
        <f>SUMIFS($C$7:$C$2853,$D$7:$D$2853,"alluminio",$L$7:$L$2853,0.05)</f>
        <v>0</v>
      </c>
      <c r="D2921" s="311">
        <f>SUMIFS($M$7:$M$2853,$D$7:$D$2853,"alluminio",$L$7:$L$2853,0.05)</f>
        <v>0</v>
      </c>
      <c r="E2921" s="312"/>
      <c r="F2921" s="312"/>
      <c r="G2921" s="312"/>
      <c r="H2921" s="313">
        <f>+C2921*B2921</f>
        <v>0</v>
      </c>
      <c r="I2921" s="310">
        <f>SUMIFS($C$7:$C$2853,$D$7:$D$2853,"rame",$L$7:$L$2853,0.05)</f>
        <v>0</v>
      </c>
      <c r="J2921" s="310"/>
      <c r="K2921" s="310"/>
      <c r="L2921" s="310">
        <f>SUMIFS($C$7:$C$2853,$D$7:$D$2853,"ottone",$L$7:$L$2853,0.05)</f>
        <v>0</v>
      </c>
      <c r="M2921" s="313" t="e">
        <f>+#REF!*B2921</f>
        <v>#REF!</v>
      </c>
      <c r="N2921" s="316"/>
      <c r="O2921" s="316"/>
      <c r="P2921" s="316"/>
    </row>
    <row r="2922" spans="2:16" ht="15" hidden="1" customHeight="1" x14ac:dyDescent="0.25">
      <c r="B2922" s="309">
        <v>0.06</v>
      </c>
      <c r="C2922" s="310">
        <f>SUMIFS($C$7:$C$2853,$D$7:$D$2853,"alluminio",$L$7:$L$2853,0.06)</f>
        <v>0</v>
      </c>
      <c r="D2922" s="311">
        <f>SUMIFS($M$7:$M$2853,$D$7:$D$2853,"alluminio",$L$7:$L$2853,0.06)</f>
        <v>0</v>
      </c>
      <c r="E2922" s="312"/>
      <c r="F2922" s="312"/>
      <c r="G2922" s="312"/>
      <c r="H2922" s="313">
        <f>+C2922*B2922</f>
        <v>0</v>
      </c>
      <c r="I2922" s="310">
        <f>SUMIFS($C$7:$C$2853,$D$7:$D$2853,"rame",$L$7:$L$2853,0.06)</f>
        <v>0</v>
      </c>
      <c r="J2922" s="310"/>
      <c r="K2922" s="310"/>
      <c r="L2922" s="310">
        <f>SUMIFS($C$7:$C$2853,$D$7:$D$2853,"ottone",$L$7:$L$2853,0.06)</f>
        <v>0</v>
      </c>
      <c r="M2922" s="313" t="e">
        <f>+#REF!*B2922</f>
        <v>#REF!</v>
      </c>
      <c r="N2922" s="316"/>
      <c r="O2922" s="316"/>
      <c r="P2922" s="316"/>
    </row>
    <row r="2923" spans="2:16" ht="15" hidden="1" customHeight="1" x14ac:dyDescent="0.25">
      <c r="B2923" s="309">
        <v>7.0000000000000007E-2</v>
      </c>
      <c r="C2923" s="310">
        <f>SUMIFS($C$7:$C$2853,$D$7:$D$2853,"alluminio",$L$7:$L$2853,0.07)</f>
        <v>0</v>
      </c>
      <c r="D2923" s="311">
        <f>SUMIFS($M$7:$M$2853,$D$7:$D$2853,"alluminio",$L$7:$L$2853,0.07)</f>
        <v>0</v>
      </c>
      <c r="E2923" s="312"/>
      <c r="F2923" s="312"/>
      <c r="G2923" s="312"/>
      <c r="H2923" s="313">
        <f t="shared" ref="H2923:H2930" si="33">+C2923*B2923</f>
        <v>0</v>
      </c>
      <c r="I2923" s="310">
        <f>SUMIFS($C$7:$C$2853,$D$7:$D$2853,"rame",$L$7:$L$2853,0.07)</f>
        <v>0</v>
      </c>
      <c r="J2923" s="310"/>
      <c r="K2923" s="310"/>
      <c r="L2923" s="310">
        <f>SUMIFS($C$7:$C$2853,$D$7:$D$2853,"ottone",$L$7:$L$2853,0.07)</f>
        <v>0</v>
      </c>
      <c r="M2923" s="313" t="e">
        <f>+#REF!*B2923</f>
        <v>#REF!</v>
      </c>
      <c r="N2923" s="316"/>
      <c r="O2923" s="316"/>
      <c r="P2923" s="316"/>
    </row>
    <row r="2924" spans="2:16" ht="15" hidden="1" customHeight="1" x14ac:dyDescent="0.25">
      <c r="B2924" s="317">
        <v>0.1</v>
      </c>
      <c r="C2924" s="318">
        <f>SUMIFS($C$7:$C$2853,$D$7:$D$2853,"alluminio",$L$7:$L$2853,0.1)</f>
        <v>33688.020000000004</v>
      </c>
      <c r="D2924" s="319">
        <f>SUMIFS($M$7:$M$2853,$D$7:$D$2853,"alluminio",$L$7:$L$2853,0.1)</f>
        <v>3368.8020000000001</v>
      </c>
      <c r="E2924" s="320"/>
      <c r="F2924" s="320"/>
      <c r="G2924" s="320"/>
      <c r="H2924" s="321">
        <f t="shared" si="33"/>
        <v>3368.8020000000006</v>
      </c>
      <c r="I2924" s="318">
        <f>SUMIFS($C$7:$C$2853,$D$7:$D$2853,"RAME",$L$7:$L$2853,0.1)</f>
        <v>11949.359999999997</v>
      </c>
      <c r="J2924" s="318"/>
      <c r="K2924" s="318"/>
      <c r="L2924" s="318">
        <f>SUMIFS($C$7:$C$2853,$D$7:$D$2853,"ottone",$L$7:$L$2853,0.1)</f>
        <v>0</v>
      </c>
      <c r="M2924" s="321" t="e">
        <f>+#REF!*B2924</f>
        <v>#REF!</v>
      </c>
      <c r="N2924" s="316"/>
      <c r="O2924" s="316"/>
      <c r="P2924" s="316"/>
    </row>
    <row r="2925" spans="2:16" ht="15" hidden="1" customHeight="1" x14ac:dyDescent="0.25">
      <c r="B2925" s="322">
        <v>0.15</v>
      </c>
      <c r="C2925" s="323">
        <f>SUMIFS($C$7:$C$2853,$D$7:$D$2853,"alluminio",$L$7:$L$2853,0.15)</f>
        <v>0</v>
      </c>
      <c r="D2925" s="324">
        <f>SUMIFS($M$7:$M$2853,$D$7:$D$2853,"alluminio",$L$7:$L$2853,0.15)</f>
        <v>0</v>
      </c>
      <c r="E2925" s="325"/>
      <c r="F2925" s="325"/>
      <c r="G2925" s="325"/>
      <c r="H2925" s="326">
        <f t="shared" si="33"/>
        <v>0</v>
      </c>
      <c r="I2925" s="323">
        <f>SUMIFS($C$7:$C$2853,$D$7:$D$2853,"RAME",$L$7:$L$2853,0.15)</f>
        <v>0</v>
      </c>
      <c r="J2925" s="323"/>
      <c r="K2925" s="323"/>
      <c r="L2925" s="323">
        <f>SUMIFS($C$7:$C$2853,$D$7:$D$2853,"ottone",$L$7:$L$2853,0.15)</f>
        <v>0</v>
      </c>
      <c r="M2925" s="326" t="e">
        <f>+#REF!*B2925</f>
        <v>#REF!</v>
      </c>
      <c r="N2925" s="316"/>
      <c r="O2925" s="316"/>
      <c r="P2925" s="316"/>
    </row>
    <row r="2926" spans="2:16" ht="15" hidden="1" customHeight="1" x14ac:dyDescent="0.25">
      <c r="B2926" s="322">
        <v>0.2</v>
      </c>
      <c r="C2926" s="323">
        <f>SUMIFS($C$7:$C$2853,$D$7:$D$2853,"alluminio",$L$7:$L$2853,0.2)</f>
        <v>0</v>
      </c>
      <c r="D2926" s="324">
        <f>SUMIFS($M$7:$M$2853,$D$7:$D$2853,"alluminio",$L$7:$L$2853,0.2)</f>
        <v>0</v>
      </c>
      <c r="E2926" s="325"/>
      <c r="F2926" s="325"/>
      <c r="G2926" s="325"/>
      <c r="H2926" s="326">
        <f t="shared" si="33"/>
        <v>0</v>
      </c>
      <c r="I2926" s="323">
        <f>SUMIFS($C$7:$C$2853,$D$7:$D$2853,"RAME",$L$7:$L$2853,0.2)</f>
        <v>0</v>
      </c>
      <c r="J2926" s="323"/>
      <c r="K2926" s="323"/>
      <c r="L2926" s="323">
        <f>SUMIFS($C$7:$C$2853,$D$7:$D$2853,"ottone",$L$7:$L$2853,0.2)</f>
        <v>0</v>
      </c>
      <c r="M2926" s="326" t="e">
        <f>+#REF!*B2926</f>
        <v>#REF!</v>
      </c>
      <c r="N2926" s="316"/>
      <c r="O2926" s="316"/>
      <c r="P2926" s="316"/>
    </row>
    <row r="2927" spans="2:16" ht="15" hidden="1" customHeight="1" x14ac:dyDescent="0.25">
      <c r="B2927" s="322">
        <v>0.25</v>
      </c>
      <c r="C2927" s="323">
        <f>SUMIFS($C$7:$C$2853,$D$7:$D$2853,"alluminio",$L$7:$L$2853,0.25)</f>
        <v>0</v>
      </c>
      <c r="D2927" s="324">
        <f>SUMIFS($M$7:$M$2853,$D$7:$D$2853,"alluminio",$L$7:$L$2853,0.25)</f>
        <v>0</v>
      </c>
      <c r="E2927" s="325"/>
      <c r="F2927" s="325"/>
      <c r="G2927" s="325"/>
      <c r="H2927" s="326">
        <f t="shared" si="33"/>
        <v>0</v>
      </c>
      <c r="I2927" s="323">
        <f>SUMIFS($C$7:$C$2853,$D$7:$D$2853,"RAME",$L$7:$L$2853,0.25)</f>
        <v>0</v>
      </c>
      <c r="J2927" s="323"/>
      <c r="K2927" s="323"/>
      <c r="L2927" s="323">
        <f>SUMIFS($C$7:$C$2853,$D$7:$D$2853,"ottone",$L$7:$L$2853,0.25)</f>
        <v>0</v>
      </c>
      <c r="M2927" s="326" t="e">
        <f>+#REF!*B2927</f>
        <v>#REF!</v>
      </c>
      <c r="N2927" s="316"/>
      <c r="O2927" s="316"/>
      <c r="P2927" s="316"/>
    </row>
    <row r="2928" spans="2:16" ht="15" hidden="1" customHeight="1" x14ac:dyDescent="0.25">
      <c r="B2928" s="322">
        <v>0.3</v>
      </c>
      <c r="C2928" s="323">
        <f>SUMIFS($C$7:$C$2853,$D$7:$D$2853,"alluminio",$L$7:$L$2853,0.3)</f>
        <v>0</v>
      </c>
      <c r="D2928" s="324">
        <f>SUMIFS($M$7:$M$2853,$D$7:$D$2853,"alluminio",$L$7:$L$2853,0.3)</f>
        <v>0</v>
      </c>
      <c r="E2928" s="325"/>
      <c r="F2928" s="325"/>
      <c r="G2928" s="325"/>
      <c r="H2928" s="326">
        <f>+C2928*B2928</f>
        <v>0</v>
      </c>
      <c r="I2928" s="323">
        <f>SUMIFS($C$7:$C$2853,$D$7:$D$2853,"RAME",$L$7:$L$2853,0.3)</f>
        <v>0</v>
      </c>
      <c r="J2928" s="323"/>
      <c r="K2928" s="323"/>
      <c r="L2928" s="323">
        <f>SUMIFS($C$7:$C$2853,$D$7:$D$2853,"ottone",$L$7:$L$2853,0.3)</f>
        <v>0</v>
      </c>
      <c r="M2928" s="326" t="e">
        <f>+#REF!*B2928</f>
        <v>#REF!</v>
      </c>
      <c r="N2928" s="316"/>
      <c r="O2928" s="316"/>
      <c r="P2928" s="316"/>
    </row>
    <row r="2929" spans="2:16" ht="15" hidden="1" customHeight="1" x14ac:dyDescent="0.25">
      <c r="B2929" s="322">
        <v>0.35</v>
      </c>
      <c r="C2929" s="323">
        <f>SUMIFS($C$7:$C$2853,$D$7:$D$2853,"alluminio",$L$7:$L$2853,0.35)</f>
        <v>0</v>
      </c>
      <c r="D2929" s="324">
        <f>SUMIFS($M$7:$M$2853,$D$7:$D$2853,"alluminio",$L$7:$L$2853,0.35)</f>
        <v>0</v>
      </c>
      <c r="E2929" s="325"/>
      <c r="F2929" s="325"/>
      <c r="G2929" s="325"/>
      <c r="H2929" s="326">
        <f t="shared" si="33"/>
        <v>0</v>
      </c>
      <c r="I2929" s="323">
        <f>SUMIFS($C$7:$C$2853,$D$7:$D$2853,"RAME",$L$7:$L$2853,0.35)</f>
        <v>0</v>
      </c>
      <c r="J2929" s="323"/>
      <c r="K2929" s="323"/>
      <c r="L2929" s="323">
        <f>SUMIFS($C$7:$C$2853,$D$7:$D$2853,"ottone",$L$7:$L$2853,0.35)</f>
        <v>0</v>
      </c>
      <c r="M2929" s="326" t="e">
        <f>+#REF!*B2929</f>
        <v>#REF!</v>
      </c>
      <c r="N2929" s="316"/>
      <c r="O2929" s="316"/>
      <c r="P2929" s="316"/>
    </row>
    <row r="2930" spans="2:16" ht="15.75" hidden="1" customHeight="1" thickBot="1" x14ac:dyDescent="0.3">
      <c r="B2930" s="322">
        <v>0.55000000000000004</v>
      </c>
      <c r="C2930" s="327">
        <f>SUMIFS($C$7:$C$2853,$D$7:$D$2853,"alluminio",$L$7:$L$2853,0.55)</f>
        <v>0</v>
      </c>
      <c r="D2930" s="328">
        <f>SUMIFS($M$7:$M$2853,$D$7:$D$2853,"alluminio",$L$7:$L$2853,0.55)</f>
        <v>0</v>
      </c>
      <c r="E2930" s="329"/>
      <c r="F2930" s="329"/>
      <c r="G2930" s="329"/>
      <c r="H2930" s="330">
        <f t="shared" si="33"/>
        <v>0</v>
      </c>
      <c r="I2930" s="327">
        <f>SUMIFS($C$7:$C$2853,$D$7:$D$2853,"RAME",$L$7:$L$2853,0.55)</f>
        <v>0</v>
      </c>
      <c r="J2930" s="327"/>
      <c r="K2930" s="327"/>
      <c r="L2930" s="327">
        <f>SUMIFS($C$7:$C$2853,$D$7:$D$2853,"ottone",$L$7:$L$2853,0.55)</f>
        <v>0</v>
      </c>
      <c r="M2930" s="330" t="e">
        <f>+#REF!*B2930</f>
        <v>#REF!</v>
      </c>
      <c r="N2930" s="316"/>
      <c r="O2930" s="316"/>
      <c r="P2930" s="316"/>
    </row>
    <row r="2931" spans="2:16" ht="15.75" hidden="1" customHeight="1" thickBot="1" x14ac:dyDescent="0.3">
      <c r="B2931" s="331"/>
      <c r="C2931" s="332">
        <f>SUM(C2919:C2930)</f>
        <v>33688.020000000004</v>
      </c>
      <c r="D2931" s="333">
        <f>SUM(D2920:D2930)</f>
        <v>3368.8020000000001</v>
      </c>
      <c r="E2931" s="334"/>
      <c r="F2931" s="334"/>
      <c r="G2931" s="334"/>
      <c r="H2931" s="335">
        <f>SUM(H2920:H2930)</f>
        <v>3368.8020000000006</v>
      </c>
      <c r="I2931" s="332">
        <f>SUM(I2919:I2930)</f>
        <v>11949.359999999997</v>
      </c>
      <c r="J2931" s="332"/>
      <c r="K2931" s="332"/>
      <c r="L2931" s="332">
        <f>SUM(L2919:L2930)</f>
        <v>0</v>
      </c>
      <c r="M2931" s="335" t="e">
        <f>SUM(M2919:M2930)</f>
        <v>#REF!</v>
      </c>
      <c r="N2931" s="336"/>
      <c r="O2931" s="336"/>
      <c r="P2931" s="336"/>
    </row>
    <row r="2932" spans="2:16" ht="15" hidden="1" customHeight="1" x14ac:dyDescent="0.25"/>
    <row r="2933" spans="2:16" ht="15" hidden="1" customHeight="1" x14ac:dyDescent="0.25">
      <c r="C2933" s="337"/>
      <c r="I2933" s="338"/>
      <c r="J2933" s="338"/>
      <c r="K2933" s="338"/>
      <c r="L2933" s="338"/>
    </row>
    <row r="2934" spans="2:16" ht="15" hidden="1" customHeight="1" x14ac:dyDescent="0.25">
      <c r="C2934" s="339" t="e">
        <f>+C2931+I2931+L2931+#REF!</f>
        <v>#REF!</v>
      </c>
    </row>
    <row r="2935" spans="2:16" ht="15" hidden="1" customHeight="1" x14ac:dyDescent="0.25">
      <c r="C2935" s="255" t="e">
        <f>+C2934-C2908</f>
        <v>#REF!</v>
      </c>
    </row>
    <row r="2937" spans="2:16" x14ac:dyDescent="0.25">
      <c r="C2937" s="339"/>
    </row>
    <row r="2938" spans="2:16" x14ac:dyDescent="0.25">
      <c r="C2938" s="255"/>
    </row>
    <row r="2941" spans="2:16" x14ac:dyDescent="0.25">
      <c r="C2941" s="339"/>
    </row>
  </sheetData>
  <sheetProtection formatCells="0" insertRows="0" deleteRows="0" sort="0" autoFilter="0"/>
  <autoFilter ref="A5:AH2854"/>
  <dataConsolidate/>
  <phoneticPr fontId="19" type="noConversion"/>
  <conditionalFormatting sqref="C5">
    <cfRule type="containsText" dxfId="66" priority="156" stopIfTrue="1" operator="containsText" text="ERRORE KG">
      <formula>NOT(ISERROR(SEARCH("ERRORE KG",C5)))</formula>
    </cfRule>
    <cfRule type="colorScale" priority="157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M5:P5">
    <cfRule type="containsText" dxfId="65" priority="155" stopIfTrue="1" operator="containsText" text="ERRORE COMMISSIONI">
      <formula>NOT(ISERROR(SEARCH("ERRORE COMMISSIONI",M5)))</formula>
    </cfRule>
  </conditionalFormatting>
  <conditionalFormatting sqref="V2798 V2853 V7:V2795">
    <cfRule type="expression" priority="150" stopIfTrue="1">
      <formula>V7=0</formula>
    </cfRule>
    <cfRule type="expression" dxfId="64" priority="151" stopIfTrue="1">
      <formula>V7&lt;TODAY()</formula>
    </cfRule>
  </conditionalFormatting>
  <conditionalFormatting sqref="C2918:C2919">
    <cfRule type="containsText" dxfId="63" priority="145" stopIfTrue="1" operator="containsText" text="errore">
      <formula>NOT(ISERROR(SEARCH("errore",C2918)))</formula>
    </cfRule>
  </conditionalFormatting>
  <conditionalFormatting sqref="D2918:G2919">
    <cfRule type="containsText" dxfId="62" priority="144" stopIfTrue="1" operator="containsText" text="errore">
      <formula>NOT(ISERROR(SEARCH("errore",D2918)))</formula>
    </cfRule>
  </conditionalFormatting>
  <conditionalFormatting sqref="B2798:B2853 B6:B2795">
    <cfRule type="expression" dxfId="61" priority="131">
      <formula>AND($B6&lt;&gt;"", COUNTIF($B$2859:$B$3162, $B6)=0)</formula>
    </cfRule>
  </conditionalFormatting>
  <conditionalFormatting sqref="V6">
    <cfRule type="expression" priority="129" stopIfTrue="1">
      <formula>V6=0</formula>
    </cfRule>
    <cfRule type="expression" dxfId="60" priority="130" stopIfTrue="1">
      <formula>V6&lt;TODAY()</formula>
    </cfRule>
  </conditionalFormatting>
  <conditionalFormatting sqref="B2796">
    <cfRule type="expression" dxfId="59" priority="118">
      <formula>AND($B2796&lt;&gt;"", COUNTIF($B$2859:$B$3162, $B2796)=0)</formula>
    </cfRule>
  </conditionalFormatting>
  <conditionalFormatting sqref="V2796">
    <cfRule type="expression" priority="116" stopIfTrue="1">
      <formula>V2796=0</formula>
    </cfRule>
    <cfRule type="expression" dxfId="58" priority="117" stopIfTrue="1">
      <formula>V2796&lt;TODAY()</formula>
    </cfRule>
  </conditionalFormatting>
  <conditionalFormatting sqref="B2797">
    <cfRule type="expression" dxfId="57" priority="114">
      <formula>AND($B2797&lt;&gt;"", COUNTIF($B$2859:$B$3162, $B2797)=0)</formula>
    </cfRule>
  </conditionalFormatting>
  <conditionalFormatting sqref="V2797">
    <cfRule type="expression" priority="112" stopIfTrue="1">
      <formula>V2797=0</formula>
    </cfRule>
    <cfRule type="expression" dxfId="56" priority="113" stopIfTrue="1">
      <formula>V2797&lt;TODAY()</formula>
    </cfRule>
  </conditionalFormatting>
  <conditionalFormatting sqref="V2799">
    <cfRule type="expression" priority="107" stopIfTrue="1">
      <formula>V2799=0</formula>
    </cfRule>
    <cfRule type="expression" dxfId="55" priority="108" stopIfTrue="1">
      <formula>V2799&lt;TODAY()</formula>
    </cfRule>
  </conditionalFormatting>
  <conditionalFormatting sqref="V2800">
    <cfRule type="expression" priority="105" stopIfTrue="1">
      <formula>V2800=0</formula>
    </cfRule>
    <cfRule type="expression" dxfId="54" priority="106" stopIfTrue="1">
      <formula>V2800&lt;TODAY()</formula>
    </cfRule>
  </conditionalFormatting>
  <conditionalFormatting sqref="V2801">
    <cfRule type="expression" priority="103" stopIfTrue="1">
      <formula>V2801=0</formula>
    </cfRule>
    <cfRule type="expression" dxfId="53" priority="104" stopIfTrue="1">
      <formula>V2801&lt;TODAY()</formula>
    </cfRule>
  </conditionalFormatting>
  <conditionalFormatting sqref="V2802">
    <cfRule type="expression" priority="101" stopIfTrue="1">
      <formula>V2802=0</formula>
    </cfRule>
    <cfRule type="expression" dxfId="52" priority="102" stopIfTrue="1">
      <formula>V2802&lt;TODAY()</formula>
    </cfRule>
  </conditionalFormatting>
  <conditionalFormatting sqref="V2803">
    <cfRule type="expression" priority="99" stopIfTrue="1">
      <formula>V2803=0</formula>
    </cfRule>
    <cfRule type="expression" dxfId="51" priority="100" stopIfTrue="1">
      <formula>V2803&lt;TODAY()</formula>
    </cfRule>
  </conditionalFormatting>
  <conditionalFormatting sqref="V2804">
    <cfRule type="expression" priority="97" stopIfTrue="1">
      <formula>V2804=0</formula>
    </cfRule>
    <cfRule type="expression" dxfId="50" priority="98" stopIfTrue="1">
      <formula>V2804&lt;TODAY()</formula>
    </cfRule>
  </conditionalFormatting>
  <conditionalFormatting sqref="V2805">
    <cfRule type="expression" priority="95" stopIfTrue="1">
      <formula>V2805=0</formula>
    </cfRule>
    <cfRule type="expression" dxfId="49" priority="96" stopIfTrue="1">
      <formula>V2805&lt;TODAY()</formula>
    </cfRule>
  </conditionalFormatting>
  <conditionalFormatting sqref="V2806">
    <cfRule type="expression" priority="93" stopIfTrue="1">
      <formula>V2806=0</formula>
    </cfRule>
    <cfRule type="expression" dxfId="48" priority="94" stopIfTrue="1">
      <formula>V2806&lt;TODAY()</formula>
    </cfRule>
  </conditionalFormatting>
  <conditionalFormatting sqref="V2807">
    <cfRule type="expression" priority="91" stopIfTrue="1">
      <formula>V2807=0</formula>
    </cfRule>
    <cfRule type="expression" dxfId="47" priority="92" stopIfTrue="1">
      <formula>V2807&lt;TODAY()</formula>
    </cfRule>
  </conditionalFormatting>
  <conditionalFormatting sqref="V2808">
    <cfRule type="expression" priority="89" stopIfTrue="1">
      <formula>V2808=0</formula>
    </cfRule>
    <cfRule type="expression" dxfId="46" priority="90" stopIfTrue="1">
      <formula>V2808&lt;TODAY()</formula>
    </cfRule>
  </conditionalFormatting>
  <conditionalFormatting sqref="V2809">
    <cfRule type="expression" priority="87" stopIfTrue="1">
      <formula>V2809=0</formula>
    </cfRule>
    <cfRule type="expression" dxfId="45" priority="88" stopIfTrue="1">
      <formula>V2809&lt;TODAY()</formula>
    </cfRule>
  </conditionalFormatting>
  <conditionalFormatting sqref="V2810">
    <cfRule type="expression" priority="85" stopIfTrue="1">
      <formula>V2810=0</formula>
    </cfRule>
    <cfRule type="expression" dxfId="44" priority="86" stopIfTrue="1">
      <formula>V2810&lt;TODAY()</formula>
    </cfRule>
  </conditionalFormatting>
  <conditionalFormatting sqref="V2811">
    <cfRule type="expression" priority="83" stopIfTrue="1">
      <formula>V2811=0</formula>
    </cfRule>
    <cfRule type="expression" dxfId="43" priority="84" stopIfTrue="1">
      <formula>V2811&lt;TODAY()</formula>
    </cfRule>
  </conditionalFormatting>
  <conditionalFormatting sqref="V2812">
    <cfRule type="expression" priority="81" stopIfTrue="1">
      <formula>V2812=0</formula>
    </cfRule>
    <cfRule type="expression" dxfId="42" priority="82" stopIfTrue="1">
      <formula>V2812&lt;TODAY()</formula>
    </cfRule>
  </conditionalFormatting>
  <conditionalFormatting sqref="V2813">
    <cfRule type="expression" priority="79" stopIfTrue="1">
      <formula>V2813=0</formula>
    </cfRule>
    <cfRule type="expression" dxfId="41" priority="80" stopIfTrue="1">
      <formula>V2813&lt;TODAY()</formula>
    </cfRule>
  </conditionalFormatting>
  <conditionalFormatting sqref="V2814">
    <cfRule type="expression" priority="77" stopIfTrue="1">
      <formula>V2814=0</formula>
    </cfRule>
    <cfRule type="expression" dxfId="40" priority="78" stopIfTrue="1">
      <formula>V2814&lt;TODAY()</formula>
    </cfRule>
  </conditionalFormatting>
  <conditionalFormatting sqref="V2815">
    <cfRule type="expression" priority="75" stopIfTrue="1">
      <formula>V2815=0</formula>
    </cfRule>
    <cfRule type="expression" dxfId="39" priority="76" stopIfTrue="1">
      <formula>V2815&lt;TODAY()</formula>
    </cfRule>
  </conditionalFormatting>
  <conditionalFormatting sqref="V2816">
    <cfRule type="expression" priority="73" stopIfTrue="1">
      <formula>V2816=0</formula>
    </cfRule>
    <cfRule type="expression" dxfId="38" priority="74" stopIfTrue="1">
      <formula>V2816&lt;TODAY()</formula>
    </cfRule>
  </conditionalFormatting>
  <conditionalFormatting sqref="V2817">
    <cfRule type="expression" priority="71" stopIfTrue="1">
      <formula>V2817=0</formula>
    </cfRule>
    <cfRule type="expression" dxfId="37" priority="72" stopIfTrue="1">
      <formula>V2817&lt;TODAY()</formula>
    </cfRule>
  </conditionalFormatting>
  <conditionalFormatting sqref="V2818">
    <cfRule type="expression" priority="69" stopIfTrue="1">
      <formula>V2818=0</formula>
    </cfRule>
    <cfRule type="expression" dxfId="36" priority="70" stopIfTrue="1">
      <formula>V2818&lt;TODAY()</formula>
    </cfRule>
  </conditionalFormatting>
  <conditionalFormatting sqref="V2819">
    <cfRule type="expression" priority="67" stopIfTrue="1">
      <formula>V2819=0</formula>
    </cfRule>
    <cfRule type="expression" dxfId="35" priority="68" stopIfTrue="1">
      <formula>V2819&lt;TODAY()</formula>
    </cfRule>
  </conditionalFormatting>
  <conditionalFormatting sqref="V2820">
    <cfRule type="expression" priority="65" stopIfTrue="1">
      <formula>V2820=0</formula>
    </cfRule>
    <cfRule type="expression" dxfId="34" priority="66" stopIfTrue="1">
      <formula>V2820&lt;TODAY()</formula>
    </cfRule>
  </conditionalFormatting>
  <conditionalFormatting sqref="V2821">
    <cfRule type="expression" priority="63" stopIfTrue="1">
      <formula>V2821=0</formula>
    </cfRule>
    <cfRule type="expression" dxfId="33" priority="64" stopIfTrue="1">
      <formula>V2821&lt;TODAY()</formula>
    </cfRule>
  </conditionalFormatting>
  <conditionalFormatting sqref="V2822">
    <cfRule type="expression" priority="61" stopIfTrue="1">
      <formula>V2822=0</formula>
    </cfRule>
    <cfRule type="expression" dxfId="32" priority="62" stopIfTrue="1">
      <formula>V2822&lt;TODAY()</formula>
    </cfRule>
  </conditionalFormatting>
  <conditionalFormatting sqref="V2823">
    <cfRule type="expression" priority="59" stopIfTrue="1">
      <formula>V2823=0</formula>
    </cfRule>
    <cfRule type="expression" dxfId="31" priority="60" stopIfTrue="1">
      <formula>V2823&lt;TODAY()</formula>
    </cfRule>
  </conditionalFormatting>
  <conditionalFormatting sqref="V2824">
    <cfRule type="expression" priority="57" stopIfTrue="1">
      <formula>V2824=0</formula>
    </cfRule>
    <cfRule type="expression" dxfId="30" priority="58" stopIfTrue="1">
      <formula>V2824&lt;TODAY()</formula>
    </cfRule>
  </conditionalFormatting>
  <conditionalFormatting sqref="V2825">
    <cfRule type="expression" priority="55" stopIfTrue="1">
      <formula>V2825=0</formula>
    </cfRule>
    <cfRule type="expression" dxfId="29" priority="56" stopIfTrue="1">
      <formula>V2825&lt;TODAY()</formula>
    </cfRule>
  </conditionalFormatting>
  <conditionalFormatting sqref="V2826">
    <cfRule type="expression" priority="53" stopIfTrue="1">
      <formula>V2826=0</formula>
    </cfRule>
    <cfRule type="expression" dxfId="28" priority="54" stopIfTrue="1">
      <formula>V2826&lt;TODAY()</formula>
    </cfRule>
  </conditionalFormatting>
  <conditionalFormatting sqref="V2827">
    <cfRule type="expression" priority="51" stopIfTrue="1">
      <formula>V2827=0</formula>
    </cfRule>
    <cfRule type="expression" dxfId="27" priority="52" stopIfTrue="1">
      <formula>V2827&lt;TODAY()</formula>
    </cfRule>
  </conditionalFormatting>
  <conditionalFormatting sqref="V2828">
    <cfRule type="expression" priority="49" stopIfTrue="1">
      <formula>V2828=0</formula>
    </cfRule>
    <cfRule type="expression" dxfId="26" priority="50" stopIfTrue="1">
      <formula>V2828&lt;TODAY()</formula>
    </cfRule>
  </conditionalFormatting>
  <conditionalFormatting sqref="V2829">
    <cfRule type="expression" priority="47" stopIfTrue="1">
      <formula>V2829=0</formula>
    </cfRule>
    <cfRule type="expression" dxfId="25" priority="48" stopIfTrue="1">
      <formula>V2829&lt;TODAY()</formula>
    </cfRule>
  </conditionalFormatting>
  <conditionalFormatting sqref="V2830">
    <cfRule type="expression" priority="45" stopIfTrue="1">
      <formula>V2830=0</formula>
    </cfRule>
    <cfRule type="expression" dxfId="24" priority="46" stopIfTrue="1">
      <formula>V2830&lt;TODAY()</formula>
    </cfRule>
  </conditionalFormatting>
  <conditionalFormatting sqref="V2831">
    <cfRule type="expression" priority="43" stopIfTrue="1">
      <formula>V2831=0</formula>
    </cfRule>
    <cfRule type="expression" dxfId="23" priority="44" stopIfTrue="1">
      <formula>V2831&lt;TODAY()</formula>
    </cfRule>
  </conditionalFormatting>
  <conditionalFormatting sqref="V2832">
    <cfRule type="expression" priority="41" stopIfTrue="1">
      <formula>V2832=0</formula>
    </cfRule>
    <cfRule type="expression" dxfId="22" priority="42" stopIfTrue="1">
      <formula>V2832&lt;TODAY()</formula>
    </cfRule>
  </conditionalFormatting>
  <conditionalFormatting sqref="V2833">
    <cfRule type="expression" priority="39" stopIfTrue="1">
      <formula>V2833=0</formula>
    </cfRule>
    <cfRule type="expression" dxfId="21" priority="40" stopIfTrue="1">
      <formula>V2833&lt;TODAY()</formula>
    </cfRule>
  </conditionalFormatting>
  <conditionalFormatting sqref="V2834">
    <cfRule type="expression" priority="37" stopIfTrue="1">
      <formula>V2834=0</formula>
    </cfRule>
    <cfRule type="expression" dxfId="20" priority="38" stopIfTrue="1">
      <formula>V2834&lt;TODAY()</formula>
    </cfRule>
  </conditionalFormatting>
  <conditionalFormatting sqref="V2835">
    <cfRule type="expression" priority="35" stopIfTrue="1">
      <formula>V2835=0</formula>
    </cfRule>
    <cfRule type="expression" dxfId="19" priority="36" stopIfTrue="1">
      <formula>V2835&lt;TODAY()</formula>
    </cfRule>
  </conditionalFormatting>
  <conditionalFormatting sqref="V2836">
    <cfRule type="expression" priority="33" stopIfTrue="1">
      <formula>V2836=0</formula>
    </cfRule>
    <cfRule type="expression" dxfId="18" priority="34" stopIfTrue="1">
      <formula>V2836&lt;TODAY()</formula>
    </cfRule>
  </conditionalFormatting>
  <conditionalFormatting sqref="V2837">
    <cfRule type="expression" priority="31" stopIfTrue="1">
      <formula>V2837=0</formula>
    </cfRule>
    <cfRule type="expression" dxfId="17" priority="32" stopIfTrue="1">
      <formula>V2837&lt;TODAY()</formula>
    </cfRule>
  </conditionalFormatting>
  <conditionalFormatting sqref="V2838">
    <cfRule type="expression" priority="29" stopIfTrue="1">
      <formula>V2838=0</formula>
    </cfRule>
    <cfRule type="expression" dxfId="16" priority="30" stopIfTrue="1">
      <formula>V2838&lt;TODAY()</formula>
    </cfRule>
  </conditionalFormatting>
  <conditionalFormatting sqref="V2839">
    <cfRule type="expression" priority="27" stopIfTrue="1">
      <formula>V2839=0</formula>
    </cfRule>
    <cfRule type="expression" dxfId="15" priority="28" stopIfTrue="1">
      <formula>V2839&lt;TODAY()</formula>
    </cfRule>
  </conditionalFormatting>
  <conditionalFormatting sqref="V2840">
    <cfRule type="expression" priority="25" stopIfTrue="1">
      <formula>V2840=0</formula>
    </cfRule>
    <cfRule type="expression" dxfId="14" priority="26" stopIfTrue="1">
      <formula>V2840&lt;TODAY()</formula>
    </cfRule>
  </conditionalFormatting>
  <conditionalFormatting sqref="V2841">
    <cfRule type="expression" priority="23" stopIfTrue="1">
      <formula>V2841=0</formula>
    </cfRule>
    <cfRule type="expression" dxfId="13" priority="24" stopIfTrue="1">
      <formula>V2841&lt;TODAY()</formula>
    </cfRule>
  </conditionalFormatting>
  <conditionalFormatting sqref="V2842">
    <cfRule type="expression" priority="21" stopIfTrue="1">
      <formula>V2842=0</formula>
    </cfRule>
    <cfRule type="expression" dxfId="12" priority="22" stopIfTrue="1">
      <formula>V2842&lt;TODAY()</formula>
    </cfRule>
  </conditionalFormatting>
  <conditionalFormatting sqref="V2843">
    <cfRule type="expression" priority="19" stopIfTrue="1">
      <formula>V2843=0</formula>
    </cfRule>
    <cfRule type="expression" dxfId="11" priority="20" stopIfTrue="1">
      <formula>V2843&lt;TODAY()</formula>
    </cfRule>
  </conditionalFormatting>
  <conditionalFormatting sqref="V2844">
    <cfRule type="expression" priority="17" stopIfTrue="1">
      <formula>V2844=0</formula>
    </cfRule>
    <cfRule type="expression" dxfId="10" priority="18" stopIfTrue="1">
      <formula>V2844&lt;TODAY()</formula>
    </cfRule>
  </conditionalFormatting>
  <conditionalFormatting sqref="V2845">
    <cfRule type="expression" priority="15" stopIfTrue="1">
      <formula>V2845=0</formula>
    </cfRule>
    <cfRule type="expression" dxfId="9" priority="16" stopIfTrue="1">
      <formula>V2845&lt;TODAY()</formula>
    </cfRule>
  </conditionalFormatting>
  <conditionalFormatting sqref="V2846">
    <cfRule type="expression" priority="13" stopIfTrue="1">
      <formula>V2846=0</formula>
    </cfRule>
    <cfRule type="expression" dxfId="8" priority="14" stopIfTrue="1">
      <formula>V2846&lt;TODAY()</formula>
    </cfRule>
  </conditionalFormatting>
  <conditionalFormatting sqref="V2847">
    <cfRule type="expression" priority="11" stopIfTrue="1">
      <formula>V2847=0</formula>
    </cfRule>
    <cfRule type="expression" dxfId="7" priority="12" stopIfTrue="1">
      <formula>V2847&lt;TODAY()</formula>
    </cfRule>
  </conditionalFormatting>
  <conditionalFormatting sqref="V2848">
    <cfRule type="expression" priority="9" stopIfTrue="1">
      <formula>V2848=0</formula>
    </cfRule>
    <cfRule type="expression" dxfId="6" priority="10" stopIfTrue="1">
      <formula>V2848&lt;TODAY()</formula>
    </cfRule>
  </conditionalFormatting>
  <conditionalFormatting sqref="V2849">
    <cfRule type="expression" priority="7" stopIfTrue="1">
      <formula>V2849=0</formula>
    </cfRule>
    <cfRule type="expression" dxfId="5" priority="8" stopIfTrue="1">
      <formula>V2849&lt;TODAY()</formula>
    </cfRule>
  </conditionalFormatting>
  <conditionalFormatting sqref="V2850">
    <cfRule type="expression" priority="5" stopIfTrue="1">
      <formula>V2850=0</formula>
    </cfRule>
    <cfRule type="expression" dxfId="4" priority="6" stopIfTrue="1">
      <formula>V2850&lt;TODAY()</formula>
    </cfRule>
  </conditionalFormatting>
  <conditionalFormatting sqref="V2851">
    <cfRule type="expression" priority="3" stopIfTrue="1">
      <formula>V2851=0</formula>
    </cfRule>
    <cfRule type="expression" dxfId="3" priority="4" stopIfTrue="1">
      <formula>V2851&lt;TODAY()</formula>
    </cfRule>
  </conditionalFormatting>
  <conditionalFormatting sqref="V2852">
    <cfRule type="expression" priority="1" stopIfTrue="1">
      <formula>V2852=0</formula>
    </cfRule>
    <cfRule type="expression" dxfId="2" priority="2" stopIfTrue="1">
      <formula>V2852&lt;TODAY()</formula>
    </cfRule>
  </conditionalFormatting>
  <dataValidations xWindow="132" yWindow="413" count="5">
    <dataValidation type="list" allowBlank="1" showInputMessage="1" showErrorMessage="1" sqref="E2854:G2857 D7:D2857">
      <formula1>Materiale2</formula1>
    </dataValidation>
    <dataValidation type="list" allowBlank="1" showInputMessage="1" showErrorMessage="1" sqref="L2854:L2906">
      <formula1>IF(D2854="Alluminio",ProvvAl2,IF(D2854="Bronzo",ProvvBr,ProvvCu2))</formula1>
    </dataValidation>
    <dataValidation type="list" allowBlank="1" showInputMessage="1" showErrorMessage="1" sqref="L7:L2853">
      <formula1>Provvigioni</formula1>
    </dataValidation>
    <dataValidation type="list" allowBlank="1" showInputMessage="1" showErrorMessage="1" sqref="S7:S2853">
      <formula1>Delta</formula1>
    </dataValidation>
    <dataValidation type="list" allowBlank="1" showInputMessage="1" showErrorMessage="1" sqref="Y7:Y2853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r:id="rId5">
            <anchor moveWithCells="1">
              <from>
                <xdr:col>13</xdr:col>
                <xdr:colOff>561975</xdr:colOff>
                <xdr:row>0</xdr:row>
                <xdr:rowOff>133350</xdr:rowOff>
              </from>
              <to>
                <xdr:col>16</xdr:col>
                <xdr:colOff>409575</xdr:colOff>
                <xdr:row>2</xdr:row>
                <xdr:rowOff>9525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95250</xdr:colOff>
                <xdr:row>0</xdr:row>
                <xdr:rowOff>152400</xdr:rowOff>
              </from>
              <to>
                <xdr:col>1</xdr:col>
                <xdr:colOff>257175</xdr:colOff>
                <xdr:row>2</xdr:row>
                <xdr:rowOff>28575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1</xdr:col>
                <xdr:colOff>333375</xdr:colOff>
                <xdr:row>0</xdr:row>
                <xdr:rowOff>171450</xdr:rowOff>
              </from>
              <to>
                <xdr:col>2</xdr:col>
                <xdr:colOff>600075</xdr:colOff>
                <xdr:row>2</xdr:row>
                <xdr:rowOff>38100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2</xdr:col>
                <xdr:colOff>752475</xdr:colOff>
                <xdr:row>0</xdr:row>
                <xdr:rowOff>152400</xdr:rowOff>
              </from>
              <to>
                <xdr:col>4</xdr:col>
                <xdr:colOff>466725</xdr:colOff>
                <xdr:row>2</xdr:row>
                <xdr:rowOff>28575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D3:F6"/>
  <sheetViews>
    <sheetView workbookViewId="0">
      <selection activeCell="F4" sqref="F4:F6"/>
    </sheetView>
  </sheetViews>
  <sheetFormatPr defaultRowHeight="15" x14ac:dyDescent="0.25"/>
  <cols>
    <col min="4" max="4" width="12.140625" customWidth="1"/>
    <col min="6" max="6" width="11" customWidth="1"/>
  </cols>
  <sheetData>
    <row r="3" spans="4:6" x14ac:dyDescent="0.25">
      <c r="D3" t="s">
        <v>42</v>
      </c>
      <c r="F3" t="s">
        <v>250</v>
      </c>
    </row>
    <row r="4" spans="4:6" x14ac:dyDescent="0.25">
      <c r="D4" s="221">
        <v>0</v>
      </c>
      <c r="F4" s="222">
        <v>0</v>
      </c>
    </row>
    <row r="5" spans="4:6" x14ac:dyDescent="0.25">
      <c r="D5" s="221">
        <v>0.1</v>
      </c>
      <c r="F5" s="222">
        <v>0.5</v>
      </c>
    </row>
    <row r="6" spans="4:6" x14ac:dyDescent="0.25">
      <c r="D6" s="221">
        <v>0.2</v>
      </c>
      <c r="F6" s="2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1:O65"/>
  <sheetViews>
    <sheetView topLeftCell="A7" workbookViewId="0">
      <selection activeCell="B15" sqref="B15"/>
    </sheetView>
  </sheetViews>
  <sheetFormatPr defaultRowHeight="15" x14ac:dyDescent="0.25"/>
  <cols>
    <col min="1" max="2" width="14.7109375" customWidth="1"/>
    <col min="3" max="3" width="14.5703125" customWidth="1"/>
    <col min="4" max="4" width="12.140625" customWidth="1"/>
    <col min="5" max="7" width="14.7109375" customWidth="1"/>
    <col min="9" max="11" width="14.85546875" customWidth="1"/>
    <col min="13" max="15" width="10.7109375" customWidth="1"/>
  </cols>
  <sheetData>
    <row r="1" spans="1:15" ht="23.25" x14ac:dyDescent="0.35">
      <c r="A1" s="393"/>
      <c r="B1" s="393"/>
      <c r="C1" s="393"/>
    </row>
    <row r="3" spans="1:15" ht="16.5" thickBot="1" x14ac:dyDescent="0.3">
      <c r="A3" s="392" t="s">
        <v>243</v>
      </c>
      <c r="B3" s="392"/>
      <c r="C3" s="392"/>
      <c r="D3" t="str">
        <f>IF(($B58+$F$58)=$C$63,"OK","ERRORE")</f>
        <v>ERRORE</v>
      </c>
      <c r="E3" s="392" t="s">
        <v>249</v>
      </c>
      <c r="F3" s="392"/>
      <c r="G3" s="392"/>
      <c r="I3" s="392" t="s">
        <v>273</v>
      </c>
      <c r="J3" s="392"/>
      <c r="K3" s="392"/>
      <c r="M3" s="392" t="s">
        <v>296</v>
      </c>
      <c r="N3" s="392"/>
      <c r="O3" s="392"/>
    </row>
    <row r="4" spans="1:15" ht="39.75" thickBot="1" x14ac:dyDescent="0.3">
      <c r="A4" s="213" t="s">
        <v>242</v>
      </c>
      <c r="B4" s="214" t="s">
        <v>38</v>
      </c>
      <c r="C4" s="220" t="s">
        <v>244</v>
      </c>
      <c r="E4" s="213" t="s">
        <v>242</v>
      </c>
      <c r="F4" s="214" t="s">
        <v>38</v>
      </c>
      <c r="G4" s="220" t="s">
        <v>244</v>
      </c>
      <c r="I4" s="213" t="s">
        <v>242</v>
      </c>
      <c r="J4" s="214" t="s">
        <v>38</v>
      </c>
      <c r="K4" s="220" t="s">
        <v>244</v>
      </c>
      <c r="M4" s="213" t="s">
        <v>242</v>
      </c>
      <c r="N4" s="214" t="s">
        <v>38</v>
      </c>
      <c r="O4" s="220" t="s">
        <v>244</v>
      </c>
    </row>
    <row r="5" spans="1:15" x14ac:dyDescent="0.25">
      <c r="A5" s="210">
        <v>1</v>
      </c>
      <c r="B5" s="215">
        <f>SUMIFS(Calkos!$C$7:$C$2853,Calkos!$AF$7:$AF$2853,1,Calkos!$AG$7:$AG$2853,2022)</f>
        <v>0</v>
      </c>
      <c r="C5" s="219"/>
      <c r="E5" s="210">
        <v>1</v>
      </c>
      <c r="F5" s="215">
        <f>SUMIFS(Calkos!$C$7:$C$2853,Calkos!$AF$7:$AF$2853,1,Calkos!$AG$7:$AG$2853,2023)</f>
        <v>0</v>
      </c>
      <c r="G5" s="219"/>
      <c r="I5" s="210">
        <v>1</v>
      </c>
      <c r="J5" s="215">
        <f>SUMIFS(Calkos!$C$7:$C$2853,Calkos!$AF$7:$AF$2853,1,Calkos!$AG$7:$AG$2853,2024)</f>
        <v>0</v>
      </c>
      <c r="K5" s="219"/>
      <c r="M5" s="210">
        <v>1</v>
      </c>
      <c r="N5" s="215">
        <f>SUMIFS(Calkos!$C$7:$C$2853,Calkos!$AF$7:$AF$2853,1,Calkos!$AG$7:$AG$2853,2025)</f>
        <v>0</v>
      </c>
      <c r="O5" s="219"/>
    </row>
    <row r="6" spans="1:15" x14ac:dyDescent="0.25">
      <c r="A6" s="211">
        <f>+A5+1</f>
        <v>2</v>
      </c>
      <c r="B6" s="216">
        <f>SUMIFS(Calkos!$C$7:$C$2853,Calkos!$AF$7:$AF$2853,2,Calkos!$AG$7:$AG$2853,2022)</f>
        <v>0</v>
      </c>
      <c r="C6" s="202"/>
      <c r="E6" s="211">
        <f>+E5+1</f>
        <v>2</v>
      </c>
      <c r="F6" s="216">
        <f>SUMIFS(Calkos!$C$7:$C$2853,Calkos!$AF$7:$AF$2853,2,Calkos!$AG$7:$AG$2853,2023)</f>
        <v>0</v>
      </c>
      <c r="G6" s="202"/>
      <c r="I6" s="211">
        <f>+I5+1</f>
        <v>2</v>
      </c>
      <c r="J6" s="216">
        <f>SUMIFS(Calkos!$C$7:$C$2853,Calkos!$AF$7:$AF$2853,2,Calkos!$AG$7:$AG$2853,2024)</f>
        <v>0</v>
      </c>
      <c r="K6" s="202"/>
      <c r="M6" s="211">
        <f>+M5+1</f>
        <v>2</v>
      </c>
      <c r="N6" s="216">
        <f>SUMIFS(Calkos!$C$7:$C$2853,Calkos!$AF$7:$AF$2853,2,Calkos!$AG$7:$AG$2853,2025)</f>
        <v>0</v>
      </c>
      <c r="O6" s="202"/>
    </row>
    <row r="7" spans="1:15" x14ac:dyDescent="0.25">
      <c r="A7" s="211">
        <f t="shared" ref="A7:A57" si="0">+A6+1</f>
        <v>3</v>
      </c>
      <c r="B7" s="216">
        <f>SUMIFS(Calkos!$C$7:$C$2853,Calkos!$AF$7:$AF$2853,3,Calkos!$AG$7:$AG$2853,2022)</f>
        <v>0</v>
      </c>
      <c r="C7" s="202"/>
      <c r="E7" s="211">
        <f t="shared" ref="E7:E57" si="1">+E6+1</f>
        <v>3</v>
      </c>
      <c r="F7" s="216">
        <f>SUMIFS(Calkos!$C$7:$C$2853,Calkos!$AF$7:$AF$2853,3,Calkos!$AG$7:$AG$2853,2023)</f>
        <v>0</v>
      </c>
      <c r="G7" s="202"/>
      <c r="I7" s="211">
        <f t="shared" ref="I7:I57" si="2">+I6+1</f>
        <v>3</v>
      </c>
      <c r="J7" s="216">
        <f>SUMIFS(Calkos!$C$7:$C$2853,Calkos!$AF$7:$AF$2853,3,Calkos!$AG$7:$AG$2853,2024)</f>
        <v>0</v>
      </c>
      <c r="K7" s="202"/>
      <c r="M7" s="211">
        <f t="shared" ref="M7:M57" si="3">+M6+1</f>
        <v>3</v>
      </c>
      <c r="N7" s="216">
        <f>SUMIFS(Calkos!$C$7:$C$2853,Calkos!$AF$7:$AF$2853,3,Calkos!$AG$7:$AG$2853,2025)</f>
        <v>0</v>
      </c>
      <c r="O7" s="202"/>
    </row>
    <row r="8" spans="1:15" x14ac:dyDescent="0.25">
      <c r="A8" s="211">
        <f t="shared" si="0"/>
        <v>4</v>
      </c>
      <c r="B8" s="216">
        <f>SUMIFS(Calkos!$C$7:$C$2853,Calkos!$AF$7:$AF$2853,4,Calkos!$AG$7:$AG$2853,2022)</f>
        <v>0</v>
      </c>
      <c r="C8" s="202"/>
      <c r="E8" s="211">
        <f t="shared" si="1"/>
        <v>4</v>
      </c>
      <c r="F8" s="216">
        <f>SUMIFS(Calkos!$C$7:$C$2853,Calkos!$AF$7:$AF$2853,4,Calkos!$AG$7:$AG$2853,2023)</f>
        <v>0</v>
      </c>
      <c r="G8" s="202"/>
      <c r="I8" s="211">
        <f t="shared" si="2"/>
        <v>4</v>
      </c>
      <c r="J8" s="216">
        <f>SUMIFS(Calkos!$C$7:$C$2853,Calkos!$AF$7:$AF$2853,4,Calkos!$AG$7:$AG$2853,2024)</f>
        <v>0</v>
      </c>
      <c r="K8" s="202"/>
      <c r="M8" s="211">
        <f t="shared" si="3"/>
        <v>4</v>
      </c>
      <c r="N8" s="216">
        <f>SUMIFS(Calkos!$C$7:$C$2853,Calkos!$AF$7:$AF$2853,4,Calkos!$AG$7:$AG$2853,2025)</f>
        <v>0</v>
      </c>
      <c r="O8" s="202"/>
    </row>
    <row r="9" spans="1:15" x14ac:dyDescent="0.25">
      <c r="A9" s="211">
        <f t="shared" si="0"/>
        <v>5</v>
      </c>
      <c r="B9" s="216">
        <f>SUMIFS(Calkos!$C$7:$C$2853,Calkos!$AF$7:$AF$2853,5,Calkos!$AG$7:$AG$2853,2022)</f>
        <v>0</v>
      </c>
      <c r="C9" s="202"/>
      <c r="E9" s="211">
        <f t="shared" si="1"/>
        <v>5</v>
      </c>
      <c r="F9" s="216">
        <f>SUMIFS(Calkos!$C$7:$C$2853,Calkos!$AF$7:$AF$2853,5,Calkos!$AG$7:$AG$2853,2023)</f>
        <v>0</v>
      </c>
      <c r="G9" s="202"/>
      <c r="I9" s="211">
        <f t="shared" si="2"/>
        <v>5</v>
      </c>
      <c r="J9" s="216">
        <f>SUMIFS(Calkos!$C$7:$C$2853,Calkos!$AF$7:$AF$2853,5,Calkos!$AG$7:$AG$2853,2024)</f>
        <v>0</v>
      </c>
      <c r="K9" s="202"/>
      <c r="M9" s="211">
        <f t="shared" si="3"/>
        <v>5</v>
      </c>
      <c r="N9" s="216">
        <f>SUMIFS(Calkos!$C$7:$C$2853,Calkos!$AF$7:$AF$2853,5,Calkos!$AG$7:$AG$2853,2025)</f>
        <v>0</v>
      </c>
      <c r="O9" s="202"/>
    </row>
    <row r="10" spans="1:15" x14ac:dyDescent="0.25">
      <c r="A10" s="211">
        <f t="shared" si="0"/>
        <v>6</v>
      </c>
      <c r="B10" s="216">
        <f>SUMIFS(Calkos!$C$7:$C$2853,Calkos!$AF$7:$AF$2853,6,Calkos!$AG$7:$AG$2853,2022)</f>
        <v>0</v>
      </c>
      <c r="C10" s="202"/>
      <c r="E10" s="211">
        <f t="shared" si="1"/>
        <v>6</v>
      </c>
      <c r="F10" s="216">
        <f>SUMIFS(Calkos!$C$7:$C$2853,Calkos!$AF$7:$AF$2853,6,Calkos!$AG$7:$AG$2853,2023)</f>
        <v>0</v>
      </c>
      <c r="G10" s="202"/>
      <c r="I10" s="211">
        <f t="shared" si="2"/>
        <v>6</v>
      </c>
      <c r="J10" s="216">
        <f>SUMIFS(Calkos!$C$7:$C$2853,Calkos!$AF$7:$AF$2853,6,Calkos!$AG$7:$AG$2853,2024)</f>
        <v>0</v>
      </c>
      <c r="K10" s="202"/>
      <c r="M10" s="211">
        <f t="shared" si="3"/>
        <v>6</v>
      </c>
      <c r="N10" s="216">
        <f>SUMIFS(Calkos!$C$7:$C$2853,Calkos!$AF$7:$AF$2853,6,Calkos!$AG$7:$AG$2853,2025)</f>
        <v>0</v>
      </c>
      <c r="O10" s="202"/>
    </row>
    <row r="11" spans="1:15" x14ac:dyDescent="0.25">
      <c r="A11" s="211">
        <f t="shared" si="0"/>
        <v>7</v>
      </c>
      <c r="B11" s="216">
        <f>SUMIFS(Calkos!$C$7:$C$2853,Calkos!$AF$7:$AF$2853,7,Calkos!$AG$7:$AG$2853,2022)</f>
        <v>0</v>
      </c>
      <c r="C11" s="202"/>
      <c r="E11" s="211">
        <f t="shared" si="1"/>
        <v>7</v>
      </c>
      <c r="F11" s="216">
        <f>SUMIFS(Calkos!$C$7:$C$2853,Calkos!$AF$7:$AF$2853,7,Calkos!$AG$7:$AG$2853,2023)</f>
        <v>0</v>
      </c>
      <c r="G11" s="202"/>
      <c r="I11" s="211">
        <f t="shared" si="2"/>
        <v>7</v>
      </c>
      <c r="J11" s="216">
        <f>SUMIFS(Calkos!$C$7:$C$2853,Calkos!$AF$7:$AF$2853,7,Calkos!$AG$7:$AG$2853,2024)</f>
        <v>0</v>
      </c>
      <c r="K11" s="202"/>
      <c r="M11" s="211">
        <f t="shared" si="3"/>
        <v>7</v>
      </c>
      <c r="N11" s="216">
        <f>SUMIFS(Calkos!$C$7:$C$2853,Calkos!$AF$7:$AF$2853,7,Calkos!$AG$7:$AG$2853,2025)</f>
        <v>0</v>
      </c>
      <c r="O11" s="202"/>
    </row>
    <row r="12" spans="1:15" x14ac:dyDescent="0.25">
      <c r="A12" s="211">
        <f t="shared" si="0"/>
        <v>8</v>
      </c>
      <c r="B12" s="216">
        <f>SUMIFS(Calkos!$C$7:$C$2853,Calkos!$AF$7:$AF$2853,8,Calkos!$AG$7:$AG$2853,2022)</f>
        <v>0</v>
      </c>
      <c r="C12" s="202"/>
      <c r="E12" s="211">
        <f t="shared" si="1"/>
        <v>8</v>
      </c>
      <c r="F12" s="216">
        <f>SUMIFS(Calkos!$C$7:$C$2853,Calkos!$AF$7:$AF$2853,8,Calkos!$AG$7:$AG$2853,2023)</f>
        <v>0</v>
      </c>
      <c r="G12" s="202"/>
      <c r="I12" s="211">
        <f t="shared" si="2"/>
        <v>8</v>
      </c>
      <c r="J12" s="216">
        <f>SUMIFS(Calkos!$C$7:$C$2853,Calkos!$AF$7:$AF$2853,8,Calkos!$AG$7:$AG$2853,2024)</f>
        <v>0</v>
      </c>
      <c r="K12" s="202"/>
      <c r="M12" s="211">
        <f t="shared" si="3"/>
        <v>8</v>
      </c>
      <c r="N12" s="216">
        <f>SUMIFS(Calkos!$C$7:$C$2853,Calkos!$AF$7:$AF$2853,8,Calkos!$AG$7:$AG$2853,2025)</f>
        <v>0</v>
      </c>
      <c r="O12" s="202"/>
    </row>
    <row r="13" spans="1:15" x14ac:dyDescent="0.25">
      <c r="A13" s="211">
        <f t="shared" si="0"/>
        <v>9</v>
      </c>
      <c r="B13" s="216">
        <f>SUMIFS(Calkos!$C$7:$C$2853,Calkos!$AF$7:$AF$2853,9,Calkos!$AG$7:$AG$2853,2022)</f>
        <v>0</v>
      </c>
      <c r="C13" s="202"/>
      <c r="E13" s="211">
        <f t="shared" si="1"/>
        <v>9</v>
      </c>
      <c r="F13" s="216">
        <f>SUMIFS(Calkos!$C$7:$C$2853,Calkos!$AF$7:$AF$2853,9,Calkos!$AG$7:$AG$2853,2023)</f>
        <v>0</v>
      </c>
      <c r="G13" s="202"/>
      <c r="I13" s="211">
        <f t="shared" si="2"/>
        <v>9</v>
      </c>
      <c r="J13" s="216">
        <f>SUMIFS(Calkos!$C$7:$C$2853,Calkos!$AF$7:$AF$2853,9,Calkos!$AG$7:$AG$2853,2024)</f>
        <v>0</v>
      </c>
      <c r="K13" s="202"/>
      <c r="M13" s="211">
        <f t="shared" si="3"/>
        <v>9</v>
      </c>
      <c r="N13" s="216">
        <f>SUMIFS(Calkos!$C$7:$C$2853,Calkos!$AF$7:$AF$2853,9,Calkos!$AG$7:$AG$2853,2025)</f>
        <v>0</v>
      </c>
      <c r="O13" s="202"/>
    </row>
    <row r="14" spans="1:15" x14ac:dyDescent="0.25">
      <c r="A14" s="211">
        <f t="shared" si="0"/>
        <v>10</v>
      </c>
      <c r="B14" s="216">
        <f>SUMIFS(Calkos!$C$7:$C$2853,Calkos!$AF$7:$AF$2853,10,Calkos!$AG$7:$AG$2853,2022)</f>
        <v>0</v>
      </c>
      <c r="C14" s="202"/>
      <c r="E14" s="211">
        <f t="shared" si="1"/>
        <v>10</v>
      </c>
      <c r="F14" s="216">
        <f>SUMIFS(Calkos!$C$7:$C$2853,Calkos!$AF$7:$AF$2853,10,Calkos!$AG$7:$AG$2853,2023)</f>
        <v>0</v>
      </c>
      <c r="G14" s="202"/>
      <c r="I14" s="211">
        <f t="shared" si="2"/>
        <v>10</v>
      </c>
      <c r="J14" s="216">
        <f>SUMIFS(Calkos!$C$7:$C$2853,Calkos!$AF$7:$AF$2853,10,Calkos!$AG$7:$AG$2853,2024)</f>
        <v>0</v>
      </c>
      <c r="K14" s="202"/>
      <c r="M14" s="211">
        <f t="shared" si="3"/>
        <v>10</v>
      </c>
      <c r="N14" s="216">
        <f>SUMIFS(Calkos!$C$7:$C$2853,Calkos!$AF$7:$AF$2853,10,Calkos!$AG$7:$AG$2853,2025)</f>
        <v>0</v>
      </c>
      <c r="O14" s="202"/>
    </row>
    <row r="15" spans="1:15" x14ac:dyDescent="0.25">
      <c r="A15" s="211">
        <f t="shared" si="0"/>
        <v>11</v>
      </c>
      <c r="B15" s="216">
        <f>SUMIFS(Calkos!$C$7:$C$2853,Calkos!$AF$7:$AF$2853,11,Calkos!$AG$7:$AG$2853,2022)</f>
        <v>0</v>
      </c>
      <c r="C15" s="202"/>
      <c r="E15" s="211">
        <f t="shared" si="1"/>
        <v>11</v>
      </c>
      <c r="F15" s="216">
        <f>SUMIFS(Calkos!$C$7:$C$2853,Calkos!$AF$7:$AF$2853,11,Calkos!$AG$7:$AG$2853,2023)</f>
        <v>0</v>
      </c>
      <c r="G15" s="202"/>
      <c r="I15" s="211">
        <f t="shared" si="2"/>
        <v>11</v>
      </c>
      <c r="J15" s="216">
        <f>SUMIFS(Calkos!$C$7:$C$2853,Calkos!$AF$7:$AF$2853,11,Calkos!$AG$7:$AG$2853,2024)</f>
        <v>0</v>
      </c>
      <c r="K15" s="202"/>
      <c r="M15" s="211">
        <f t="shared" si="3"/>
        <v>11</v>
      </c>
      <c r="N15" s="216">
        <f>SUMIFS(Calkos!$C$7:$C$2853,Calkos!$AF$7:$AF$2853,11,Calkos!$AG$7:$AG$2853,2025)</f>
        <v>0</v>
      </c>
      <c r="O15" s="202"/>
    </row>
    <row r="16" spans="1:15" x14ac:dyDescent="0.25">
      <c r="A16" s="211">
        <f t="shared" si="0"/>
        <v>12</v>
      </c>
      <c r="B16" s="216">
        <f>SUMIFS(Calkos!$C$7:$C$2853,Calkos!$AF$7:$AF$2853,12,Calkos!$AG$7:$AG$2853,2022)</f>
        <v>0</v>
      </c>
      <c r="C16" s="202"/>
      <c r="E16" s="211">
        <f t="shared" si="1"/>
        <v>12</v>
      </c>
      <c r="F16" s="216">
        <f>SUMIFS(Calkos!$C$7:$C$2853,Calkos!$AF$7:$AF$2853,12,Calkos!$AG$7:$AG$2853,2023)</f>
        <v>0</v>
      </c>
      <c r="G16" s="202"/>
      <c r="I16" s="211">
        <f t="shared" si="2"/>
        <v>12</v>
      </c>
      <c r="J16" s="216">
        <f>SUMIFS(Calkos!$C$7:$C$2853,Calkos!$AF$7:$AF$2853,12,Calkos!$AG$7:$AG$2853,2024)</f>
        <v>0</v>
      </c>
      <c r="K16" s="202"/>
      <c r="M16" s="211">
        <f t="shared" si="3"/>
        <v>12</v>
      </c>
      <c r="N16" s="216">
        <f>SUMIFS(Calkos!$C$7:$C$2853,Calkos!$AF$7:$AF$2853,12,Calkos!$AG$7:$AG$2853,2025)</f>
        <v>0</v>
      </c>
      <c r="O16" s="202"/>
    </row>
    <row r="17" spans="1:15" x14ac:dyDescent="0.25">
      <c r="A17" s="211">
        <f t="shared" si="0"/>
        <v>13</v>
      </c>
      <c r="B17" s="216">
        <f>SUMIFS(Calkos!$C$7:$C$2853,Calkos!$AF$7:$AF$2853,13,Calkos!$AG$7:$AG$2853,2022)</f>
        <v>0</v>
      </c>
      <c r="C17" s="202"/>
      <c r="E17" s="211">
        <f t="shared" si="1"/>
        <v>13</v>
      </c>
      <c r="F17" s="216">
        <f>SUMIFS(Calkos!$C$7:$C$2853,Calkos!$AF$7:$AF$2853,13,Calkos!$AG$7:$AG$2853,2023)</f>
        <v>0</v>
      </c>
      <c r="G17" s="202"/>
      <c r="I17" s="211">
        <f t="shared" si="2"/>
        <v>13</v>
      </c>
      <c r="J17" s="216">
        <f>SUMIFS(Calkos!$C$7:$C$2853,Calkos!$AF$7:$AF$2853,13,Calkos!$AG$7:$AG$2853,2024)</f>
        <v>0</v>
      </c>
      <c r="K17" s="202"/>
      <c r="M17" s="211">
        <f t="shared" si="3"/>
        <v>13</v>
      </c>
      <c r="N17" s="216">
        <f>SUMIFS(Calkos!$C$7:$C$2853,Calkos!$AF$7:$AF$2853,13,Calkos!$AG$7:$AG$2853,2025)</f>
        <v>0</v>
      </c>
      <c r="O17" s="202"/>
    </row>
    <row r="18" spans="1:15" x14ac:dyDescent="0.25">
      <c r="A18" s="211">
        <f t="shared" si="0"/>
        <v>14</v>
      </c>
      <c r="B18" s="216">
        <f>SUMIFS(Calkos!$C$7:$C$2853,Calkos!$AF$7:$AF$2853,14,Calkos!$AG$7:$AG$2853,2022)</f>
        <v>0</v>
      </c>
      <c r="C18" s="202"/>
      <c r="E18" s="211">
        <f t="shared" si="1"/>
        <v>14</v>
      </c>
      <c r="F18" s="216">
        <f>SUMIFS(Calkos!$C$7:$C$2853,Calkos!$AF$7:$AF$2853,14,Calkos!$AG$7:$AG$2853,2023)</f>
        <v>0</v>
      </c>
      <c r="G18" s="202"/>
      <c r="I18" s="211">
        <f t="shared" si="2"/>
        <v>14</v>
      </c>
      <c r="J18" s="216">
        <f>SUMIFS(Calkos!$C$7:$C$2853,Calkos!$AF$7:$AF$2853,14,Calkos!$AG$7:$AG$2853,2024)</f>
        <v>0</v>
      </c>
      <c r="K18" s="202"/>
      <c r="M18" s="211">
        <f t="shared" si="3"/>
        <v>14</v>
      </c>
      <c r="N18" s="216">
        <f>SUMIFS(Calkos!$C$7:$C$2853,Calkos!$AF$7:$AF$2853,14,Calkos!$AG$7:$AG$2853,2025)</f>
        <v>0</v>
      </c>
      <c r="O18" s="202"/>
    </row>
    <row r="19" spans="1:15" x14ac:dyDescent="0.25">
      <c r="A19" s="211">
        <f t="shared" si="0"/>
        <v>15</v>
      </c>
      <c r="B19" s="216">
        <f>SUMIFS(Calkos!$C$7:$C$2853,Calkos!$AF$7:$AF$2853,15,Calkos!$AG$7:$AG$2853,2022)</f>
        <v>0</v>
      </c>
      <c r="C19" s="202"/>
      <c r="E19" s="211">
        <f t="shared" si="1"/>
        <v>15</v>
      </c>
      <c r="F19" s="216">
        <f>SUMIFS(Calkos!$C$7:$C$2853,Calkos!$AF$7:$AF$2853,15,Calkos!$AG$7:$AG$2853,2023)</f>
        <v>0</v>
      </c>
      <c r="G19" s="202"/>
      <c r="I19" s="211">
        <f t="shared" si="2"/>
        <v>15</v>
      </c>
      <c r="J19" s="216">
        <f>SUMIFS(Calkos!$C$7:$C$2853,Calkos!$AF$7:$AF$2853,15,Calkos!$AG$7:$AG$2853,2024)</f>
        <v>0</v>
      </c>
      <c r="K19" s="202"/>
      <c r="M19" s="211">
        <f t="shared" si="3"/>
        <v>15</v>
      </c>
      <c r="N19" s="216">
        <f>SUMIFS(Calkos!$C$7:$C$2853,Calkos!$AF$7:$AF$2853,15,Calkos!$AG$7:$AG$2853,2025)</f>
        <v>0</v>
      </c>
      <c r="O19" s="202"/>
    </row>
    <row r="20" spans="1:15" x14ac:dyDescent="0.25">
      <c r="A20" s="211">
        <f t="shared" si="0"/>
        <v>16</v>
      </c>
      <c r="B20" s="216">
        <f>SUMIFS(Calkos!$C$7:$C$2853,Calkos!$AF$7:$AF$2853,16,Calkos!$AG$7:$AG$2853,2022)</f>
        <v>0</v>
      </c>
      <c r="C20" s="202"/>
      <c r="E20" s="211">
        <f t="shared" si="1"/>
        <v>16</v>
      </c>
      <c r="F20" s="216">
        <f>SUMIFS(Calkos!$C$7:$C$2853,Calkos!$AF$7:$AF$2853,16,Calkos!$AG$7:$AG$2853,2023)</f>
        <v>0</v>
      </c>
      <c r="G20" s="202"/>
      <c r="I20" s="211">
        <f t="shared" si="2"/>
        <v>16</v>
      </c>
      <c r="J20" s="216">
        <f>SUMIFS(Calkos!$C$7:$C$2853,Calkos!$AF$7:$AF$2853,16,Calkos!$AG$7:$AG$2853,2024)</f>
        <v>0</v>
      </c>
      <c r="K20" s="202"/>
      <c r="M20" s="211">
        <f t="shared" si="3"/>
        <v>16</v>
      </c>
      <c r="N20" s="216">
        <f>SUMIFS(Calkos!$C$7:$C$2853,Calkos!$AF$7:$AF$2853,16,Calkos!$AG$7:$AG$2853,2025)</f>
        <v>0</v>
      </c>
      <c r="O20" s="202"/>
    </row>
    <row r="21" spans="1:15" x14ac:dyDescent="0.25">
      <c r="A21" s="211">
        <f t="shared" si="0"/>
        <v>17</v>
      </c>
      <c r="B21" s="216">
        <f>SUMIFS(Calkos!$C$7:$C$2853,Calkos!$AF$7:$AF$2853,17,Calkos!$AG$7:$AG$2853,2022)</f>
        <v>0</v>
      </c>
      <c r="C21" s="202"/>
      <c r="E21" s="211">
        <f t="shared" si="1"/>
        <v>17</v>
      </c>
      <c r="F21" s="216">
        <f>SUMIFS(Calkos!$C$7:$C$2853,Calkos!$AF$7:$AF$2853,17,Calkos!$AG$7:$AG$2853,2023)</f>
        <v>0</v>
      </c>
      <c r="G21" s="202"/>
      <c r="I21" s="211">
        <f t="shared" si="2"/>
        <v>17</v>
      </c>
      <c r="J21" s="216">
        <f>SUMIFS(Calkos!$C$7:$C$2853,Calkos!$AF$7:$AF$2853,17,Calkos!$AG$7:$AG$2853,2024)</f>
        <v>0</v>
      </c>
      <c r="K21" s="202"/>
      <c r="M21" s="211">
        <f t="shared" si="3"/>
        <v>17</v>
      </c>
      <c r="N21" s="216">
        <f>SUMIFS(Calkos!$C$7:$C$2853,Calkos!$AF$7:$AF$2853,17,Calkos!$AG$7:$AG$2853,2025)</f>
        <v>0</v>
      </c>
      <c r="O21" s="202"/>
    </row>
    <row r="22" spans="1:15" x14ac:dyDescent="0.25">
      <c r="A22" s="211">
        <f t="shared" si="0"/>
        <v>18</v>
      </c>
      <c r="B22" s="216">
        <f>SUMIFS(Calkos!$C$7:$C$2853,Calkos!$AF$7:$AF$2853,18,Calkos!$AG$7:$AG$2853,2022)</f>
        <v>0</v>
      </c>
      <c r="C22" s="202"/>
      <c r="E22" s="211">
        <f t="shared" si="1"/>
        <v>18</v>
      </c>
      <c r="F22" s="216">
        <f>SUMIFS(Calkos!$C$7:$C$2853,Calkos!$AF$7:$AF$2853,18,Calkos!$AG$7:$AG$2853,2023)</f>
        <v>0</v>
      </c>
      <c r="G22" s="202"/>
      <c r="I22" s="211">
        <f t="shared" si="2"/>
        <v>18</v>
      </c>
      <c r="J22" s="216">
        <f>SUMIFS(Calkos!$C$7:$C$2853,Calkos!$AF$7:$AF$2853,18,Calkos!$AG$7:$AG$2853,2024)</f>
        <v>0</v>
      </c>
      <c r="K22" s="202"/>
      <c r="M22" s="211">
        <f t="shared" si="3"/>
        <v>18</v>
      </c>
      <c r="N22" s="216">
        <f>SUMIFS(Calkos!$C$7:$C$2853,Calkos!$AF$7:$AF$2853,18,Calkos!$AG$7:$AG$2853,2025)</f>
        <v>0</v>
      </c>
      <c r="O22" s="202"/>
    </row>
    <row r="23" spans="1:15" x14ac:dyDescent="0.25">
      <c r="A23" s="211">
        <f t="shared" si="0"/>
        <v>19</v>
      </c>
      <c r="B23" s="216">
        <f>SUMIFS(Calkos!$C$7:$C$2853,Calkos!$AF$7:$AF$2853,19,Calkos!$AG$7:$AG$2853,2022)</f>
        <v>0</v>
      </c>
      <c r="C23" s="202"/>
      <c r="E23" s="211">
        <f t="shared" si="1"/>
        <v>19</v>
      </c>
      <c r="F23" s="216">
        <f>SUMIFS(Calkos!$C$7:$C$2853,Calkos!$AF$7:$AF$2853,19,Calkos!$AG$7:$AG$2853,2023)</f>
        <v>0</v>
      </c>
      <c r="G23" s="202"/>
      <c r="I23" s="211">
        <f t="shared" si="2"/>
        <v>19</v>
      </c>
      <c r="J23" s="216">
        <f>SUMIFS(Calkos!$C$7:$C$2853,Calkos!$AF$7:$AF$2853,19,Calkos!$AG$7:$AG$2853,2024)</f>
        <v>0</v>
      </c>
      <c r="K23" s="202"/>
      <c r="M23" s="211">
        <f t="shared" si="3"/>
        <v>19</v>
      </c>
      <c r="N23" s="216">
        <f>SUMIFS(Calkos!$C$7:$C$2853,Calkos!$AF$7:$AF$2853,19,Calkos!$AG$7:$AG$2853,2025)</f>
        <v>0</v>
      </c>
      <c r="O23" s="202"/>
    </row>
    <row r="24" spans="1:15" x14ac:dyDescent="0.25">
      <c r="A24" s="211">
        <f t="shared" si="0"/>
        <v>20</v>
      </c>
      <c r="B24" s="216">
        <f>SUMIFS(Calkos!$C$7:$C$2853,Calkos!$AF$7:$AF$2853,20,Calkos!$AG$7:$AG$2853,2022)</f>
        <v>0</v>
      </c>
      <c r="C24" s="202"/>
      <c r="E24" s="211">
        <f t="shared" si="1"/>
        <v>20</v>
      </c>
      <c r="F24" s="216">
        <f>SUMIFS(Calkos!$C$7:$C$2853,Calkos!$AF$7:$AF$2853,20,Calkos!$AG$7:$AG$2853,2023)</f>
        <v>0</v>
      </c>
      <c r="G24" s="202"/>
      <c r="I24" s="211">
        <f t="shared" si="2"/>
        <v>20</v>
      </c>
      <c r="J24" s="216">
        <f>SUMIFS(Calkos!$C$7:$C$2853,Calkos!$AF$7:$AF$2853,20,Calkos!$AG$7:$AG$2853,2024)</f>
        <v>0</v>
      </c>
      <c r="K24" s="202"/>
      <c r="M24" s="211">
        <f t="shared" si="3"/>
        <v>20</v>
      </c>
      <c r="N24" s="216">
        <f>SUMIFS(Calkos!$C$7:$C$2853,Calkos!$AF$7:$AF$2853,20,Calkos!$AG$7:$AG$2853,2025)</f>
        <v>0</v>
      </c>
      <c r="O24" s="202"/>
    </row>
    <row r="25" spans="1:15" x14ac:dyDescent="0.25">
      <c r="A25" s="211">
        <f t="shared" si="0"/>
        <v>21</v>
      </c>
      <c r="B25" s="216">
        <f>SUMIFS(Calkos!$C$7:$C$2853,Calkos!$AF$7:$AF$2853,21,Calkos!$AG$7:$AG$2853,2022)</f>
        <v>0</v>
      </c>
      <c r="C25" s="202"/>
      <c r="E25" s="211">
        <f t="shared" si="1"/>
        <v>21</v>
      </c>
      <c r="F25" s="216">
        <f>SUMIFS(Calkos!$C$7:$C$2853,Calkos!$AF$7:$AF$2853,21,Calkos!$AG$7:$AG$2853,2023)</f>
        <v>0</v>
      </c>
      <c r="G25" s="202"/>
      <c r="I25" s="211">
        <f t="shared" si="2"/>
        <v>21</v>
      </c>
      <c r="J25" s="216">
        <f>SUMIFS(Calkos!$C$7:$C$2853,Calkos!$AF$7:$AF$2853,21,Calkos!$AG$7:$AG$2853,2024)</f>
        <v>0</v>
      </c>
      <c r="K25" s="202"/>
      <c r="M25" s="211">
        <f t="shared" si="3"/>
        <v>21</v>
      </c>
      <c r="N25" s="216">
        <f>SUMIFS(Calkos!$C$7:$C$2853,Calkos!$AF$7:$AF$2853,21,Calkos!$AG$7:$AG$2853,2025)</f>
        <v>0</v>
      </c>
      <c r="O25" s="202"/>
    </row>
    <row r="26" spans="1:15" x14ac:dyDescent="0.25">
      <c r="A26" s="211">
        <f t="shared" si="0"/>
        <v>22</v>
      </c>
      <c r="B26" s="216">
        <f>SUMIFS(Calkos!$C$7:$C$2853,Calkos!$AF$7:$AF$2853,22,Calkos!$AG$7:$AG$2853,2022)</f>
        <v>0</v>
      </c>
      <c r="C26" s="202"/>
      <c r="E26" s="211">
        <f t="shared" si="1"/>
        <v>22</v>
      </c>
      <c r="F26" s="216">
        <f>SUMIFS(Calkos!$C$7:$C$2853,Calkos!$AF$7:$AF$2853,22,Calkos!$AG$7:$AG$2853,2023)</f>
        <v>0</v>
      </c>
      <c r="G26" s="202"/>
      <c r="I26" s="211">
        <f t="shared" si="2"/>
        <v>22</v>
      </c>
      <c r="J26" s="216">
        <f>SUMIFS(Calkos!$C$7:$C$2853,Calkos!$AF$7:$AF$2853,22,Calkos!$AG$7:$AG$2853,2024)</f>
        <v>0</v>
      </c>
      <c r="K26" s="202"/>
      <c r="M26" s="211">
        <f t="shared" si="3"/>
        <v>22</v>
      </c>
      <c r="N26" s="216">
        <f>SUMIFS(Calkos!$C$7:$C$2853,Calkos!$AF$7:$AF$2853,22,Calkos!$AG$7:$AG$2853,2025)</f>
        <v>0</v>
      </c>
      <c r="O26" s="202"/>
    </row>
    <row r="27" spans="1:15" x14ac:dyDescent="0.25">
      <c r="A27" s="211">
        <f t="shared" si="0"/>
        <v>23</v>
      </c>
      <c r="B27" s="216">
        <f>SUMIFS(Calkos!$C$7:$C$2853,Calkos!$AF$7:$AF$2853,23,Calkos!$AG$7:$AG$2853,2022)</f>
        <v>0</v>
      </c>
      <c r="C27" s="202"/>
      <c r="E27" s="211">
        <f t="shared" si="1"/>
        <v>23</v>
      </c>
      <c r="F27" s="216">
        <f>SUMIFS(Calkos!$C$7:$C$2853,Calkos!$AF$7:$AF$2853,23,Calkos!$AG$7:$AG$2853,2023)</f>
        <v>0</v>
      </c>
      <c r="G27" s="202"/>
      <c r="I27" s="211">
        <f t="shared" si="2"/>
        <v>23</v>
      </c>
      <c r="J27" s="216">
        <f>SUMIFS(Calkos!$C$7:$C$2853,Calkos!$AF$7:$AF$2853,23,Calkos!$AG$7:$AG$2853,2024)</f>
        <v>0</v>
      </c>
      <c r="K27" s="202"/>
      <c r="M27" s="211">
        <f t="shared" si="3"/>
        <v>23</v>
      </c>
      <c r="N27" s="216">
        <f>SUMIFS(Calkos!$C$7:$C$2853,Calkos!$AF$7:$AF$2853,23,Calkos!$AG$7:$AG$2853,2025)</f>
        <v>0</v>
      </c>
      <c r="O27" s="202"/>
    </row>
    <row r="28" spans="1:15" x14ac:dyDescent="0.25">
      <c r="A28" s="211">
        <f t="shared" si="0"/>
        <v>24</v>
      </c>
      <c r="B28" s="216">
        <f>SUMIFS(Calkos!$C$7:$C$2853,Calkos!$AF$7:$AF$2853,24,Calkos!$AG$7:$AG$2853,2022)</f>
        <v>0</v>
      </c>
      <c r="C28" s="202"/>
      <c r="E28" s="211">
        <f t="shared" si="1"/>
        <v>24</v>
      </c>
      <c r="F28" s="216">
        <f>SUMIFS(Calkos!$C$7:$C$2853,Calkos!$AF$7:$AF$2853,24,Calkos!$AG$7:$AG$2853,2023)</f>
        <v>0</v>
      </c>
      <c r="G28" s="202"/>
      <c r="I28" s="211">
        <f t="shared" si="2"/>
        <v>24</v>
      </c>
      <c r="J28" s="216">
        <f>SUMIFS(Calkos!$C$7:$C$2853,Calkos!$AF$7:$AF$2853,24,Calkos!$AG$7:$AG$2853,2024)</f>
        <v>0</v>
      </c>
      <c r="K28" s="202"/>
      <c r="M28" s="211">
        <f t="shared" si="3"/>
        <v>24</v>
      </c>
      <c r="N28" s="216">
        <f>SUMIFS(Calkos!$C$7:$C$2853,Calkos!$AF$7:$AF$2853,24,Calkos!$AG$7:$AG$2853,2025)</f>
        <v>0</v>
      </c>
      <c r="O28" s="202"/>
    </row>
    <row r="29" spans="1:15" x14ac:dyDescent="0.25">
      <c r="A29" s="211">
        <f t="shared" si="0"/>
        <v>25</v>
      </c>
      <c r="B29" s="216">
        <f>SUMIFS(Calkos!$C$7:$C$2853,Calkos!$AF$7:$AF$2853,25,Calkos!$AG$7:$AG$2853,2022)</f>
        <v>0</v>
      </c>
      <c r="C29" s="202"/>
      <c r="E29" s="211">
        <f t="shared" si="1"/>
        <v>25</v>
      </c>
      <c r="F29" s="216">
        <f>SUMIFS(Calkos!$C$7:$C$2853,Calkos!$AF$7:$AF$2853,25,Calkos!$AG$7:$AG$2853,2023)</f>
        <v>0</v>
      </c>
      <c r="G29" s="202"/>
      <c r="I29" s="211">
        <f t="shared" si="2"/>
        <v>25</v>
      </c>
      <c r="J29" s="216">
        <f>SUMIFS(Calkos!$C$7:$C$2853,Calkos!$AF$7:$AF$2853,25,Calkos!$AG$7:$AG$2853,2024)</f>
        <v>0</v>
      </c>
      <c r="K29" s="202"/>
      <c r="M29" s="211">
        <f t="shared" si="3"/>
        <v>25</v>
      </c>
      <c r="N29" s="216">
        <f>SUMIFS(Calkos!$C$7:$C$2853,Calkos!$AF$7:$AF$2853,25,Calkos!$AG$7:$AG$2853,2025)</f>
        <v>0</v>
      </c>
      <c r="O29" s="202"/>
    </row>
    <row r="30" spans="1:15" x14ac:dyDescent="0.25">
      <c r="A30" s="211">
        <f t="shared" si="0"/>
        <v>26</v>
      </c>
      <c r="B30" s="216">
        <f>SUMIFS(Calkos!$C$7:$C$2853,Calkos!$AF$7:$AF$2853,26,Calkos!$AG$7:$AG$2853,2022)</f>
        <v>0</v>
      </c>
      <c r="C30" s="202"/>
      <c r="E30" s="211">
        <f t="shared" si="1"/>
        <v>26</v>
      </c>
      <c r="F30" s="216">
        <f>SUMIFS(Calkos!$C$7:$C$2853,Calkos!$AF$7:$AF$2853,26,Calkos!$AG$7:$AG$2853,2023)</f>
        <v>0</v>
      </c>
      <c r="G30" s="202"/>
      <c r="I30" s="211">
        <f t="shared" si="2"/>
        <v>26</v>
      </c>
      <c r="J30" s="216">
        <f>SUMIFS(Calkos!$C$7:$C$2853,Calkos!$AF$7:$AF$2853,26,Calkos!$AG$7:$AG$2853,2024)</f>
        <v>0</v>
      </c>
      <c r="K30" s="202"/>
      <c r="M30" s="211">
        <f t="shared" si="3"/>
        <v>26</v>
      </c>
      <c r="N30" s="216">
        <f>SUMIFS(Calkos!$C$7:$C$2853,Calkos!$AF$7:$AF$2853,26,Calkos!$AG$7:$AG$2853,2025)</f>
        <v>0</v>
      </c>
      <c r="O30" s="202"/>
    </row>
    <row r="31" spans="1:15" x14ac:dyDescent="0.25">
      <c r="A31" s="211">
        <f t="shared" si="0"/>
        <v>27</v>
      </c>
      <c r="B31" s="216">
        <f>SUMIFS(Calkos!$C$7:$C$2853,Calkos!$AF$7:$AF$2853,27,Calkos!$AG$7:$AG$2853,2022)</f>
        <v>0</v>
      </c>
      <c r="C31" s="202"/>
      <c r="E31" s="211">
        <f t="shared" si="1"/>
        <v>27</v>
      </c>
      <c r="F31" s="216">
        <f>SUMIFS(Calkos!$C$7:$C$2853,Calkos!$AF$7:$AF$2853,27,Calkos!$AG$7:$AG$2853,2023)</f>
        <v>0</v>
      </c>
      <c r="G31" s="202"/>
      <c r="I31" s="211">
        <f t="shared" si="2"/>
        <v>27</v>
      </c>
      <c r="J31" s="216">
        <f>SUMIFS(Calkos!$C$7:$C$2853,Calkos!$AF$7:$AF$2853,27,Calkos!$AG$7:$AG$2853,2024)</f>
        <v>0</v>
      </c>
      <c r="K31" s="202"/>
      <c r="M31" s="211">
        <f t="shared" si="3"/>
        <v>27</v>
      </c>
      <c r="N31" s="216">
        <f>SUMIFS(Calkos!$C$7:$C$2853,Calkos!$AF$7:$AF$2853,27,Calkos!$AG$7:$AG$2853,2025)</f>
        <v>0</v>
      </c>
      <c r="O31" s="202"/>
    </row>
    <row r="32" spans="1:15" x14ac:dyDescent="0.25">
      <c r="A32" s="211">
        <f t="shared" si="0"/>
        <v>28</v>
      </c>
      <c r="B32" s="216">
        <f>SUMIFS(Calkos!$C$7:$C$2853,Calkos!$AF$7:$AF$2853,28,Calkos!$AG$7:$AG$2853,2022)</f>
        <v>0</v>
      </c>
      <c r="C32" s="202"/>
      <c r="E32" s="211">
        <f t="shared" si="1"/>
        <v>28</v>
      </c>
      <c r="F32" s="216">
        <f>SUMIFS(Calkos!$C$7:$C$2853,Calkos!$AF$7:$AF$2853,28,Calkos!$AG$7:$AG$2853,2023)</f>
        <v>0</v>
      </c>
      <c r="G32" s="202"/>
      <c r="I32" s="211">
        <f t="shared" si="2"/>
        <v>28</v>
      </c>
      <c r="J32" s="216">
        <f>SUMIFS(Calkos!$C$7:$C$2853,Calkos!$AF$7:$AF$2853,28,Calkos!$AG$7:$AG$2853,2024)</f>
        <v>0</v>
      </c>
      <c r="K32" s="202"/>
      <c r="M32" s="211">
        <f t="shared" si="3"/>
        <v>28</v>
      </c>
      <c r="N32" s="216">
        <f>SUMIFS(Calkos!$C$7:$C$2853,Calkos!$AF$7:$AF$2853,28,Calkos!$AG$7:$AG$2853,2025)</f>
        <v>0</v>
      </c>
      <c r="O32" s="202"/>
    </row>
    <row r="33" spans="1:15" x14ac:dyDescent="0.25">
      <c r="A33" s="211">
        <f t="shared" si="0"/>
        <v>29</v>
      </c>
      <c r="B33" s="216">
        <f>SUMIFS(Calkos!$C$7:$C$2853,Calkos!$AF$7:$AF$2853,29,Calkos!$AG$7:$AG$2853,2022)</f>
        <v>0</v>
      </c>
      <c r="C33" s="202"/>
      <c r="E33" s="211">
        <f t="shared" si="1"/>
        <v>29</v>
      </c>
      <c r="F33" s="216">
        <f>SUMIFS(Calkos!$C$7:$C$2853,Calkos!$AF$7:$AF$2853,29,Calkos!$AG$7:$AG$2853,2023)</f>
        <v>0</v>
      </c>
      <c r="G33" s="202"/>
      <c r="I33" s="211">
        <f t="shared" si="2"/>
        <v>29</v>
      </c>
      <c r="J33" s="216">
        <f>SUMIFS(Calkos!$C$7:$C$2853,Calkos!$AF$7:$AF$2853,29,Calkos!$AG$7:$AG$2853,2024)</f>
        <v>0</v>
      </c>
      <c r="K33" s="202"/>
      <c r="M33" s="211">
        <f t="shared" si="3"/>
        <v>29</v>
      </c>
      <c r="N33" s="216">
        <f>SUMIFS(Calkos!$C$7:$C$2853,Calkos!$AF$7:$AF$2853,29,Calkos!$AG$7:$AG$2853,2025)</f>
        <v>0</v>
      </c>
      <c r="O33" s="202"/>
    </row>
    <row r="34" spans="1:15" x14ac:dyDescent="0.25">
      <c r="A34" s="211">
        <f t="shared" si="0"/>
        <v>30</v>
      </c>
      <c r="B34" s="216">
        <f>SUMIFS(Calkos!$C$7:$C$2853,Calkos!$AF$7:$AF$2853,30,Calkos!$AG$7:$AG$2853,2022)</f>
        <v>0</v>
      </c>
      <c r="C34" s="202"/>
      <c r="E34" s="211">
        <f t="shared" si="1"/>
        <v>30</v>
      </c>
      <c r="F34" s="216">
        <f>SUMIFS(Calkos!$C$7:$C$2853,Calkos!$AF$7:$AF$2853,30,Calkos!$AG$7:$AG$2853,2023)</f>
        <v>0</v>
      </c>
      <c r="G34" s="202"/>
      <c r="I34" s="211">
        <f t="shared" si="2"/>
        <v>30</v>
      </c>
      <c r="J34" s="216">
        <f>SUMIFS(Calkos!$C$7:$C$2853,Calkos!$AF$7:$AF$2853,30,Calkos!$AG$7:$AG$2853,2024)</f>
        <v>0</v>
      </c>
      <c r="K34" s="202"/>
      <c r="M34" s="211">
        <f t="shared" si="3"/>
        <v>30</v>
      </c>
      <c r="N34" s="216">
        <f>SUMIFS(Calkos!$C$7:$C$2853,Calkos!$AF$7:$AF$2853,30,Calkos!$AG$7:$AG$2853,2025)</f>
        <v>0</v>
      </c>
      <c r="O34" s="202"/>
    </row>
    <row r="35" spans="1:15" x14ac:dyDescent="0.25">
      <c r="A35" s="211">
        <f t="shared" si="0"/>
        <v>31</v>
      </c>
      <c r="B35" s="216">
        <f>SUMIFS(Calkos!$C$7:$C$2853,Calkos!$AF$7:$AF$2853,31,Calkos!$AG$7:$AG$2853,2022)</f>
        <v>0</v>
      </c>
      <c r="C35" s="202"/>
      <c r="E35" s="211">
        <f t="shared" si="1"/>
        <v>31</v>
      </c>
      <c r="F35" s="216">
        <f>SUMIFS(Calkos!$C$7:$C$2853,Calkos!$AF$7:$AF$2853,31,Calkos!$AG$7:$AG$2853,2023)</f>
        <v>0</v>
      </c>
      <c r="G35" s="202"/>
      <c r="I35" s="211">
        <f t="shared" si="2"/>
        <v>31</v>
      </c>
      <c r="J35" s="216">
        <f>SUMIFS(Calkos!$C$7:$C$2853,Calkos!$AF$7:$AF$2853,31,Calkos!$AG$7:$AG$2853,2024)</f>
        <v>0</v>
      </c>
      <c r="K35" s="202"/>
      <c r="M35" s="211">
        <f t="shared" si="3"/>
        <v>31</v>
      </c>
      <c r="N35" s="216">
        <f>SUMIFS(Calkos!$C$7:$C$2853,Calkos!$AF$7:$AF$2853,31,Calkos!$AG$7:$AG$2853,2025)</f>
        <v>0</v>
      </c>
      <c r="O35" s="202"/>
    </row>
    <row r="36" spans="1:15" x14ac:dyDescent="0.25">
      <c r="A36" s="211">
        <f t="shared" si="0"/>
        <v>32</v>
      </c>
      <c r="B36" s="216">
        <f>SUMIFS(Calkos!$C$7:$C$2853,Calkos!$AF$7:$AF$2853,32,Calkos!$AG$7:$AG$2853,2022)</f>
        <v>0</v>
      </c>
      <c r="C36" s="202"/>
      <c r="E36" s="211">
        <f t="shared" si="1"/>
        <v>32</v>
      </c>
      <c r="F36" s="216">
        <f>SUMIFS(Calkos!$C$7:$C$2853,Calkos!$AF$7:$AF$2853,32,Calkos!$AG$7:$AG$2853,2023)</f>
        <v>0</v>
      </c>
      <c r="G36" s="202"/>
      <c r="I36" s="211">
        <f t="shared" si="2"/>
        <v>32</v>
      </c>
      <c r="J36" s="216">
        <f>SUMIFS(Calkos!$C$7:$C$2853,Calkos!$AF$7:$AF$2853,32,Calkos!$AG$7:$AG$2853,2024)</f>
        <v>0</v>
      </c>
      <c r="K36" s="202"/>
      <c r="M36" s="211">
        <f t="shared" si="3"/>
        <v>32</v>
      </c>
      <c r="N36" s="216">
        <f>SUMIFS(Calkos!$C$7:$C$2853,Calkos!$AF$7:$AF$2853,32,Calkos!$AG$7:$AG$2853,2025)</f>
        <v>0</v>
      </c>
      <c r="O36" s="202"/>
    </row>
    <row r="37" spans="1:15" x14ac:dyDescent="0.25">
      <c r="A37" s="211">
        <f t="shared" si="0"/>
        <v>33</v>
      </c>
      <c r="B37" s="216">
        <f>SUMIFS(Calkos!$C$7:$C$2853,Calkos!$AF$7:$AF$2853,33,Calkos!$AG$7:$AG$2853,2022)</f>
        <v>0</v>
      </c>
      <c r="C37" s="202"/>
      <c r="E37" s="211">
        <f t="shared" si="1"/>
        <v>33</v>
      </c>
      <c r="F37" s="216">
        <f>SUMIFS(Calkos!$C$7:$C$2853,Calkos!$AF$7:$AF$2853,33,Calkos!$AG$7:$AG$2853,2023)</f>
        <v>0</v>
      </c>
      <c r="G37" s="202"/>
      <c r="I37" s="211">
        <f t="shared" si="2"/>
        <v>33</v>
      </c>
      <c r="J37" s="216">
        <f>SUMIFS(Calkos!$C$7:$C$2853,Calkos!$AF$7:$AF$2853,33,Calkos!$AG$7:$AG$2853,2024)</f>
        <v>0</v>
      </c>
      <c r="K37" s="202"/>
      <c r="M37" s="211">
        <f t="shared" si="3"/>
        <v>33</v>
      </c>
      <c r="N37" s="216">
        <f>SUMIFS(Calkos!$C$7:$C$2853,Calkos!$AF$7:$AF$2853,33,Calkos!$AG$7:$AG$2853,2025)</f>
        <v>0</v>
      </c>
      <c r="O37" s="202"/>
    </row>
    <row r="38" spans="1:15" x14ac:dyDescent="0.25">
      <c r="A38" s="211">
        <f t="shared" si="0"/>
        <v>34</v>
      </c>
      <c r="B38" s="216">
        <f>SUMIFS(Calkos!$C$7:$C$2853,Calkos!$AF$7:$AF$2853,34,Calkos!$AG$7:$AG$2853,2022)</f>
        <v>0</v>
      </c>
      <c r="C38" s="202"/>
      <c r="E38" s="211">
        <f t="shared" si="1"/>
        <v>34</v>
      </c>
      <c r="F38" s="216">
        <f>SUMIFS(Calkos!$C$7:$C$2853,Calkos!$AF$7:$AF$2853,34,Calkos!$AG$7:$AG$2853,2023)</f>
        <v>0</v>
      </c>
      <c r="G38" s="202"/>
      <c r="I38" s="211">
        <f t="shared" si="2"/>
        <v>34</v>
      </c>
      <c r="J38" s="216">
        <f>SUMIFS(Calkos!$C$7:$C$2853,Calkos!$AF$7:$AF$2853,34,Calkos!$AG$7:$AG$2853,2024)</f>
        <v>0</v>
      </c>
      <c r="K38" s="202"/>
      <c r="M38" s="211">
        <f t="shared" si="3"/>
        <v>34</v>
      </c>
      <c r="N38" s="216">
        <f>SUMIFS(Calkos!$C$7:$C$2853,Calkos!$AF$7:$AF$2853,34,Calkos!$AG$7:$AG$2853,2025)</f>
        <v>0</v>
      </c>
      <c r="O38" s="202"/>
    </row>
    <row r="39" spans="1:15" x14ac:dyDescent="0.25">
      <c r="A39" s="211">
        <f t="shared" si="0"/>
        <v>35</v>
      </c>
      <c r="B39" s="216">
        <f>SUMIFS(Calkos!$C$7:$C$2853,Calkos!$AF$7:$AF$2853,35,Calkos!$AG$7:$AG$2853,2022)</f>
        <v>0</v>
      </c>
      <c r="C39" s="202"/>
      <c r="E39" s="211">
        <f t="shared" si="1"/>
        <v>35</v>
      </c>
      <c r="F39" s="216">
        <f>SUMIFS(Calkos!$C$7:$C$2853,Calkos!$AF$7:$AF$2853,35,Calkos!$AG$7:$AG$2853,2023)</f>
        <v>0</v>
      </c>
      <c r="G39" s="202"/>
      <c r="I39" s="211">
        <f t="shared" si="2"/>
        <v>35</v>
      </c>
      <c r="J39" s="216">
        <f>SUMIFS(Calkos!$C$7:$C$2853,Calkos!$AF$7:$AF$2853,35,Calkos!$AG$7:$AG$2853,2024)</f>
        <v>0</v>
      </c>
      <c r="K39" s="202"/>
      <c r="M39" s="211">
        <f t="shared" si="3"/>
        <v>35</v>
      </c>
      <c r="N39" s="216">
        <f>SUMIFS(Calkos!$C$7:$C$2853,Calkos!$AF$7:$AF$2853,35,Calkos!$AG$7:$AG$2853,2025)</f>
        <v>0</v>
      </c>
      <c r="O39" s="202"/>
    </row>
    <row r="40" spans="1:15" x14ac:dyDescent="0.25">
      <c r="A40" s="211">
        <f t="shared" si="0"/>
        <v>36</v>
      </c>
      <c r="B40" s="216">
        <f>SUMIFS(Calkos!$C$7:$C$2853,Calkos!$AF$7:$AF$2853,36,Calkos!$AG$7:$AG$2853,2022)</f>
        <v>0</v>
      </c>
      <c r="C40" s="202"/>
      <c r="E40" s="211">
        <f t="shared" si="1"/>
        <v>36</v>
      </c>
      <c r="F40" s="216">
        <f>SUMIFS(Calkos!$C$7:$C$2853,Calkos!$AF$7:$AF$2853,36,Calkos!$AG$7:$AG$2853,2023)</f>
        <v>0</v>
      </c>
      <c r="G40" s="202"/>
      <c r="I40" s="211">
        <f t="shared" si="2"/>
        <v>36</v>
      </c>
      <c r="J40" s="216">
        <f>SUMIFS(Calkos!$C$7:$C$2853,Calkos!$AF$7:$AF$2853,36,Calkos!$AG$7:$AG$2853,2024)</f>
        <v>0</v>
      </c>
      <c r="K40" s="202"/>
      <c r="M40" s="211">
        <f t="shared" si="3"/>
        <v>36</v>
      </c>
      <c r="N40" s="216">
        <f>SUMIFS(Calkos!$C$7:$C$2853,Calkos!$AF$7:$AF$2853,36,Calkos!$AG$7:$AG$2853,2025)</f>
        <v>0</v>
      </c>
      <c r="O40" s="202"/>
    </row>
    <row r="41" spans="1:15" x14ac:dyDescent="0.25">
      <c r="A41" s="211">
        <f t="shared" si="0"/>
        <v>37</v>
      </c>
      <c r="B41" s="216">
        <f>SUMIFS(Calkos!$C$7:$C$2853,Calkos!$AF$7:$AF$2853,37,Calkos!$AG$7:$AG$2853,2022)</f>
        <v>0</v>
      </c>
      <c r="C41" s="202"/>
      <c r="E41" s="211">
        <f t="shared" si="1"/>
        <v>37</v>
      </c>
      <c r="F41" s="216">
        <f>SUMIFS(Calkos!$C$7:$C$2853,Calkos!$AF$7:$AF$2853,37,Calkos!$AG$7:$AG$2853,2023)</f>
        <v>0</v>
      </c>
      <c r="G41" s="202"/>
      <c r="I41" s="211">
        <f t="shared" si="2"/>
        <v>37</v>
      </c>
      <c r="J41" s="216">
        <f>SUMIFS(Calkos!$C$7:$C$2853,Calkos!$AF$7:$AF$2853,37,Calkos!$AG$7:$AG$2853,2024)</f>
        <v>0</v>
      </c>
      <c r="K41" s="202"/>
      <c r="M41" s="211">
        <f t="shared" si="3"/>
        <v>37</v>
      </c>
      <c r="N41" s="216">
        <f>SUMIFS(Calkos!$C$7:$C$2853,Calkos!$AF$7:$AF$2853,37,Calkos!$AG$7:$AG$2853,2025)</f>
        <v>0</v>
      </c>
      <c r="O41" s="202"/>
    </row>
    <row r="42" spans="1:15" x14ac:dyDescent="0.25">
      <c r="A42" s="211">
        <f t="shared" si="0"/>
        <v>38</v>
      </c>
      <c r="B42" s="216">
        <f>SUMIFS(Calkos!$C$7:$C$2853,Calkos!$AF$7:$AF$2853,38,Calkos!$AG$7:$AG$2853,2022)</f>
        <v>0</v>
      </c>
      <c r="C42" s="202"/>
      <c r="E42" s="211">
        <f t="shared" si="1"/>
        <v>38</v>
      </c>
      <c r="F42" s="216">
        <f>SUMIFS(Calkos!$C$7:$C$2853,Calkos!$AF$7:$AF$2853,38,Calkos!$AG$7:$AG$2853,2023)</f>
        <v>0</v>
      </c>
      <c r="G42" s="202"/>
      <c r="I42" s="211">
        <f t="shared" si="2"/>
        <v>38</v>
      </c>
      <c r="J42" s="216">
        <f>SUMIFS(Calkos!$C$7:$C$2853,Calkos!$AF$7:$AF$2853,38,Calkos!$AG$7:$AG$2853,2024)</f>
        <v>0</v>
      </c>
      <c r="K42" s="202"/>
      <c r="M42" s="211">
        <f t="shared" si="3"/>
        <v>38</v>
      </c>
      <c r="N42" s="216">
        <f>SUMIFS(Calkos!$C$7:$C$2853,Calkos!$AF$7:$AF$2853,38,Calkos!$AG$7:$AG$2853,2025)</f>
        <v>0</v>
      </c>
      <c r="O42" s="202"/>
    </row>
    <row r="43" spans="1:15" x14ac:dyDescent="0.25">
      <c r="A43" s="211">
        <f t="shared" si="0"/>
        <v>39</v>
      </c>
      <c r="B43" s="216">
        <f>SUMIFS(Calkos!$C$7:$C$2853,Calkos!$AF$7:$AF$2853,39,Calkos!$AG$7:$AG$2853,2022)</f>
        <v>0</v>
      </c>
      <c r="C43" s="202"/>
      <c r="E43" s="211">
        <f t="shared" si="1"/>
        <v>39</v>
      </c>
      <c r="F43" s="216">
        <f>SUMIFS(Calkos!$C$7:$C$2853,Calkos!$AF$7:$AF$2853,39,Calkos!$AG$7:$AG$2853,2023)</f>
        <v>0</v>
      </c>
      <c r="G43" s="202"/>
      <c r="I43" s="211">
        <f t="shared" si="2"/>
        <v>39</v>
      </c>
      <c r="J43" s="216">
        <f>SUMIFS(Calkos!$C$7:$C$2853,Calkos!$AF$7:$AF$2853,39,Calkos!$AG$7:$AG$2853,2024)</f>
        <v>0</v>
      </c>
      <c r="K43" s="202"/>
      <c r="M43" s="211">
        <f t="shared" si="3"/>
        <v>39</v>
      </c>
      <c r="N43" s="216">
        <f>SUMIFS(Calkos!$C$7:$C$2853,Calkos!$AF$7:$AF$2853,39,Calkos!$AG$7:$AG$2853,2025)</f>
        <v>0</v>
      </c>
      <c r="O43" s="202"/>
    </row>
    <row r="44" spans="1:15" x14ac:dyDescent="0.25">
      <c r="A44" s="211">
        <f t="shared" si="0"/>
        <v>40</v>
      </c>
      <c r="B44" s="216">
        <f>SUMIFS(Calkos!$C$7:$C$2853,Calkos!$AF$7:$AF$2853,40,Calkos!$AG$7:$AG$2853,2022)</f>
        <v>0</v>
      </c>
      <c r="C44" s="202"/>
      <c r="E44" s="211">
        <f t="shared" si="1"/>
        <v>40</v>
      </c>
      <c r="F44" s="216">
        <f>SUMIFS(Calkos!$C$7:$C$2853,Calkos!$AF$7:$AF$2853,40,Calkos!$AG$7:$AG$2853,2023)</f>
        <v>0</v>
      </c>
      <c r="G44" s="202"/>
      <c r="I44" s="211">
        <f t="shared" si="2"/>
        <v>40</v>
      </c>
      <c r="J44" s="216">
        <f>SUMIFS(Calkos!$C$7:$C$2853,Calkos!$AF$7:$AF$2853,40,Calkos!$AG$7:$AG$2853,2024)</f>
        <v>0</v>
      </c>
      <c r="K44" s="202"/>
      <c r="M44" s="211">
        <f t="shared" si="3"/>
        <v>40</v>
      </c>
      <c r="N44" s="216">
        <f>SUMIFS(Calkos!$C$7:$C$2853,Calkos!$AF$7:$AF$2853,40,Calkos!$AG$7:$AG$2853,2025)</f>
        <v>0</v>
      </c>
      <c r="O44" s="202"/>
    </row>
    <row r="45" spans="1:15" x14ac:dyDescent="0.25">
      <c r="A45" s="211">
        <f t="shared" si="0"/>
        <v>41</v>
      </c>
      <c r="B45" s="216">
        <f>SUMIFS(Calkos!$C$7:$C$2853,Calkos!$AF$7:$AF$2853,41,Calkos!$AG$7:$AG$2853,2022)</f>
        <v>0</v>
      </c>
      <c r="C45" s="202"/>
      <c r="E45" s="211">
        <f t="shared" si="1"/>
        <v>41</v>
      </c>
      <c r="F45" s="216">
        <f>SUMIFS(Calkos!$C$7:$C$2853,Calkos!$AF$7:$AF$2853,41,Calkos!$AG$7:$AG$2853,2023)</f>
        <v>0</v>
      </c>
      <c r="G45" s="202"/>
      <c r="I45" s="211">
        <f t="shared" si="2"/>
        <v>41</v>
      </c>
      <c r="J45" s="216">
        <f>SUMIFS(Calkos!$C$7:$C$2853,Calkos!$AF$7:$AF$2853,41,Calkos!$AG$7:$AG$2853,2024)</f>
        <v>0</v>
      </c>
      <c r="K45" s="202"/>
      <c r="M45" s="211">
        <f t="shared" si="3"/>
        <v>41</v>
      </c>
      <c r="N45" s="216">
        <f>SUMIFS(Calkos!$C$7:$C$2853,Calkos!$AF$7:$AF$2853,41,Calkos!$AG$7:$AG$2853,2025)</f>
        <v>0</v>
      </c>
      <c r="O45" s="202"/>
    </row>
    <row r="46" spans="1:15" x14ac:dyDescent="0.25">
      <c r="A46" s="211">
        <f t="shared" si="0"/>
        <v>42</v>
      </c>
      <c r="B46" s="216">
        <f>SUMIFS(Calkos!$C$7:$C$2853,Calkos!$AF$7:$AF$2853,42,Calkos!$AG$7:$AG$2853,2022)</f>
        <v>0</v>
      </c>
      <c r="C46" s="202"/>
      <c r="E46" s="211">
        <f t="shared" si="1"/>
        <v>42</v>
      </c>
      <c r="F46" s="216">
        <f>SUMIFS(Calkos!$C$7:$C$2853,Calkos!$AF$7:$AF$2853,42,Calkos!$AG$7:$AG$2853,2023)</f>
        <v>0</v>
      </c>
      <c r="G46" s="202"/>
      <c r="I46" s="211">
        <f t="shared" si="2"/>
        <v>42</v>
      </c>
      <c r="J46" s="216">
        <f>SUMIFS(Calkos!$C$7:$C$2853,Calkos!$AF$7:$AF$2853,42,Calkos!$AG$7:$AG$2853,2024)</f>
        <v>0</v>
      </c>
      <c r="K46" s="202"/>
      <c r="M46" s="211">
        <f t="shared" si="3"/>
        <v>42</v>
      </c>
      <c r="N46" s="216">
        <f>SUMIFS(Calkos!$C$7:$C$2853,Calkos!$AF$7:$AF$2853,42,Calkos!$AG$7:$AG$2853,2025)</f>
        <v>0</v>
      </c>
      <c r="O46" s="202"/>
    </row>
    <row r="47" spans="1:15" x14ac:dyDescent="0.25">
      <c r="A47" s="211">
        <f t="shared" si="0"/>
        <v>43</v>
      </c>
      <c r="B47" s="216">
        <f>SUMIFS(Calkos!$C$7:$C$2853,Calkos!$AF$7:$AF$2853,43,Calkos!$AG$7:$AG$2853,2022)</f>
        <v>0</v>
      </c>
      <c r="C47" s="202"/>
      <c r="E47" s="211">
        <f t="shared" si="1"/>
        <v>43</v>
      </c>
      <c r="F47" s="216">
        <f>SUMIFS(Calkos!$C$7:$C$2853,Calkos!$AF$7:$AF$2853,43,Calkos!$AG$7:$AG$2853,2023)</f>
        <v>0</v>
      </c>
      <c r="G47" s="202"/>
      <c r="I47" s="211">
        <f t="shared" si="2"/>
        <v>43</v>
      </c>
      <c r="J47" s="216">
        <f>SUMIFS(Calkos!$C$7:$C$2853,Calkos!$AF$7:$AF$2853,43,Calkos!$AG$7:$AG$2853,2024)</f>
        <v>0</v>
      </c>
      <c r="K47" s="202"/>
      <c r="M47" s="211">
        <f t="shared" si="3"/>
        <v>43</v>
      </c>
      <c r="N47" s="216">
        <f>SUMIFS(Calkos!$C$7:$C$2853,Calkos!$AF$7:$AF$2853,43,Calkos!$AG$7:$AG$2853,2025)</f>
        <v>0</v>
      </c>
      <c r="O47" s="202"/>
    </row>
    <row r="48" spans="1:15" x14ac:dyDescent="0.25">
      <c r="A48" s="211">
        <f t="shared" si="0"/>
        <v>44</v>
      </c>
      <c r="B48" s="216">
        <f>SUMIFS(Calkos!$C$7:$C$2853,Calkos!$AF$7:$AF$2853,44,Calkos!$AG$7:$AG$2853,2022)</f>
        <v>0</v>
      </c>
      <c r="C48" s="202"/>
      <c r="E48" s="211">
        <f t="shared" si="1"/>
        <v>44</v>
      </c>
      <c r="F48" s="216">
        <f>SUMIFS(Calkos!$C$7:$C$2853,Calkos!$AF$7:$AF$2853,44,Calkos!$AG$7:$AG$2853,2023)</f>
        <v>0</v>
      </c>
      <c r="G48" s="202"/>
      <c r="I48" s="211">
        <f t="shared" si="2"/>
        <v>44</v>
      </c>
      <c r="J48" s="216">
        <f>SUMIFS(Calkos!$C$7:$C$2853,Calkos!$AF$7:$AF$2853,44,Calkos!$AG$7:$AG$2853,2024)</f>
        <v>0</v>
      </c>
      <c r="K48" s="202"/>
      <c r="M48" s="211">
        <f t="shared" si="3"/>
        <v>44</v>
      </c>
      <c r="N48" s="216">
        <f>SUMIFS(Calkos!$C$7:$C$2853,Calkos!$AF$7:$AF$2853,44,Calkos!$AG$7:$AG$2853,2025)</f>
        <v>0</v>
      </c>
      <c r="O48" s="202"/>
    </row>
    <row r="49" spans="1:15" x14ac:dyDescent="0.25">
      <c r="A49" s="211">
        <f t="shared" si="0"/>
        <v>45</v>
      </c>
      <c r="B49" s="216">
        <f>SUMIFS(Calkos!$C$7:$C$2853,Calkos!$AF$7:$AF$2853,45,Calkos!$AG$7:$AG$2853,2022)</f>
        <v>0</v>
      </c>
      <c r="C49" s="202"/>
      <c r="E49" s="211">
        <f t="shared" si="1"/>
        <v>45</v>
      </c>
      <c r="F49" s="216">
        <f>SUMIFS(Calkos!$C$7:$C$2853,Calkos!$AF$7:$AF$2853,45,Calkos!$AG$7:$AG$2853,2023)</f>
        <v>0</v>
      </c>
      <c r="G49" s="202"/>
      <c r="I49" s="211">
        <f t="shared" si="2"/>
        <v>45</v>
      </c>
      <c r="J49" s="216">
        <f>SUMIFS(Calkos!$C$7:$C$2853,Calkos!$AF$7:$AF$2853,45,Calkos!$AG$7:$AG$2853,2024)</f>
        <v>0</v>
      </c>
      <c r="K49" s="202"/>
      <c r="M49" s="211">
        <f t="shared" si="3"/>
        <v>45</v>
      </c>
      <c r="N49" s="216">
        <f>SUMIFS(Calkos!$C$7:$C$2853,Calkos!$AF$7:$AF$2853,45,Calkos!$AG$7:$AG$2853,2025)</f>
        <v>0</v>
      </c>
      <c r="O49" s="202"/>
    </row>
    <row r="50" spans="1:15" x14ac:dyDescent="0.25">
      <c r="A50" s="211">
        <f t="shared" si="0"/>
        <v>46</v>
      </c>
      <c r="B50" s="216">
        <f>SUMIFS(Calkos!$C$7:$C$2853,Calkos!$AF$7:$AF$2853,46,Calkos!$AG$7:$AG$2853,2022)</f>
        <v>0</v>
      </c>
      <c r="C50" s="202"/>
      <c r="E50" s="211">
        <f t="shared" si="1"/>
        <v>46</v>
      </c>
      <c r="F50" s="216">
        <f>SUMIFS(Calkos!$C$7:$C$2853,Calkos!$AF$7:$AF$2853,46,Calkos!$AG$7:$AG$2853,2023)</f>
        <v>0</v>
      </c>
      <c r="G50" s="202"/>
      <c r="I50" s="211">
        <f t="shared" si="2"/>
        <v>46</v>
      </c>
      <c r="J50" s="216">
        <f>SUMIFS(Calkos!$C$7:$C$2853,Calkos!$AF$7:$AF$2853,46,Calkos!$AG$7:$AG$2853,2024)</f>
        <v>0</v>
      </c>
      <c r="K50" s="202"/>
      <c r="M50" s="211">
        <f t="shared" si="3"/>
        <v>46</v>
      </c>
      <c r="N50" s="216">
        <f>SUMIFS(Calkos!$C$7:$C$2853,Calkos!$AF$7:$AF$2853,46,Calkos!$AG$7:$AG$2853,2025)</f>
        <v>0</v>
      </c>
      <c r="O50" s="202"/>
    </row>
    <row r="51" spans="1:15" x14ac:dyDescent="0.25">
      <c r="A51" s="211">
        <f t="shared" si="0"/>
        <v>47</v>
      </c>
      <c r="B51" s="216">
        <f>SUMIFS(Calkos!$C$7:$C$2853,Calkos!$AF$7:$AF$2853,47,Calkos!$AG$7:$AG$2853,2022)</f>
        <v>0</v>
      </c>
      <c r="C51" s="202"/>
      <c r="E51" s="211">
        <f t="shared" si="1"/>
        <v>47</v>
      </c>
      <c r="F51" s="216">
        <f>SUMIFS(Calkos!$C$7:$C$2853,Calkos!$AF$7:$AF$2853,47,Calkos!$AG$7:$AG$2853,2023)</f>
        <v>0</v>
      </c>
      <c r="G51" s="202"/>
      <c r="I51" s="211">
        <f t="shared" si="2"/>
        <v>47</v>
      </c>
      <c r="J51" s="216">
        <f>SUMIFS(Calkos!$C$7:$C$2853,Calkos!$AF$7:$AF$2853,47,Calkos!$AG$7:$AG$2853,2024)</f>
        <v>0</v>
      </c>
      <c r="K51" s="202"/>
      <c r="M51" s="211">
        <f t="shared" si="3"/>
        <v>47</v>
      </c>
      <c r="N51" s="216">
        <f>SUMIFS(Calkos!$C$7:$C$2853,Calkos!$AF$7:$AF$2853,47,Calkos!$AG$7:$AG$2853,2025)</f>
        <v>0</v>
      </c>
      <c r="O51" s="202"/>
    </row>
    <row r="52" spans="1:15" x14ac:dyDescent="0.25">
      <c r="A52" s="211">
        <f t="shared" si="0"/>
        <v>48</v>
      </c>
      <c r="B52" s="216">
        <f>SUMIFS(Calkos!$C$7:$C$2853,Calkos!$AF$7:$AF$2853,48,Calkos!$AG$7:$AG$2853,2022)</f>
        <v>0</v>
      </c>
      <c r="C52" s="202"/>
      <c r="E52" s="211">
        <f t="shared" si="1"/>
        <v>48</v>
      </c>
      <c r="F52" s="216">
        <f>SUMIFS(Calkos!$C$7:$C$2853,Calkos!$AF$7:$AF$2853,48,Calkos!$AG$7:$AG$2853,2023)</f>
        <v>0</v>
      </c>
      <c r="G52" s="202"/>
      <c r="I52" s="211">
        <f t="shared" si="2"/>
        <v>48</v>
      </c>
      <c r="J52" s="216">
        <f>SUMIFS(Calkos!$C$7:$C$2853,Calkos!$AF$7:$AF$2853,48,Calkos!$AG$7:$AG$2853,2024)</f>
        <v>0</v>
      </c>
      <c r="K52" s="202"/>
      <c r="M52" s="211">
        <f t="shared" si="3"/>
        <v>48</v>
      </c>
      <c r="N52" s="216">
        <f>SUMIFS(Calkos!$C$7:$C$2853,Calkos!$AF$7:$AF$2853,48,Calkos!$AG$7:$AG$2853,2025)</f>
        <v>0</v>
      </c>
      <c r="O52" s="202"/>
    </row>
    <row r="53" spans="1:15" x14ac:dyDescent="0.25">
      <c r="A53" s="211">
        <f t="shared" si="0"/>
        <v>49</v>
      </c>
      <c r="B53" s="216">
        <f>SUMIFS(Calkos!$C$7:$C$2853,Calkos!$AF$7:$AF$2853,49,Calkos!$AG$7:$AG$2853,2022)</f>
        <v>0</v>
      </c>
      <c r="C53" s="202"/>
      <c r="E53" s="211">
        <f t="shared" si="1"/>
        <v>49</v>
      </c>
      <c r="F53" s="216">
        <f>SUMIFS(Calkos!$C$7:$C$2853,Calkos!$AF$7:$AF$2853,49,Calkos!$AG$7:$AG$2853,2023)</f>
        <v>0</v>
      </c>
      <c r="G53" s="202"/>
      <c r="I53" s="211">
        <f t="shared" si="2"/>
        <v>49</v>
      </c>
      <c r="J53" s="216">
        <f>SUMIFS(Calkos!$C$7:$C$2853,Calkos!$AF$7:$AF$2853,49,Calkos!$AG$7:$AG$2853,2024)</f>
        <v>0</v>
      </c>
      <c r="K53" s="202"/>
      <c r="M53" s="211">
        <f t="shared" si="3"/>
        <v>49</v>
      </c>
      <c r="N53" s="216">
        <f>SUMIFS(Calkos!$C$7:$C$2853,Calkos!$AF$7:$AF$2853,49,Calkos!$AG$7:$AG$2853,2025)</f>
        <v>0</v>
      </c>
      <c r="O53" s="202"/>
    </row>
    <row r="54" spans="1:15" x14ac:dyDescent="0.25">
      <c r="A54" s="211">
        <f t="shared" si="0"/>
        <v>50</v>
      </c>
      <c r="B54" s="216">
        <f>SUMIFS(Calkos!$C$7:$C$2853,Calkos!$AF$7:$AF$2853,50,Calkos!$AG$7:$AG$2853,2022)</f>
        <v>0</v>
      </c>
      <c r="C54" s="202"/>
      <c r="E54" s="211">
        <f t="shared" si="1"/>
        <v>50</v>
      </c>
      <c r="F54" s="216">
        <f>SUMIFS(Calkos!$C$7:$C$2853,Calkos!$AF$7:$AF$2853,50,Calkos!$AG$7:$AG$2853,2023)</f>
        <v>0</v>
      </c>
      <c r="G54" s="202"/>
      <c r="I54" s="211">
        <f t="shared" si="2"/>
        <v>50</v>
      </c>
      <c r="J54" s="216">
        <f>SUMIFS(Calkos!$C$7:$C$2853,Calkos!$AF$7:$AF$2853,50,Calkos!$AG$7:$AG$2853,2024)</f>
        <v>0</v>
      </c>
      <c r="K54" s="202"/>
      <c r="M54" s="211">
        <f t="shared" si="3"/>
        <v>50</v>
      </c>
      <c r="N54" s="216">
        <f>SUMIFS(Calkos!$C$7:$C$2853,Calkos!$AF$7:$AF$2853,50,Calkos!$AG$7:$AG$2853,2025)</f>
        <v>0</v>
      </c>
      <c r="O54" s="202"/>
    </row>
    <row r="55" spans="1:15" x14ac:dyDescent="0.25">
      <c r="A55" s="211">
        <f t="shared" si="0"/>
        <v>51</v>
      </c>
      <c r="B55" s="216">
        <f>SUMIFS(Calkos!$C$7:$C$2853,Calkos!$AF$7:$AF$2853,51,Calkos!$AG$7:$AG$2853,2022)</f>
        <v>0</v>
      </c>
      <c r="C55" s="202"/>
      <c r="E55" s="211">
        <f t="shared" si="1"/>
        <v>51</v>
      </c>
      <c r="F55" s="216">
        <f>SUMIFS(Calkos!$C$7:$C$2853,Calkos!$AF$7:$AF$2853,51,Calkos!$AG$7:$AG$2853,2023)</f>
        <v>0</v>
      </c>
      <c r="G55" s="202"/>
      <c r="I55" s="211">
        <f t="shared" si="2"/>
        <v>51</v>
      </c>
      <c r="J55" s="216">
        <f>SUMIFS(Calkos!$C$7:$C$2853,Calkos!$AF$7:$AF$2853,51,Calkos!$AG$7:$AG$2853,2024)</f>
        <v>0</v>
      </c>
      <c r="K55" s="202"/>
      <c r="M55" s="211">
        <f t="shared" si="3"/>
        <v>51</v>
      </c>
      <c r="N55" s="216">
        <f>SUMIFS(Calkos!$C$7:$C$2853,Calkos!$AF$7:$AF$2853,51,Calkos!$AG$7:$AG$2853,2025)</f>
        <v>0</v>
      </c>
      <c r="O55" s="202"/>
    </row>
    <row r="56" spans="1:15" x14ac:dyDescent="0.25">
      <c r="A56" s="211">
        <f t="shared" si="0"/>
        <v>52</v>
      </c>
      <c r="B56" s="216">
        <f>SUMIFS(Calkos!$C$7:$C$2853,Calkos!$AF$7:$AF$2853,52,Calkos!$AG$7:$AG$2853,2022)</f>
        <v>0</v>
      </c>
      <c r="C56" s="202"/>
      <c r="E56" s="211">
        <f t="shared" si="1"/>
        <v>52</v>
      </c>
      <c r="F56" s="216">
        <f>SUMIFS(Calkos!$C$7:$C$2853,Calkos!$AF$7:$AF$2853,52,Calkos!$AG$7:$AG$2853,2023)</f>
        <v>0</v>
      </c>
      <c r="G56" s="202"/>
      <c r="I56" s="211">
        <f t="shared" si="2"/>
        <v>52</v>
      </c>
      <c r="J56" s="216">
        <f>SUMIFS(Calkos!$C$7:$C$2853,Calkos!$AF$7:$AF$2853,52,Calkos!$AG$7:$AG$2853,2024)</f>
        <v>0</v>
      </c>
      <c r="K56" s="202"/>
      <c r="M56" s="211">
        <f t="shared" si="3"/>
        <v>52</v>
      </c>
      <c r="N56" s="216">
        <f>SUMIFS(Calkos!$C$7:$C$2853,Calkos!$AF$7:$AF$2853,52,Calkos!$AG$7:$AG$2853,2025)</f>
        <v>0</v>
      </c>
      <c r="O56" s="202"/>
    </row>
    <row r="57" spans="1:15" ht="15.75" thickBot="1" x14ac:dyDescent="0.3">
      <c r="A57" s="212">
        <f t="shared" si="0"/>
        <v>53</v>
      </c>
      <c r="B57" s="217">
        <f>SUMIFS(Calkos!$C$7:$C$2853,Calkos!$AF$7:$AF$2853,53,Calkos!$AG$7:$AG$2853,2022)</f>
        <v>0</v>
      </c>
      <c r="C57" s="218"/>
      <c r="E57" s="212">
        <f t="shared" si="1"/>
        <v>53</v>
      </c>
      <c r="F57" s="217">
        <f>SUMIFS(Calkos!$C$7:$C$2853,Calkos!$AF$7:$AF$2853,53,Calkos!$AG$7:$AG$2853,2023)</f>
        <v>0</v>
      </c>
      <c r="G57" s="218"/>
      <c r="I57" s="212">
        <f t="shared" si="2"/>
        <v>53</v>
      </c>
      <c r="J57" s="217">
        <f>SUMIFS(Calkos!$C$7:$C$2853,Calkos!$AF$7:$AF$2853,53,Calkos!$AG$7:$AG$2853,2024)</f>
        <v>0</v>
      </c>
      <c r="K57" s="218"/>
      <c r="M57" s="212">
        <f t="shared" si="3"/>
        <v>53</v>
      </c>
      <c r="N57" s="217">
        <f>SUMIFS(Calkos!$C$7:$C$2853,Calkos!$AF$7:$AF$2853,53,Calkos!$AG$7:$AG$2853,2025)</f>
        <v>0</v>
      </c>
      <c r="O57" s="218"/>
    </row>
    <row r="58" spans="1:15" ht="15.75" thickBot="1" x14ac:dyDescent="0.3">
      <c r="B58" s="209">
        <f>SUM(B5:B57)</f>
        <v>0</v>
      </c>
      <c r="F58" s="209">
        <f>SUM(F5:F57)</f>
        <v>0</v>
      </c>
      <c r="J58" s="209">
        <f>SUM(J5:J57)</f>
        <v>0</v>
      </c>
      <c r="N58" s="209">
        <f>SUM(N5:N57)</f>
        <v>0</v>
      </c>
    </row>
    <row r="62" spans="1:15" hidden="1" x14ac:dyDescent="0.25">
      <c r="A62" t="s">
        <v>245</v>
      </c>
      <c r="B62" t="s">
        <v>246</v>
      </c>
      <c r="C62" t="s">
        <v>247</v>
      </c>
    </row>
    <row r="63" spans="1:15" hidden="1" x14ac:dyDescent="0.25">
      <c r="A63">
        <f>SUMIF(Calkos!V7:V2853,"",Calkos!C7:C2853)</f>
        <v>15107.380000000001</v>
      </c>
      <c r="B63" s="153">
        <f>+Calkos!C2854</f>
        <v>45637.380000000012</v>
      </c>
      <c r="C63" s="153">
        <f>+B63-A63</f>
        <v>30530.000000000011</v>
      </c>
      <c r="E63" s="153">
        <f>+B58+F58</f>
        <v>0</v>
      </c>
    </row>
    <row r="65" spans="1:1" x14ac:dyDescent="0.25">
      <c r="A65" s="153"/>
    </row>
  </sheetData>
  <mergeCells count="5">
    <mergeCell ref="A3:C3"/>
    <mergeCell ref="A1:C1"/>
    <mergeCell ref="E3:G3"/>
    <mergeCell ref="I3:K3"/>
    <mergeCell ref="M3:O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5:C52"/>
  <sheetViews>
    <sheetView topLeftCell="A4" workbookViewId="0">
      <selection activeCell="C12" sqref="C12"/>
    </sheetView>
  </sheetViews>
  <sheetFormatPr defaultRowHeight="15" x14ac:dyDescent="0.25"/>
  <cols>
    <col min="1" max="3" width="15.85546875" customWidth="1"/>
    <col min="4" max="4" width="11.42578125" customWidth="1"/>
    <col min="7" max="7" width="9.42578125" bestFit="1" customWidth="1"/>
  </cols>
  <sheetData>
    <row r="5" spans="1:3" ht="19.5" thickBot="1" x14ac:dyDescent="0.35">
      <c r="A5" s="190"/>
      <c r="B5" s="394">
        <v>2026</v>
      </c>
      <c r="C5" s="394"/>
    </row>
    <row r="6" spans="1:3" ht="16.5" thickBot="1" x14ac:dyDescent="0.3">
      <c r="A6" s="191"/>
      <c r="B6" s="395" t="s">
        <v>239</v>
      </c>
      <c r="C6" s="396"/>
    </row>
    <row r="7" spans="1:3" ht="16.5" thickBot="1" x14ac:dyDescent="0.3">
      <c r="A7" s="192" t="s">
        <v>198</v>
      </c>
      <c r="B7" s="193" t="s">
        <v>240</v>
      </c>
      <c r="C7" s="194" t="s">
        <v>38</v>
      </c>
    </row>
    <row r="8" spans="1:3" x14ac:dyDescent="0.25">
      <c r="A8" s="197" t="s">
        <v>308</v>
      </c>
      <c r="B8" s="198">
        <f>SUMIFS(Calkos!U$7:U$2853,Calkos!$AN$7:$AN$2853,1,Calkos!$AO$7:$AO$2853,2026)</f>
        <v>0</v>
      </c>
      <c r="C8" s="199">
        <f>SUMIFS(Calkos!C$7:C$2853,Calkos!$AN$7:$AN$2853,1,Calkos!$AO$7:$AO$2853,2026)</f>
        <v>0</v>
      </c>
    </row>
    <row r="9" spans="1:3" x14ac:dyDescent="0.25">
      <c r="A9" s="200" t="s">
        <v>309</v>
      </c>
      <c r="B9" s="201">
        <f>SUMIFS(Calkos!U$7:U$2853,Calkos!$AN$7:$AN$2853,2,Calkos!$AO$7:$AO$2853,2026)</f>
        <v>0</v>
      </c>
      <c r="C9" s="202">
        <f>SUMIFS(Calkos!C$7:C$2853,Calkos!$AN$7:$AN$2853,2,Calkos!$AO$7:$AO$2853,2026)</f>
        <v>0</v>
      </c>
    </row>
    <row r="10" spans="1:3" x14ac:dyDescent="0.25">
      <c r="A10" s="200" t="s">
        <v>310</v>
      </c>
      <c r="B10" s="201">
        <f>SUMIFS(Calkos!U$7:U$2853,Calkos!$AN$7:$AN$2853,3,Calkos!$AO$7:$AO$2853,2026)</f>
        <v>0</v>
      </c>
      <c r="C10" s="202">
        <f>SUMIFS(Calkos!C$7:C$2853,Calkos!$AN$7:$AN$2853,3,Calkos!$AO$7:$AO$2853,2026)</f>
        <v>0</v>
      </c>
    </row>
    <row r="11" spans="1:3" x14ac:dyDescent="0.25">
      <c r="A11" s="200" t="s">
        <v>311</v>
      </c>
      <c r="B11" s="201">
        <f>SUMIFS(Calkos!U$7:U$2853,Calkos!$AN$7:$AN$2853,4,Calkos!$AO$7:$AO$2853,2026)</f>
        <v>192.5</v>
      </c>
      <c r="C11" s="202">
        <f>SUMIFS(Calkos!C$7:C$2853,Calkos!$AN$7:$AN$2853,4,Calkos!$AO$7:$AO$2853,2026)</f>
        <v>500</v>
      </c>
    </row>
    <row r="12" spans="1:3" x14ac:dyDescent="0.25">
      <c r="A12" s="200" t="s">
        <v>312</v>
      </c>
      <c r="B12" s="201">
        <f>SUMIFS(Calkos!U$7:U$2853,Calkos!$AN$7:$AN$2853,5,Calkos!$AO$7:$AO$2853,2026)</f>
        <v>4119.2999999999993</v>
      </c>
      <c r="C12" s="202">
        <f>SUMIFS(Calkos!C$7:C$2853,Calkos!$AN$7:$AN$2853,5,Calkos!$AO$7:$AO$2853,2026)</f>
        <v>13910</v>
      </c>
    </row>
    <row r="13" spans="1:3" x14ac:dyDescent="0.25">
      <c r="A13" s="200" t="s">
        <v>313</v>
      </c>
      <c r="B13" s="201">
        <f>SUMIFS(Calkos!U$7:U$2853,Calkos!$AN$7:$AN$2853,6,Calkos!$AO$7:$AO$2853,2026)</f>
        <v>4120.8500000000004</v>
      </c>
      <c r="C13" s="202">
        <f>SUMIFS(Calkos!C$7:C$2853,Calkos!$AN$7:$AN$2853,6,Calkos!$AO$7:$AO$2853,2026)</f>
        <v>11960</v>
      </c>
    </row>
    <row r="14" spans="1:3" x14ac:dyDescent="0.25">
      <c r="A14" s="200" t="s">
        <v>314</v>
      </c>
      <c r="B14" s="201">
        <f>SUMIFS(Calkos!U$7:U$2853,Calkos!$AN$7:$AN$2853,7,Calkos!$AO$7:$AO$2853,2026)</f>
        <v>487.5</v>
      </c>
      <c r="C14" s="202">
        <f>SUMIFS(Calkos!C$7:C$2853,Calkos!$AN$7:$AN$2853,7,Calkos!$AO$7:$AO$2853,2026)</f>
        <v>1500</v>
      </c>
    </row>
    <row r="15" spans="1:3" x14ac:dyDescent="0.25">
      <c r="A15" s="200" t="s">
        <v>315</v>
      </c>
      <c r="B15" s="201">
        <f>SUMIFS(Calkos!U$7:U$2853,Calkos!$AN$7:$AN$2853,8,Calkos!$AO$7:$AO$2853,2026)</f>
        <v>764.4</v>
      </c>
      <c r="C15" s="202">
        <f>SUMIFS(Calkos!C$7:C$2853,Calkos!$AN$7:$AN$2853,8,Calkos!$AO$7:$AO$2853,2026)</f>
        <v>2160</v>
      </c>
    </row>
    <row r="16" spans="1:3" x14ac:dyDescent="0.25">
      <c r="A16" s="200" t="s">
        <v>316</v>
      </c>
      <c r="B16" s="201">
        <f>SUMIFS(Calkos!U$7:U$2853,Calkos!$AN$7:$AN$2853,9,Calkos!$AO$7:$AO$2853,2026)</f>
        <v>0</v>
      </c>
      <c r="C16" s="202">
        <f>SUMIFS(Calkos!C$7:C$2853,Calkos!$AN$7:$AN$2853,9,Calkos!$AO$7:$AO$2853,2026)</f>
        <v>0</v>
      </c>
    </row>
    <row r="17" spans="1:3" x14ac:dyDescent="0.25">
      <c r="A17" s="200" t="s">
        <v>317</v>
      </c>
      <c r="B17" s="201">
        <f>SUMIFS(Calkos!U$7:U$2853,Calkos!$AN$7:$AN$2853,10,Calkos!$AO$7:$AO$2853,2026)</f>
        <v>192.5</v>
      </c>
      <c r="C17" s="202">
        <f>SUMIFS(Calkos!C$7:C$2853,Calkos!$AN$7:$AN$2853,10,Calkos!$AO$7:$AO$2853,2026)</f>
        <v>500</v>
      </c>
    </row>
    <row r="18" spans="1:3" x14ac:dyDescent="0.25">
      <c r="A18" s="200" t="s">
        <v>318</v>
      </c>
      <c r="B18" s="201">
        <f>SUMIFS(Calkos!U$7:U$2853,Calkos!$AN$7:$AN$2853,11,Calkos!$AO$7:$AO$2853,2026)</f>
        <v>0</v>
      </c>
      <c r="C18" s="202">
        <f>SUMIFS(Calkos!C$7:C$2853,Calkos!$AN$7:$AN$2853,11,Calkos!$AO$7:$AO$2853,2026)</f>
        <v>0</v>
      </c>
    </row>
    <row r="19" spans="1:3" ht="15.75" thickBot="1" x14ac:dyDescent="0.3">
      <c r="A19" s="223" t="s">
        <v>319</v>
      </c>
      <c r="B19" s="204">
        <f>SUMIFS(Calkos!U$7:U$2853,Calkos!$AN$7:$AN$2853,12,Calkos!$AO$7:$AO$2853,2026)</f>
        <v>0</v>
      </c>
      <c r="C19" s="205">
        <f>SUMIFS(Calkos!C$7:C$2853,Calkos!$AN$7:$AN$2853,12,Calkos!$AO$7:$AO$2853,2026)</f>
        <v>0</v>
      </c>
    </row>
    <row r="20" spans="1:3" ht="16.5" thickBot="1" x14ac:dyDescent="0.3">
      <c r="B20" s="196">
        <f>SUM(B8:B19)</f>
        <v>9877.0499999999993</v>
      </c>
      <c r="C20" s="195">
        <f>SUM(C8:C19)</f>
        <v>30530</v>
      </c>
    </row>
    <row r="24" spans="1:3" ht="19.5" thickBot="1" x14ac:dyDescent="0.35">
      <c r="A24" s="190"/>
      <c r="B24" s="394">
        <v>2025</v>
      </c>
      <c r="C24" s="394"/>
    </row>
    <row r="25" spans="1:3" ht="16.5" thickBot="1" x14ac:dyDescent="0.3">
      <c r="A25" s="191"/>
      <c r="B25" s="395" t="s">
        <v>239</v>
      </c>
      <c r="C25" s="396"/>
    </row>
    <row r="26" spans="1:3" ht="16.5" thickBot="1" x14ac:dyDescent="0.3">
      <c r="A26" s="192" t="s">
        <v>198</v>
      </c>
      <c r="B26" s="193" t="s">
        <v>240</v>
      </c>
      <c r="C26" s="194" t="s">
        <v>38</v>
      </c>
    </row>
    <row r="27" spans="1:3" x14ac:dyDescent="0.25">
      <c r="A27" s="197" t="s">
        <v>282</v>
      </c>
      <c r="B27" s="198">
        <f>SUMIFS(Calkos!U$7:U$2853,Calkos!$AN$7:$AN$2853,1,Calkos!$AO$7:$AO$2853,2025)</f>
        <v>0</v>
      </c>
      <c r="C27" s="199">
        <f>SUMIFS(Calkos!C$7:C$2853,Calkos!$AN$7:$AN$2853,1,Calkos!$AO$7:$AO$2853,2025)</f>
        <v>0</v>
      </c>
    </row>
    <row r="28" spans="1:3" x14ac:dyDescent="0.25">
      <c r="A28" s="200" t="s">
        <v>283</v>
      </c>
      <c r="B28" s="201">
        <f>SUMIFS(Calkos!U$7:U$2853,Calkos!$AN$7:$AN$2853,2,Calkos!$AO$7:$AO$2853,2025)</f>
        <v>0</v>
      </c>
      <c r="C28" s="202">
        <f>SUMIFS(Calkos!C$7:C$2853,Calkos!$AN$7:$AN$2853,2,Calkos!$AO$7:$AO$2853,2025)</f>
        <v>0</v>
      </c>
    </row>
    <row r="29" spans="1:3" x14ac:dyDescent="0.25">
      <c r="A29" s="200" t="s">
        <v>284</v>
      </c>
      <c r="B29" s="201">
        <f>SUMIFS(Calkos!U$7:U$2853,Calkos!$AN$7:$AN$2853,3,Calkos!$AO$7:$AO$2853,2025)</f>
        <v>0</v>
      </c>
      <c r="C29" s="202">
        <f>SUMIFS(Calkos!C$7:C$2853,Calkos!$AN$7:$AN$2853,3,Calkos!$AO$7:$AO$2853,2025)</f>
        <v>0</v>
      </c>
    </row>
    <row r="30" spans="1:3" x14ac:dyDescent="0.25">
      <c r="A30" s="200" t="s">
        <v>285</v>
      </c>
      <c r="B30" s="201">
        <f>SUMIFS(Calkos!U$7:U$2853,Calkos!$AN$7:$AN$2853,4,Calkos!$AO$7:$AO$2853,2025)</f>
        <v>0</v>
      </c>
      <c r="C30" s="202">
        <f>SUMIFS(Calkos!C$7:C$2853,Calkos!$AN$7:$AN$2853,4,Calkos!$AO$7:$AO$2853,2025)</f>
        <v>0</v>
      </c>
    </row>
    <row r="31" spans="1:3" x14ac:dyDescent="0.25">
      <c r="A31" s="200" t="s">
        <v>286</v>
      </c>
      <c r="B31" s="201">
        <f>SUMIFS(Calkos!U$7:U$2853,Calkos!$AN$7:$AN$2853,5,Calkos!$AO$7:$AO$2853,2025)</f>
        <v>0</v>
      </c>
      <c r="C31" s="202">
        <f>SUMIFS(Calkos!C$7:C$2853,Calkos!$AN$7:$AN$2853,5,Calkos!$AO$7:$AO$2853,2025)</f>
        <v>0</v>
      </c>
    </row>
    <row r="32" spans="1:3" x14ac:dyDescent="0.25">
      <c r="A32" s="200" t="s">
        <v>287</v>
      </c>
      <c r="B32" s="201">
        <f>SUMIFS(Calkos!U$7:U$2853,Calkos!$AN$7:$AN$2853,6,Calkos!$AO$7:$AO$2853,2025)</f>
        <v>0</v>
      </c>
      <c r="C32" s="202">
        <f>SUMIFS(Calkos!C$7:C$2798,Calkos!$AN$7:$AN$2798,6,Calkos!$AO$7:$AO$2798,2025)</f>
        <v>0</v>
      </c>
    </row>
    <row r="33" spans="1:3" x14ac:dyDescent="0.25">
      <c r="A33" s="200" t="s">
        <v>288</v>
      </c>
      <c r="B33" s="201">
        <f>SUMIFS(Calkos!U$7:U$2853,Calkos!$AN$7:$AN$2853,7,Calkos!$AO$7:$AO$2853,2025)</f>
        <v>0</v>
      </c>
      <c r="C33" s="202">
        <f>SUMIFS(Calkos!C$7:C$2798,Calkos!$AN$7:$AN$2798,7,Calkos!$AO$7:$AO$2798,2025)</f>
        <v>0</v>
      </c>
    </row>
    <row r="34" spans="1:3" x14ac:dyDescent="0.25">
      <c r="A34" s="200" t="s">
        <v>289</v>
      </c>
      <c r="B34" s="201">
        <f>SUMIFS(Calkos!U$7:U$2853,Calkos!$AN$7:$AN$2853,8,Calkos!$AO$7:$AO$2853,2024)</f>
        <v>0</v>
      </c>
      <c r="C34" s="202">
        <f>SUMIFS(Calkos!C$7:C$2798,Calkos!$AN$7:$AN$2798,8,Calkos!$AO$7:$AO$2798,2024)</f>
        <v>0</v>
      </c>
    </row>
    <row r="35" spans="1:3" x14ac:dyDescent="0.25">
      <c r="A35" s="200" t="s">
        <v>290</v>
      </c>
      <c r="B35" s="201">
        <f>SUMIFS(Calkos!U$7:U$2853,Calkos!$AN$7:$AN$2853,9,Calkos!$AO$7:$AO$2853,2025)</f>
        <v>0</v>
      </c>
      <c r="C35" s="202">
        <f>SUMIFS(Calkos!C$7:C$2798,Calkos!$AN$7:$AN$2798,9,Calkos!$AO$7:$AO$2798,2025)</f>
        <v>0</v>
      </c>
    </row>
    <row r="36" spans="1:3" x14ac:dyDescent="0.25">
      <c r="A36" s="200" t="s">
        <v>291</v>
      </c>
      <c r="B36" s="201">
        <f>SUMIFS(Calkos!U$7:U$2853,Calkos!$AN$7:$AN$2853,10,Calkos!$AO$7:$AO$2853,2025)</f>
        <v>0</v>
      </c>
      <c r="C36" s="202">
        <f>SUMIFS(Calkos!C$7:C$2853,Calkos!$AN$7:$AN$2853,10,Calkos!$AO$7:$AO$2853,2025)</f>
        <v>0</v>
      </c>
    </row>
    <row r="37" spans="1:3" x14ac:dyDescent="0.25">
      <c r="A37" s="200" t="s">
        <v>292</v>
      </c>
      <c r="B37" s="201">
        <f>SUMIFS(Calkos!U$7:U$2853,Calkos!$AN$7:$AN$2853,11,Calkos!$AO$7:$AO$2853,2025)</f>
        <v>0</v>
      </c>
      <c r="C37" s="202">
        <f>SUMIFS(Calkos!C$7:C$2853,Calkos!$AN$7:$AN$2853,11,Calkos!$AO$7:$AO$2853,2025)</f>
        <v>0</v>
      </c>
    </row>
    <row r="38" spans="1:3" ht="15.75" thickBot="1" x14ac:dyDescent="0.3">
      <c r="A38" s="203" t="s">
        <v>293</v>
      </c>
      <c r="B38" s="204">
        <f>SUMIFS(Calkos!U$7:U$2853,Calkos!$AN$7:$AN$2853,12,Calkos!$AO$7:$AO$2853,2025)</f>
        <v>0</v>
      </c>
      <c r="C38" s="205">
        <f>SUMIFS(Calkos!C$7:C$2853,Calkos!$AN$7:$AN$2853,12,Calkos!$AO$7:$AO$2853,2025)</f>
        <v>0</v>
      </c>
    </row>
    <row r="39" spans="1:3" ht="16.5" thickBot="1" x14ac:dyDescent="0.3">
      <c r="B39" s="196">
        <f>SUM(B27:B38)</f>
        <v>0</v>
      </c>
      <c r="C39" s="195">
        <f>SUM(C27:C38)</f>
        <v>0</v>
      </c>
    </row>
    <row r="44" spans="1:3" ht="19.5" thickBot="1" x14ac:dyDescent="0.35">
      <c r="B44" s="394" t="s">
        <v>241</v>
      </c>
      <c r="C44" s="394"/>
    </row>
    <row r="45" spans="1:3" ht="15.75" x14ac:dyDescent="0.25">
      <c r="B45" s="395" t="s">
        <v>239</v>
      </c>
      <c r="C45" s="396"/>
    </row>
    <row r="46" spans="1:3" ht="16.5" thickBot="1" x14ac:dyDescent="0.3">
      <c r="B46" s="206" t="str">
        <f>IF(B52=0,"Euro","Errore")</f>
        <v>Euro</v>
      </c>
      <c r="C46" s="194" t="str">
        <f>IF(C52=0,"Kg","Errore")</f>
        <v>Kg</v>
      </c>
    </row>
    <row r="47" spans="1:3" ht="16.5" thickBot="1" x14ac:dyDescent="0.3">
      <c r="B47" s="207">
        <f>+B20+B39</f>
        <v>9877.0499999999993</v>
      </c>
      <c r="C47" s="208">
        <f>+C20+C39</f>
        <v>30530</v>
      </c>
    </row>
    <row r="50" spans="2:3" x14ac:dyDescent="0.25">
      <c r="B50" s="198">
        <f>SUMIFS(Calkos!U$7:U$2853,Calkos!$AN$7:$AN$2853,0,Calkos!$AO$7:$AO$2853,0)</f>
        <v>4907.3448999999991</v>
      </c>
      <c r="C50" s="199">
        <f>SUMIFS(Calkos!C$7:C$2853,Calkos!$AN$7:$AN$2853,0,Calkos!$AO$7:$AO$2853,0)</f>
        <v>15107.380000000001</v>
      </c>
    </row>
    <row r="52" spans="2:3" x14ac:dyDescent="0.25">
      <c r="B52" s="78">
        <f>+B47+B50-Calkos!U2854</f>
        <v>0</v>
      </c>
      <c r="C52" s="153">
        <f>+C47+C50-Calkos!C2854</f>
        <v>0</v>
      </c>
    </row>
  </sheetData>
  <mergeCells count="6">
    <mergeCell ref="B44:C44"/>
    <mergeCell ref="B45:C45"/>
    <mergeCell ref="B5:C5"/>
    <mergeCell ref="B6:C6"/>
    <mergeCell ref="B24:C24"/>
    <mergeCell ref="B25:C25"/>
  </mergeCells>
  <conditionalFormatting sqref="B46">
    <cfRule type="containsText" dxfId="1" priority="3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SUMIF(Calkos!#REF!,"Wetter",Calkos!C5:C5)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161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162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163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164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165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187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188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189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397" t="s">
        <v>196</v>
      </c>
      <c r="B2" s="397"/>
    </row>
    <row r="4" spans="1:3" ht="15.75" thickBot="1" x14ac:dyDescent="0.3">
      <c r="A4" s="398" t="s">
        <v>197</v>
      </c>
      <c r="B4" s="398"/>
      <c r="C4" s="398"/>
    </row>
    <row r="5" spans="1:3" ht="15.75" thickBot="1" x14ac:dyDescent="0.3">
      <c r="A5" s="174" t="s">
        <v>198</v>
      </c>
      <c r="B5" s="175" t="s">
        <v>199</v>
      </c>
      <c r="C5" s="176" t="s">
        <v>94</v>
      </c>
    </row>
    <row r="6" spans="1:3" x14ac:dyDescent="0.25">
      <c r="A6" s="177" t="s">
        <v>200</v>
      </c>
      <c r="B6" s="178" t="e">
        <f>SUMIFS(Calkos!$C$7:$C$2853,Calkos!#REF!,1,Calkos!$AG$7:$AG$2853,2018)</f>
        <v>#REF!</v>
      </c>
      <c r="C6" s="179" t="e">
        <f>SUMIFS(Calkos!$M$7:$M$2853,Calkos!#REF!,1,Calkos!$AG$7:$AG$2853,2018)</f>
        <v>#REF!</v>
      </c>
    </row>
    <row r="7" spans="1:3" x14ac:dyDescent="0.25">
      <c r="A7" s="180" t="s">
        <v>201</v>
      </c>
      <c r="B7" s="181" t="e">
        <f>SUMIFS(Calkos!$C$7:$C$2853,Calkos!#REF!,2,Calkos!$AG$7:$AG$2853,2018)</f>
        <v>#REF!</v>
      </c>
      <c r="C7" s="182" t="e">
        <f>SUMIFS(Calkos!$M$7:$M$2853,Calkos!#REF!,2,Calkos!$AG$7:$AG$2853,2018)</f>
        <v>#REF!</v>
      </c>
    </row>
    <row r="8" spans="1:3" x14ac:dyDescent="0.25">
      <c r="A8" s="180" t="s">
        <v>202</v>
      </c>
      <c r="B8" s="181" t="e">
        <f>SUMIFS(Calkos!$C$7:$C$2853,Calkos!#REF!,3,Calkos!$AG$7:$AG$2853,2018)</f>
        <v>#REF!</v>
      </c>
      <c r="C8" s="182" t="e">
        <f>SUMIFS(Calkos!$M$7:$M$2853,Calkos!#REF!,3,Calkos!$AG$7:$AG$2853,2018)</f>
        <v>#REF!</v>
      </c>
    </row>
    <row r="9" spans="1:3" x14ac:dyDescent="0.25">
      <c r="A9" s="180" t="s">
        <v>203</v>
      </c>
      <c r="B9" s="181" t="e">
        <f>SUMIFS(Calkos!$C$7:$C$2853,Calkos!#REF!,4,Calkos!$AG$7:$AG$2853,2018)</f>
        <v>#REF!</v>
      </c>
      <c r="C9" s="182" t="e">
        <f>SUMIFS(Calkos!$M$7:$M$2853,Calkos!#REF!,4,Calkos!$AG$7:$AG$2853,2018)</f>
        <v>#REF!</v>
      </c>
    </row>
    <row r="10" spans="1:3" x14ac:dyDescent="0.25">
      <c r="A10" s="180" t="s">
        <v>204</v>
      </c>
      <c r="B10" s="181" t="e">
        <f>SUMIFS(Calkos!$C$7:$C$2853,Calkos!#REF!,5,Calkos!$AG$7:$AG$2853,2018)</f>
        <v>#REF!</v>
      </c>
      <c r="C10" s="182" t="e">
        <f>SUMIFS(Calkos!$M$7:$M$2853,Calkos!#REF!,5,Calkos!$AG$7:$AG$2853,2018)</f>
        <v>#REF!</v>
      </c>
    </row>
    <row r="11" spans="1:3" x14ac:dyDescent="0.25">
      <c r="A11" s="180" t="s">
        <v>205</v>
      </c>
      <c r="B11" s="181" t="e">
        <f>SUMIFS(Calkos!$C$7:$C$2853,Calkos!#REF!,6,Calkos!$AG$7:$AG$2853,2018)</f>
        <v>#REF!</v>
      </c>
      <c r="C11" s="182" t="e">
        <f>SUMIFS(Calkos!$M$7:$M$2853,Calkos!#REF!,6,Calkos!$AG$7:$AG$2853,2018)</f>
        <v>#REF!</v>
      </c>
    </row>
    <row r="12" spans="1:3" x14ac:dyDescent="0.25">
      <c r="A12" s="180" t="s">
        <v>206</v>
      </c>
      <c r="B12" s="181" t="e">
        <f>SUMIFS(Calkos!$C$7:$C$2853,Calkos!#REF!,7,Calkos!$AG$7:$AG$2853,2018)</f>
        <v>#REF!</v>
      </c>
      <c r="C12" s="182" t="e">
        <f>SUMIFS(Calkos!$M$7:$M$2853,Calkos!#REF!,7,Calkos!$AG$7:$AG$2853,2018)</f>
        <v>#REF!</v>
      </c>
    </row>
    <row r="13" spans="1:3" x14ac:dyDescent="0.25">
      <c r="A13" s="180" t="s">
        <v>207</v>
      </c>
      <c r="B13" s="181" t="e">
        <f>SUMIFS(Calkos!$C$7:$C$2853,Calkos!#REF!,8,Calkos!$AG$7:$AG$2853,2018)</f>
        <v>#REF!</v>
      </c>
      <c r="C13" s="182" t="e">
        <f>SUMIFS(Calkos!$M$7:$M$2853,Calkos!#REF!,8,Calkos!$AG$7:$AG$2853,2018)</f>
        <v>#REF!</v>
      </c>
    </row>
    <row r="14" spans="1:3" x14ac:dyDescent="0.25">
      <c r="A14" s="183" t="s">
        <v>208</v>
      </c>
      <c r="B14" s="181" t="e">
        <f>SUMIFS(Calkos!$C$7:$C$2853,Calkos!#REF!,9,Calkos!$AG$7:$AG$2853,2018)</f>
        <v>#REF!</v>
      </c>
      <c r="C14" s="182" t="e">
        <f>SUMIFS(Calkos!$M$7:$M$2853,Calkos!#REF!,9,Calkos!$AG$7:$AG$2853,2018)</f>
        <v>#REF!</v>
      </c>
    </row>
    <row r="15" spans="1:3" x14ac:dyDescent="0.25">
      <c r="A15" s="180" t="s">
        <v>209</v>
      </c>
      <c r="B15" s="181" t="e">
        <f>SUMIFS(Calkos!$C$7:$C$2853,Calkos!#REF!,10,Calkos!$AG$7:$AG$2853,2018)</f>
        <v>#REF!</v>
      </c>
      <c r="C15" s="182" t="e">
        <f>SUMIFS(Calkos!$M$7:$M$2853,Calkos!#REF!,10,Calkos!$AG$7:$AG$2853,2018)</f>
        <v>#REF!</v>
      </c>
    </row>
    <row r="16" spans="1:3" x14ac:dyDescent="0.25">
      <c r="A16" s="180" t="s">
        <v>210</v>
      </c>
      <c r="B16" s="181" t="e">
        <f>SUMIFS(Calkos!$C$7:$C$2853,Calkos!#REF!,11,Calkos!$AG$7:$AG$2853,2018)</f>
        <v>#REF!</v>
      </c>
      <c r="C16" s="182" t="e">
        <f>SUMIFS(Calkos!$M$7:$M$2853,Calkos!#REF!,11,Calkos!$AG$7:$AG$2853,2018)</f>
        <v>#REF!</v>
      </c>
    </row>
    <row r="17" spans="1:3" ht="15.75" thickBot="1" x14ac:dyDescent="0.3">
      <c r="A17" s="184" t="s">
        <v>211</v>
      </c>
      <c r="B17" s="185" t="e">
        <f>SUMIFS(Calkos!$C$7:$C$2853,Calkos!#REF!,12,Calkos!$AG$7:$AG$2853,2018)</f>
        <v>#REF!</v>
      </c>
      <c r="C17" s="186" t="e">
        <f>SUMIFS(Calkos!$M$7:$M$2853,Calkos!#REF!,12,Calkos!$AG$7:$AG$2853,2018)</f>
        <v>#REF!</v>
      </c>
    </row>
    <row r="18" spans="1:3" ht="15.75" thickBot="1" x14ac:dyDescent="0.3">
      <c r="A18" s="173"/>
      <c r="B18" s="187" t="e">
        <f>SUM(B6:B17)</f>
        <v>#REF!</v>
      </c>
      <c r="C18" s="188" t="e">
        <f>SUM(C6:C17)</f>
        <v>#REF!</v>
      </c>
    </row>
    <row r="20" spans="1:3" ht="15.75" thickBot="1" x14ac:dyDescent="0.3">
      <c r="A20" s="398" t="s">
        <v>212</v>
      </c>
      <c r="B20" s="398"/>
      <c r="C20" s="398"/>
    </row>
    <row r="21" spans="1:3" ht="15.75" thickBot="1" x14ac:dyDescent="0.3">
      <c r="A21" s="174" t="s">
        <v>198</v>
      </c>
      <c r="B21" s="175" t="s">
        <v>199</v>
      </c>
      <c r="C21" s="176" t="s">
        <v>94</v>
      </c>
    </row>
    <row r="22" spans="1:3" x14ac:dyDescent="0.25">
      <c r="A22" s="177" t="s">
        <v>200</v>
      </c>
      <c r="B22" s="178" t="e">
        <f>SUMIFS(Calkos!$C$7:$C$2853,Calkos!#REF!,1,Calkos!$AG$7:$AG$2853,2019)</f>
        <v>#REF!</v>
      </c>
      <c r="C22" s="179" t="e">
        <f>SUMIFS(Calkos!$M$7:$M$2853,Calkos!#REF!,1,Calkos!$AG$7:$AG$2853,2019)</f>
        <v>#REF!</v>
      </c>
    </row>
    <row r="23" spans="1:3" x14ac:dyDescent="0.25">
      <c r="A23" s="180" t="s">
        <v>201</v>
      </c>
      <c r="B23" s="181" t="e">
        <f>SUMIFS(Calkos!$C$7:$C$2853,Calkos!#REF!,2,Calkos!$AG$7:$AG$2853,2019)</f>
        <v>#REF!</v>
      </c>
      <c r="C23" s="182" t="e">
        <f>SUMIFS(Calkos!$M$7:$M$2853,Calkos!#REF!,2,Calkos!$AG$7:$AG$2853,2019)</f>
        <v>#REF!</v>
      </c>
    </row>
    <row r="24" spans="1:3" x14ac:dyDescent="0.25">
      <c r="A24" s="180" t="s">
        <v>202</v>
      </c>
      <c r="B24" s="181" t="e">
        <f>SUMIFS(Calkos!$C$7:$C$2853,Calkos!#REF!,3,Calkos!$AG$7:$AG$2853,2019)</f>
        <v>#REF!</v>
      </c>
      <c r="C24" s="182" t="e">
        <f>SUMIFS(Calkos!$M$7:$M$2853,Calkos!#REF!,3,Calkos!$AG$7:$AG$2853,2019)</f>
        <v>#REF!</v>
      </c>
    </row>
    <row r="25" spans="1:3" x14ac:dyDescent="0.25">
      <c r="A25" s="180" t="s">
        <v>203</v>
      </c>
      <c r="B25" s="181" t="e">
        <f>SUMIFS(Calkos!$C$7:$C$2853,Calkos!#REF!,4,Calkos!$AG$7:$AG$2853,2019)</f>
        <v>#REF!</v>
      </c>
      <c r="C25" s="182" t="e">
        <f>SUMIFS(Calkos!$M$7:$M$2853,Calkos!#REF!,4,Calkos!$AG$7:$AG$2853,2019)</f>
        <v>#REF!</v>
      </c>
    </row>
    <row r="26" spans="1:3" x14ac:dyDescent="0.25">
      <c r="A26" s="180" t="s">
        <v>204</v>
      </c>
      <c r="B26" s="181" t="e">
        <f>SUMIFS(Calkos!$C$7:$C$2853,Calkos!#REF!,5,Calkos!$AG$7:$AG$2853,2019)</f>
        <v>#REF!</v>
      </c>
      <c r="C26" s="182" t="e">
        <f>SUMIFS(Calkos!$M$7:$M$2853,Calkos!#REF!,5,Calkos!$AG$7:$AG$2853,2019)</f>
        <v>#REF!</v>
      </c>
    </row>
    <row r="27" spans="1:3" x14ac:dyDescent="0.25">
      <c r="A27" s="180" t="s">
        <v>205</v>
      </c>
      <c r="B27" s="181" t="e">
        <f>SUMIFS(Calkos!$C$7:$C$2853,Calkos!#REF!,6,Calkos!$AG$7:$AG$2853,2019)</f>
        <v>#REF!</v>
      </c>
      <c r="C27" s="182" t="e">
        <f>SUMIFS(Calkos!$M$7:$M$2853,Calkos!#REF!,6,Calkos!$AG$7:$AG$2853,2019)</f>
        <v>#REF!</v>
      </c>
    </row>
    <row r="28" spans="1:3" x14ac:dyDescent="0.25">
      <c r="A28" s="180" t="s">
        <v>206</v>
      </c>
      <c r="B28" s="181" t="e">
        <f>SUMIFS(Calkos!$C$7:$C$2853,Calkos!#REF!,7,Calkos!$AG$7:$AG$2853,2019)</f>
        <v>#REF!</v>
      </c>
      <c r="C28" s="182" t="e">
        <f>SUMIFS(Calkos!$M$7:$M$2853,Calkos!#REF!,7,Calkos!$AG$7:$AG$2853,2019)</f>
        <v>#REF!</v>
      </c>
    </row>
    <row r="29" spans="1:3" x14ac:dyDescent="0.25">
      <c r="A29" s="180" t="s">
        <v>207</v>
      </c>
      <c r="B29" s="181" t="e">
        <f>SUMIFS(Calkos!$C$7:$C$2853,Calkos!#REF!,8,Calkos!$AG$7:$AG$2853,2019)</f>
        <v>#REF!</v>
      </c>
      <c r="C29" s="182" t="e">
        <f>SUMIFS(Calkos!$M$7:$M$2853,Calkos!#REF!,8,Calkos!$AG$7:$AG$2853,2019)</f>
        <v>#REF!</v>
      </c>
    </row>
    <row r="30" spans="1:3" x14ac:dyDescent="0.25">
      <c r="A30" s="183" t="s">
        <v>208</v>
      </c>
      <c r="B30" s="181" t="e">
        <f>SUMIFS(Calkos!$C$7:$C$2853,Calkos!#REF!,9,Calkos!$AG$7:$AG$2853,2019)</f>
        <v>#REF!</v>
      </c>
      <c r="C30" s="182" t="e">
        <f>SUMIFS(Calkos!$M$7:$M$2853,Calkos!#REF!,9,Calkos!$AG$7:$AG$2853,2019)</f>
        <v>#REF!</v>
      </c>
    </row>
    <row r="31" spans="1:3" x14ac:dyDescent="0.25">
      <c r="A31" s="180" t="s">
        <v>209</v>
      </c>
      <c r="B31" s="181" t="e">
        <f>SUMIFS(Calkos!$C$7:$C$2853,Calkos!#REF!,10,Calkos!$AG$7:$AG$2853,2019)</f>
        <v>#REF!</v>
      </c>
      <c r="C31" s="182" t="e">
        <f>SUMIFS(Calkos!$M$7:$M$2853,Calkos!#REF!,10,Calkos!$AG$7:$AG$2853,2019)</f>
        <v>#REF!</v>
      </c>
    </row>
    <row r="32" spans="1:3" x14ac:dyDescent="0.25">
      <c r="A32" s="180" t="s">
        <v>210</v>
      </c>
      <c r="B32" s="181" t="e">
        <f>SUMIFS(Calkos!$C$7:$C$2853,Calkos!#REF!,11,Calkos!$AG$7:$AG$2853,2019)</f>
        <v>#REF!</v>
      </c>
      <c r="C32" s="182" t="e">
        <f>SUMIFS(Calkos!$M$7:$M$2853,Calkos!#REF!,11,Calkos!$AG$7:$AG$2853,2019)</f>
        <v>#REF!</v>
      </c>
    </row>
    <row r="33" spans="1:3" ht="15.75" thickBot="1" x14ac:dyDescent="0.3">
      <c r="A33" s="184" t="s">
        <v>211</v>
      </c>
      <c r="B33" s="185" t="e">
        <f>SUMIFS(Calkos!$C$7:$C$2853,Calkos!#REF!,12,Calkos!$AG$7:$AG$2853,2019)</f>
        <v>#REF!</v>
      </c>
      <c r="C33" s="186" t="e">
        <f>SUMIFS(Calkos!$M$7:$M$2853,Calkos!#REF!,12,Calkos!$AG$7:$AG$2853,2019)</f>
        <v>#REF!</v>
      </c>
    </row>
    <row r="34" spans="1:3" ht="15.75" thickBot="1" x14ac:dyDescent="0.3">
      <c r="A34" s="173"/>
      <c r="B34" s="187" t="e">
        <f>SUM(B22:B33)</f>
        <v>#REF!</v>
      </c>
      <c r="C34" s="188" t="e">
        <f>SUM(C22:C33)</f>
        <v>#REF!</v>
      </c>
    </row>
    <row r="37" spans="1:3" x14ac:dyDescent="0.25">
      <c r="A37">
        <f>COUNTIF(Calkos!V7:V2853,"&gt;0")</f>
        <v>51</v>
      </c>
      <c r="B37" t="e">
        <f>COUNTIF(Calkos!#REF!,"&gt;0")</f>
        <v>#REF!</v>
      </c>
      <c r="C37">
        <f>COUNTIF(Calkos!AG7:AG2853,"&gt;0")</f>
        <v>3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27</vt:i4>
      </vt:variant>
    </vt:vector>
  </HeadingPairs>
  <TitlesOfParts>
    <vt:vector size="45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Foglio1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Delta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Provvigioni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2023-12-20T15:34:03Z</cp:lastPrinted>
  <dcterms:created xsi:type="dcterms:W3CDTF">2013-12-07T16:05:07Z</dcterms:created>
  <dcterms:modified xsi:type="dcterms:W3CDTF">2026-05-08T12:22:39Z</dcterms:modified>
</cp:coreProperties>
</file>